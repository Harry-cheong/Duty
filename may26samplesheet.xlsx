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21.xml"/>
  <Override ContentType="application/vnd.openxmlformats-officedocument.spreadsheetml.comments+xml" PartName="/xl/comments9.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22.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6.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5.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June Master Duty Overview" sheetId="1" r:id="rId5"/>
    <sheet state="hidden" name="July Master Duty Overview" sheetId="2" r:id="rId6"/>
    <sheet state="hidden" name="August Master Duty Overview" sheetId="3" r:id="rId7"/>
    <sheet state="hidden" name="September Master Duty Overview" sheetId="4" r:id="rId8"/>
    <sheet state="hidden" name="October Master Duty Overview" sheetId="5" r:id="rId9"/>
    <sheet state="hidden" name="November Master Duty Overview" sheetId="6" r:id="rId10"/>
    <sheet state="hidden" name="December Master Duty Overview" sheetId="7" r:id="rId11"/>
    <sheet state="hidden" name="January Master Duty Overview" sheetId="8" r:id="rId12"/>
    <sheet state="hidden" name="February Master Duty Overview" sheetId="9" r:id="rId13"/>
    <sheet state="hidden" name="March Master Duty Overview" sheetId="10" r:id="rId14"/>
    <sheet state="hidden" name="April Master Duty Overview" sheetId="11" r:id="rId15"/>
    <sheet state="hidden" name="May Master Duty Overview" sheetId="12" r:id="rId16"/>
    <sheet state="hidden" name="Junee Master Duty Overview" sheetId="13" r:id="rId17"/>
    <sheet state="hidden" name="Julyy Master Duty Overview" sheetId="14" r:id="rId18"/>
    <sheet state="hidden" name="Augustt Master Duty Overview" sheetId="15" r:id="rId19"/>
    <sheet state="hidden" name="Sept Master Duty Overview" sheetId="16" r:id="rId20"/>
    <sheet state="hidden" name="OCT Master Duty Overview" sheetId="17" r:id="rId21"/>
    <sheet state="visible" name="NOV Master Duty Overview" sheetId="18" r:id="rId22"/>
    <sheet state="visible" name="DEC Master Duty Overview" sheetId="19" r:id="rId23"/>
    <sheet state="visible" name="JAN Master Duty Overview" sheetId="20" r:id="rId24"/>
    <sheet state="visible" name="FEB Master Duty Overview" sheetId="21" r:id="rId25"/>
    <sheet state="visible" name="MAR Master Duty Overview" sheetId="22" r:id="rId26"/>
    <sheet state="visible" name="APR Master Duty Overview" sheetId="23" r:id="rId27"/>
    <sheet state="visible" name="MAY 26 Master Duty Overview" sheetId="24" r:id="rId28"/>
    <sheet state="visible" name="points" sheetId="25" r:id="rId29"/>
    <sheet state="visible" name="Send Out" sheetId="26" r:id="rId30"/>
    <sheet state="visible" name="Personnel List" sheetId="27" r:id="rId31"/>
  </sheets>
  <definedNames>
    <definedName hidden="1" localSheetId="26" name="_xlnm._FilterDatabase">'Personnel List'!$A$1:$H$47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3">
      <text>
        <t xml:space="preserve">no duty for October</t>
      </text>
    </comment>
    <comment authorId="0" ref="A26">
      <text>
        <t xml:space="preserve">no duty for July and August</t>
      </text>
    </comment>
    <comment authorId="0" ref="A30">
      <text>
        <t xml:space="preserve">No Tuesday and Thursday
</t>
      </text>
    </comment>
    <comment authorId="0" ref="A31">
      <text>
        <t xml:space="preserve">Tuesday, Thursday, PH PM, Saturday PM (try not to touch SAT PM)</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2">
      <text>
        <t xml:space="preserve">Fridays</t>
      </text>
    </comment>
    <comment authorId="0" ref="A23">
      <text>
        <t xml:space="preserve">no duty in October</t>
      </text>
    </comment>
    <comment authorId="0" ref="A26">
      <text>
        <t xml:space="preserve">no duty for July and August</t>
      </text>
    </comment>
    <comment authorId="0" ref="A28">
      <text>
        <t xml:space="preserve">no duty for July
</t>
      </text>
    </comment>
    <comment authorId="0" ref="A31">
      <text>
        <t xml:space="preserve">No Tuesday and Thursday
</t>
      </text>
    </comment>
    <comment authorId="0" ref="A32">
      <text>
        <t xml:space="preserve">Tuesday, Thursday, PH PM, Saturday PM (try not to touch SAT PM)</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Fridays</t>
      </text>
    </comment>
    <comment authorId="0" ref="A17">
      <text>
        <t xml:space="preserve">no duty in October</t>
      </text>
    </comment>
    <comment authorId="0" ref="A20">
      <text>
        <t xml:space="preserve">no duty for July and August</t>
      </text>
    </comment>
    <comment authorId="0" ref="A25">
      <text>
        <t xml:space="preserve">No Tuesday and Thursday
</t>
      </text>
    </comment>
    <comment authorId="0" ref="A26">
      <text>
        <t xml:space="preserve">Tuesday, Thursday, PH PM, Saturday PM (try not to touch SAT PM)</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Fridays</t>
      </text>
    </comment>
    <comment authorId="0" ref="A17">
      <text>
        <t xml:space="preserve">no duty in October</t>
      </text>
    </comment>
    <comment authorId="0" ref="A23">
      <text>
        <t xml:space="preserve">MC August</t>
      </text>
    </comment>
    <comment authorId="0" ref="A26">
      <text>
        <t xml:space="preserve">No Tuesday and Thursday
</t>
      </text>
    </comment>
    <comment authorId="0" ref="A27">
      <text>
        <t xml:space="preserve">Tuesday, Thursday, PH PM, Saturday PM (try not to touch SAT PM)</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2">
      <text>
        <t xml:space="preserve">Fridays</t>
      </text>
    </comment>
    <comment authorId="0" ref="A19">
      <text>
        <t xml:space="preserve">no duty in October</t>
      </text>
    </comment>
    <comment authorId="0" ref="A20">
      <text>
        <t xml:space="preserve">No Weekends</t>
      </text>
    </comment>
    <comment authorId="0" ref="A21">
      <text>
        <t xml:space="preserve">1 SAT AM and 1 Weekday
Signed 3 extra</t>
      </text>
    </comment>
    <comment authorId="0" ref="A25">
      <text>
        <t xml:space="preserve">MC August</t>
      </text>
    </comment>
    <comment authorId="0" ref="A26">
      <text>
        <t xml:space="preserve">Tuesday and Thursday</t>
      </text>
    </comment>
    <comment authorId="0" ref="A28">
      <text>
        <t xml:space="preserve">No Tuesday and Thursday
</t>
      </text>
    </comment>
    <comment authorId="0" ref="A29">
      <text>
        <t xml:space="preserve">Tuesday, Thursday, PH PM, Saturday PM (try not to touch SAT PM)</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L9">
      <text>
        <t xml:space="preserve">Understudy ZI XUAN</t>
      </text>
    </comment>
    <comment authorId="0" ref="A11">
      <text>
        <t xml:space="preserve">Fridays
DECEMBER P1P2</t>
      </text>
    </comment>
    <comment authorId="0" ref="A12">
      <text>
        <t xml:space="preserve">DECEMBER P1P2</t>
      </text>
    </comment>
    <comment authorId="0" ref="K17">
      <text>
        <t xml:space="preserve">Understudy KRISHAN</t>
      </text>
    </comment>
    <comment authorId="0" ref="A18">
      <text>
        <t xml:space="preserve">first 2 weeks of december</t>
      </text>
    </comment>
    <comment authorId="0" ref="R18">
      <text>
        <t xml:space="preserve">Understudy YAOCHEN</t>
      </text>
    </comment>
    <comment authorId="0" ref="A19">
      <text>
        <t xml:space="preserve">no duty in October</t>
      </text>
    </comment>
    <comment authorId="0" ref="A20">
      <text>
        <t xml:space="preserve">No Weekends</t>
      </text>
    </comment>
    <comment authorId="0" ref="A21">
      <text>
        <t xml:space="preserve">1 SAT AM and 1 Weekday</t>
      </text>
    </comment>
    <comment authorId="0" ref="A24">
      <text>
        <t xml:space="preserve">MC August</t>
      </text>
    </comment>
    <comment authorId="0" ref="A26">
      <text>
        <t xml:space="preserve">Tuesday and Thursday</t>
      </text>
    </comment>
    <comment authorId="0" ref="A27">
      <text>
        <t xml:space="preserve">No Tuesday and Thursday
</t>
      </text>
    </comment>
    <comment authorId="0" ref="S27">
      <text>
        <t xml:space="preserve">Understudy GLADWYN</t>
      </text>
    </comment>
    <comment authorId="0" ref="A28">
      <text>
        <t xml:space="preserve">Tuesday, Thursday, PH PM, Saturday PM (try not to touch SAT PM)</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5">
      <text>
        <t xml:space="preserve">first 2 weeks of december</t>
      </text>
    </comment>
    <comment authorId="0" ref="A17">
      <text>
        <t xml:space="preserve">No Weekends</t>
      </text>
    </comment>
    <comment authorId="0" ref="A18">
      <text>
        <t xml:space="preserve">1 SAT AM and 1 Weekday</t>
      </text>
    </comment>
    <comment authorId="0" ref="A25">
      <text>
        <t xml:space="preserve">No Tuesday and Thursday
</t>
      </text>
    </comment>
    <comment authorId="0" ref="A26">
      <text>
        <t xml:space="preserve">Tuesday, Thursday, PH PM, Saturday PM (try not to touch SAT PM)</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6">
      <text>
        <t xml:space="preserve">No Weekends</t>
      </text>
    </comment>
    <comment authorId="0" ref="A17">
      <text>
        <t xml:space="preserve">1 SAT AM and 1 Weekday</t>
      </text>
    </comment>
    <comment authorId="0" ref="A24">
      <text>
        <t xml:space="preserve">No Tuesday and Thursday
</t>
      </text>
    </comment>
    <comment authorId="0" ref="A25">
      <text>
        <t xml:space="preserve">Tuesday, Thursday, PH PM, Saturday PM (try not to touch SAT PM)</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0">
      <text>
        <t xml:space="preserve">No Weekends</t>
      </text>
    </comment>
    <comment authorId="0" ref="A32">
      <text>
        <t xml:space="preserve">Tuesday, Thursday, PH PM, Saturday PM (try not to touch SAT PM)</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0">
      <text>
        <t xml:space="preserve">No Weekends</t>
      </text>
    </comment>
    <comment authorId="0" ref="A32">
      <text>
        <t xml:space="preserve">Tuesday, Thursday, PH PM, Saturday PM (try not to touch SAT PM)</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1">
      <text>
        <t xml:space="preserve">No Weekends</t>
      </text>
    </comment>
    <comment authorId="0" ref="A33">
      <text>
        <t xml:space="preserve">Tuesday, Thursday, PH PM, Saturday PM (try not to touch SAT PM)</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3">
      <text>
        <t xml:space="preserve">No Weekends</t>
      </text>
    </comment>
    <comment authorId="0" ref="A35">
      <text>
        <t xml:space="preserve">Tuesday, Thursday, PH PM, Saturday PM (try not to touch SAT PM)</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3">
      <text>
        <t xml:space="preserve">No Weekends</t>
      </text>
    </comment>
    <comment authorId="0" ref="A35">
      <text>
        <t xml:space="preserve">Tuesday, Thursday, PH PM, Saturday PM (try not to touch SAT PM)</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2">
      <text>
        <t xml:space="preserve">No Weekends</t>
      </text>
    </comment>
    <comment authorId="0" ref="A34">
      <text>
        <t xml:space="preserve">Tuesday, Thursday, PH PM, Saturday PM (try not to touch SAT PM)</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Tuesday, Thursday, PH PM, Saturday PM (try not to touch SAT PM)</t>
      </text>
    </comment>
    <comment authorId="0" ref="A33">
      <text>
        <t xml:space="preserve">No Weekends</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Tuesday, Thursday, PH PM, Saturday PM (try not to touch SAT PM)</t>
      </text>
    </comment>
    <comment authorId="0" ref="A33">
      <text>
        <t xml:space="preserve">No Weekends</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Tuesday, Thursday, PH PM, Saturday PM (try not to touch SAT PM)</t>
      </text>
    </comment>
    <comment authorId="0" ref="A33">
      <text>
        <t xml:space="preserve">No Weekends</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Tuesday, Thursday, PH PM, Saturday PM (try not to touch SAT PM)</t>
      </text>
    </comment>
    <comment authorId="0" ref="A33">
      <text>
        <t xml:space="preserve">No Weekends</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Tuesday, Thursday, PH PM, Saturday PM (try not to touch SAT PM)</t>
      </text>
    </comment>
    <comment authorId="0" ref="A33">
      <text>
        <t xml:space="preserve">No Weekends</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Tuesday, Thursday, PH PM, Saturday PM (try not to touch SAT PM)</t>
      </text>
    </comment>
    <comment authorId="0" ref="A33">
      <text>
        <t xml:space="preserve">No Weekends</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Tuesday, Thursday, PH PM, Saturday PM (try not to touch SAT PM)</t>
      </text>
    </comment>
    <comment authorId="0" ref="A33">
      <text>
        <t xml:space="preserve">No Weekends</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Tuesday, Thursday, PH PM, Saturday PM (try not to touch SAT PM)</t>
      </text>
    </comment>
    <comment authorId="0" ref="A33">
      <text>
        <t xml:space="preserve">No Weekends</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Tuesday, Thursday, PH PM, Saturday PM (try not to touch SAT PM)</t>
      </text>
    </comment>
    <comment authorId="0" ref="A33">
      <text>
        <t xml:space="preserve">No Weekends</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Tuesday, Thursday, PH PM, Saturday PM (try not to touch SAT PM)</t>
      </text>
    </comment>
    <comment authorId="0" ref="A33">
      <text>
        <t xml:space="preserve">No Weekends</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Tuesday, Thursday, PH PM, Saturday PM (try not to touch SAT PM)</t>
      </text>
    </comment>
    <comment authorId="0" ref="A24">
      <text>
        <t xml:space="preserve">No Weekends</t>
      </text>
    </comment>
    <comment authorId="0" ref="K64">
      <text>
        <t xml:space="preserve">Tuesday, Thursday, PH PM, Saturday PM (try not to touch SAT PM)</t>
      </text>
    </comment>
  </commentList>
</comments>
</file>

<file path=xl/sharedStrings.xml><?xml version="1.0" encoding="utf-8"?>
<sst xmlns="http://schemas.openxmlformats.org/spreadsheetml/2006/main" count="5884" uniqueCount="973">
  <si>
    <t>Duty Personnel Duty</t>
  </si>
  <si>
    <t>Total Points</t>
  </si>
  <si>
    <t>Duty Points</t>
  </si>
  <si>
    <t>Reserve Points</t>
  </si>
  <si>
    <t>Reserve Points 2</t>
  </si>
  <si>
    <t>SATURDAY (AM)</t>
  </si>
  <si>
    <t>SATURDAY (PM)</t>
  </si>
  <si>
    <t>SUNDAY (AM)</t>
  </si>
  <si>
    <t>SUNDAY (PM)</t>
  </si>
  <si>
    <t>MONDAY</t>
  </si>
  <si>
    <t>TUESDAY</t>
  </si>
  <si>
    <t>WEDNESDAY</t>
  </si>
  <si>
    <t>THURSDAY</t>
  </si>
  <si>
    <t>FRIDAY</t>
  </si>
  <si>
    <t>MONDAY (AM)</t>
  </si>
  <si>
    <t>MONDAY (PM)</t>
  </si>
  <si>
    <t>1-6-24 (AM)</t>
  </si>
  <si>
    <t>1-6-24 (PM)</t>
  </si>
  <si>
    <t>2-6-24 (AM)</t>
  </si>
  <si>
    <t>2-6-24 (PM)</t>
  </si>
  <si>
    <t>8-6-24 (AM)</t>
  </si>
  <si>
    <t>8-6-24 (PM)</t>
  </si>
  <si>
    <t>9-6-24 (AM)</t>
  </si>
  <si>
    <t>9-6-24 (PM)</t>
  </si>
  <si>
    <t>15-6-24 (AM)</t>
  </si>
  <si>
    <t>15-6-24 (PM)</t>
  </si>
  <si>
    <t>16-6-24 (AM)</t>
  </si>
  <si>
    <t>16-6-24 (PM)</t>
  </si>
  <si>
    <t>17-6-24 (AM)</t>
  </si>
  <si>
    <t>17-6-24 (PM)</t>
  </si>
  <si>
    <t>22-6-24 (AM)</t>
  </si>
  <si>
    <t>22-6-24 (PM)</t>
  </si>
  <si>
    <t>23-6-24 (AM)</t>
  </si>
  <si>
    <t>23-6-24 (PM)</t>
  </si>
  <si>
    <t>29-6-24 (AM)</t>
  </si>
  <si>
    <t>29-6-24 (PM)</t>
  </si>
  <si>
    <t>30-6-24 (AM)</t>
  </si>
  <si>
    <t>30-6-24 (PM)</t>
  </si>
  <si>
    <t>PTE EZRA</t>
  </si>
  <si>
    <t>r</t>
  </si>
  <si>
    <t>r2</t>
  </si>
  <si>
    <t>PTE LI HUI</t>
  </si>
  <si>
    <t>PTE ERNEST</t>
  </si>
  <si>
    <t>PTE FIRMAN</t>
  </si>
  <si>
    <t>PTE AFIF</t>
  </si>
  <si>
    <t>PTE ADAM</t>
  </si>
  <si>
    <t>PTE REUVEN</t>
  </si>
  <si>
    <t>LCP AMIRUL</t>
  </si>
  <si>
    <t>PTE YU CHEN</t>
  </si>
  <si>
    <t>PTE HOI REI</t>
  </si>
  <si>
    <t>PTE DANIEL</t>
  </si>
  <si>
    <t>PTE ANGELO</t>
  </si>
  <si>
    <t>PTE MATTHEW</t>
  </si>
  <si>
    <t>REC ETHAN</t>
  </si>
  <si>
    <t>REC AKMAL</t>
  </si>
  <si>
    <t>REC RUI FENG</t>
  </si>
  <si>
    <t>PTE JASPER</t>
  </si>
  <si>
    <t>PTE RIFQI</t>
  </si>
  <si>
    <t>PTE HAQIMI</t>
  </si>
  <si>
    <t>PTE DARREN</t>
  </si>
  <si>
    <t>PTE SAMEER</t>
  </si>
  <si>
    <t>PTE XIAO YU</t>
  </si>
  <si>
    <t>R2</t>
  </si>
  <si>
    <t>R</t>
  </si>
  <si>
    <t>PTE DAVID</t>
  </si>
  <si>
    <t>CPL YUSUF</t>
  </si>
  <si>
    <t>REC HAO QIAN</t>
  </si>
  <si>
    <t>PTE JIREH</t>
  </si>
  <si>
    <t>Total</t>
  </si>
  <si>
    <t>Reserve 1</t>
  </si>
  <si>
    <t>Reserve 2</t>
  </si>
  <si>
    <t>Duty Clerk</t>
  </si>
  <si>
    <t>Reserve</t>
  </si>
  <si>
    <t>6-7-24 (AM)</t>
  </si>
  <si>
    <t>6-7-24 (PM)</t>
  </si>
  <si>
    <t>7-7-24 (AM)</t>
  </si>
  <si>
    <t>7-7-24 (PM)</t>
  </si>
  <si>
    <t>13-7-24 (AM)</t>
  </si>
  <si>
    <t>13-7-24 (PM)</t>
  </si>
  <si>
    <t>14-7-24 (AM)</t>
  </si>
  <si>
    <t>14-7-24 (PM)</t>
  </si>
  <si>
    <t>20-7-24 (AM)</t>
  </si>
  <si>
    <t>20-7-24 (PM)</t>
  </si>
  <si>
    <t>21-7-24 (AM)</t>
  </si>
  <si>
    <t>21-7-24 (PM)</t>
  </si>
  <si>
    <t>27-7-24 (AM)</t>
  </si>
  <si>
    <t>27-7-24 (PM)</t>
  </si>
  <si>
    <t>28-7-24 (AM)</t>
  </si>
  <si>
    <t>28-7-24 (PM)</t>
  </si>
  <si>
    <t>PTE YORI</t>
  </si>
  <si>
    <t>PTE AMIN</t>
  </si>
  <si>
    <t>REC PARAM</t>
  </si>
  <si>
    <t>FRIDAY (AM)</t>
  </si>
  <si>
    <t>FRIDAY (PM)</t>
  </si>
  <si>
    <t>3-8-24 (AM)</t>
  </si>
  <si>
    <t>3-8-24 (PM)</t>
  </si>
  <si>
    <t>4-8-24 (AM)</t>
  </si>
  <si>
    <t>4-8-24 (PM)</t>
  </si>
  <si>
    <t>9-8-24 (AM)</t>
  </si>
  <si>
    <t>9-8-24 (PM)</t>
  </si>
  <si>
    <t>10-8-24 (AM)</t>
  </si>
  <si>
    <t>10-8-24 (PM)</t>
  </si>
  <si>
    <t>11-8-24 (AM)</t>
  </si>
  <si>
    <t>11-8-24 (PM)</t>
  </si>
  <si>
    <t>17-8-24 (AM)</t>
  </si>
  <si>
    <t>17-8-24 (PM)</t>
  </si>
  <si>
    <t>18-8-24 (AM)</t>
  </si>
  <si>
    <t>18-8-24 (PM)</t>
  </si>
  <si>
    <t>24-8-24 (AM)</t>
  </si>
  <si>
    <t>24-8-24 (PM)</t>
  </si>
  <si>
    <t>25-8-24 (AM)</t>
  </si>
  <si>
    <t>25-8-24 (PM)</t>
  </si>
  <si>
    <t>31-8-24 (AM)</t>
  </si>
  <si>
    <t>31-8-24 (PM)</t>
  </si>
  <si>
    <t>LCP ERNEST</t>
  </si>
  <si>
    <t>CPL DANIEL</t>
  </si>
  <si>
    <t>SCT YUSUF</t>
  </si>
  <si>
    <t>PTE HAO QIAN</t>
  </si>
  <si>
    <t>Excuse Stay in</t>
  </si>
  <si>
    <t>PA</t>
  </si>
  <si>
    <t>R&amp;D</t>
  </si>
  <si>
    <t>RM</t>
  </si>
  <si>
    <t>PR</t>
  </si>
  <si>
    <t>MEDIA</t>
  </si>
  <si>
    <t>TCRS 3</t>
  </si>
  <si>
    <t>OPS RM</t>
  </si>
  <si>
    <t>TRG BR</t>
  </si>
  <si>
    <t xml:space="preserve"> </t>
  </si>
  <si>
    <t>1-9-24 (AM)</t>
  </si>
  <si>
    <t>1-9-24 (PM)</t>
  </si>
  <si>
    <t>7-9-24 (AM)</t>
  </si>
  <si>
    <t>7-9-24 (PM)</t>
  </si>
  <si>
    <t>8-9-24 (AM)</t>
  </si>
  <si>
    <t>8-9-24 (PM)</t>
  </si>
  <si>
    <t>14-9-24 (AM)</t>
  </si>
  <si>
    <t>14-9-24 (PM)</t>
  </si>
  <si>
    <t>15-9-24 (AM)</t>
  </si>
  <si>
    <t>15-9-24 (PM)</t>
  </si>
  <si>
    <t>21-9-24 (AM)</t>
  </si>
  <si>
    <t>21-9-24 (PM)</t>
  </si>
  <si>
    <t>22-9-24 (AM)</t>
  </si>
  <si>
    <t>22-9-24 (PM)</t>
  </si>
  <si>
    <t>28-9-24 (AM)</t>
  </si>
  <si>
    <t>28-9-24 (PM)</t>
  </si>
  <si>
    <t>29-9-24 (AM)</t>
  </si>
  <si>
    <t>29-9-24 (PM)</t>
  </si>
  <si>
    <t>LCP FIRMAN</t>
  </si>
  <si>
    <t>LCP ADAM</t>
  </si>
  <si>
    <t>SCT DANIEL</t>
  </si>
  <si>
    <t>REC ASH</t>
  </si>
  <si>
    <t xml:space="preserve">                                                                                                                                                                                                                                                                                                                                                                                                                                                                                                                                                                                                                                                                                                                                                                                                                                                                                                                                                                                                                                                                                                                                                                                                                                                                                                                                                                                                                                                                                                           </t>
  </si>
  <si>
    <t>PTE IDHAR</t>
  </si>
  <si>
    <t>PTE OREDAIN</t>
  </si>
  <si>
    <t>Total Days</t>
  </si>
  <si>
    <t>Total Personnel</t>
  </si>
  <si>
    <t>THURSDAY (AM)</t>
  </si>
  <si>
    <t>THURSDAY (PM)</t>
  </si>
  <si>
    <t>5-10-24 (AM)</t>
  </si>
  <si>
    <t>5-10-24 (PM)</t>
  </si>
  <si>
    <t>6-10-24 (AM)</t>
  </si>
  <si>
    <t>6-10-24 (PM)</t>
  </si>
  <si>
    <t>12-10-24 (AM)</t>
  </si>
  <si>
    <t>12-10-24 (PM)</t>
  </si>
  <si>
    <t>13-10-24 (AM)</t>
  </si>
  <si>
    <t>13-10-24 (PM)</t>
  </si>
  <si>
    <t>19-10-24 (AM)</t>
  </si>
  <si>
    <t>19-10-24 (PM)</t>
  </si>
  <si>
    <t>20-10-24 (AM)</t>
  </si>
  <si>
    <t>20-10-24 (PM)</t>
  </si>
  <si>
    <t>26-10-24 (AM)</t>
  </si>
  <si>
    <t>26-10-24 (PM)</t>
  </si>
  <si>
    <t>27-10-24 (AM)</t>
  </si>
  <si>
    <t>27-10-24 (PM)</t>
  </si>
  <si>
    <t xml:space="preserve">31-10-24 (PAM) </t>
  </si>
  <si>
    <t>31-10-24 (PPM)</t>
  </si>
  <si>
    <t>PTE DYLAN</t>
  </si>
  <si>
    <t>PTE AZHARI</t>
  </si>
  <si>
    <t>3SG DANIEL</t>
  </si>
  <si>
    <t>PTE ISAAC</t>
  </si>
  <si>
    <t>PTE MICHAEL</t>
  </si>
  <si>
    <t>2-11-24 (AM)</t>
  </si>
  <si>
    <t>2-11-24 (PM)</t>
  </si>
  <si>
    <t>3-11-24 (AM)</t>
  </si>
  <si>
    <t>3-11-24 (PM)</t>
  </si>
  <si>
    <t>9-11-24 (AM)</t>
  </si>
  <si>
    <t>9-11-24 (PM)</t>
  </si>
  <si>
    <t>10-11-24 (AM)</t>
  </si>
  <si>
    <t>10-11-24 (PM)</t>
  </si>
  <si>
    <t>16-11-24 (AM)</t>
  </si>
  <si>
    <t>16-11-24 (PM)</t>
  </si>
  <si>
    <t>17-11-24 (AM)</t>
  </si>
  <si>
    <t>17-11-24 (PM)</t>
  </si>
  <si>
    <t>23-11-24 (AM)</t>
  </si>
  <si>
    <t>23-11-24 (PM)</t>
  </si>
  <si>
    <t>24-11-24 (AM)</t>
  </si>
  <si>
    <t>24-11-24 (PM)</t>
  </si>
  <si>
    <t>30-11-24 (AM)</t>
  </si>
  <si>
    <t>30-11-24 (PM)</t>
  </si>
  <si>
    <t>CPL ANGELO</t>
  </si>
  <si>
    <t>LCP GLADWYN</t>
  </si>
  <si>
    <t>LCP ZI XUAN</t>
  </si>
  <si>
    <t>3SG YAOCHEN</t>
  </si>
  <si>
    <t>PTE KRISHAN</t>
  </si>
  <si>
    <t>SBE</t>
  </si>
  <si>
    <t>WEDNESDAY (AM)</t>
  </si>
  <si>
    <t>WEDNESDAY (PM)</t>
  </si>
  <si>
    <t>1-12-24 (AM)</t>
  </si>
  <si>
    <t>1-12-24 (PM)</t>
  </si>
  <si>
    <t>7-12-24 (AM)</t>
  </si>
  <si>
    <t>7-12-24 (PM)</t>
  </si>
  <si>
    <t>8-12-24 (AM)</t>
  </si>
  <si>
    <t>8-12-24 (PM)</t>
  </si>
  <si>
    <t>14-12-24 (AM)</t>
  </si>
  <si>
    <t>14-12-24 (PM)</t>
  </si>
  <si>
    <t>15-12-24 (AM)</t>
  </si>
  <si>
    <t>15-12-24 (PM)</t>
  </si>
  <si>
    <t>21-12-24 (AM)</t>
  </si>
  <si>
    <t>21-12-24 (PM)</t>
  </si>
  <si>
    <t>22-12-24 (AM)</t>
  </si>
  <si>
    <t>22-12-24 (PM)</t>
  </si>
  <si>
    <t>25-12-24 (PAM)</t>
  </si>
  <si>
    <t>25-12-24 (PPM)</t>
  </si>
  <si>
    <t>28-12-24 (AM)</t>
  </si>
  <si>
    <t>28-12-24 (PM)</t>
  </si>
  <si>
    <t>29-12-24 (AM)</t>
  </si>
  <si>
    <t>29-12-24 (PM)</t>
  </si>
  <si>
    <t>LCP EZRA</t>
  </si>
  <si>
    <t>LCP AMIN</t>
  </si>
  <si>
    <t>PTE ABBAS</t>
  </si>
  <si>
    <t>PTE GABRIEL</t>
  </si>
  <si>
    <t>PTE DEXTER</t>
  </si>
  <si>
    <t>PTE INDRA</t>
  </si>
  <si>
    <t>Total Duties</t>
  </si>
  <si>
    <t>TCRS 1</t>
  </si>
  <si>
    <t>TCRS 2</t>
  </si>
  <si>
    <t>SATURDAY {AM)</t>
  </si>
  <si>
    <t>01-01-25 (PAM)</t>
  </si>
  <si>
    <t>01-01-25 (PPM)</t>
  </si>
  <si>
    <t>4-1-25 (AM)</t>
  </si>
  <si>
    <t>4-1-25 (PM)</t>
  </si>
  <si>
    <t>5-1-25 (AM)</t>
  </si>
  <si>
    <t>5-1-25 (PM)</t>
  </si>
  <si>
    <t>11-1-25 (AM)</t>
  </si>
  <si>
    <t>11-1-25 (PM)</t>
  </si>
  <si>
    <t>12-1-25 (AM)</t>
  </si>
  <si>
    <t>12-1-25 (PM)</t>
  </si>
  <si>
    <t>18-1-25 (AM)</t>
  </si>
  <si>
    <t>18-1-25 (PM)</t>
  </si>
  <si>
    <t>19-1-25 (AM)</t>
  </si>
  <si>
    <t>19-1-25 (PM)</t>
  </si>
  <si>
    <t>25-1-25 (AM)</t>
  </si>
  <si>
    <t>25-1-25 (PM)</t>
  </si>
  <si>
    <t>26-1-25 (AM)</t>
  </si>
  <si>
    <t>26-1-25 (PM)</t>
  </si>
  <si>
    <t>29-1-25 (PAM)</t>
  </si>
  <si>
    <t>29-01-25 (PPM)</t>
  </si>
  <si>
    <t>30-01-25 (PAM)</t>
  </si>
  <si>
    <t>30-01-25 (PPM)</t>
  </si>
  <si>
    <t>PTE JEFF</t>
  </si>
  <si>
    <t>PTE RYAN</t>
  </si>
  <si>
    <t>u</t>
  </si>
  <si>
    <t>1-2-25 (AM)</t>
  </si>
  <si>
    <t>1-2-25 (PM)</t>
  </si>
  <si>
    <t>2-2-25 (AM)</t>
  </si>
  <si>
    <t>2-2-25 (PM)</t>
  </si>
  <si>
    <t>8-2-25 (AM)</t>
  </si>
  <si>
    <t>8-2-25 (PM)</t>
  </si>
  <si>
    <t>9-2-25 (AM)</t>
  </si>
  <si>
    <t>9-2-25 (PM)</t>
  </si>
  <si>
    <t>15-2-25 (AM)</t>
  </si>
  <si>
    <t>15-2-25 (PM)</t>
  </si>
  <si>
    <t>16-2-25 (AM)</t>
  </si>
  <si>
    <t>16-2-25 (PM)</t>
  </si>
  <si>
    <t>22-2-25 (AM)</t>
  </si>
  <si>
    <t>22-2-25 (PM)</t>
  </si>
  <si>
    <t>23-2-25 (AM)</t>
  </si>
  <si>
    <t>23-2-25 (PM)</t>
  </si>
  <si>
    <t>11-2-25 (AM)</t>
  </si>
  <si>
    <t>11-2-25 (PM)</t>
  </si>
  <si>
    <t>12-2-25 (AM)</t>
  </si>
  <si>
    <t>12-2-25 (PM)</t>
  </si>
  <si>
    <t>30-2-25 (PPM)</t>
  </si>
  <si>
    <t>31-2-25</t>
  </si>
  <si>
    <t>CPL FIRMAN</t>
  </si>
  <si>
    <t>PTE JULLION</t>
  </si>
  <si>
    <t>PTE TRISTAN</t>
  </si>
  <si>
    <t>PTE MITCHELL</t>
  </si>
  <si>
    <t>PTE CLARENCE</t>
  </si>
  <si>
    <t>PTE SURIA</t>
  </si>
  <si>
    <t>PTE NICO</t>
  </si>
  <si>
    <t>PTE JERRYL</t>
  </si>
  <si>
    <t>3SG YUSUF</t>
  </si>
  <si>
    <t>CPL JIREH</t>
  </si>
  <si>
    <t>MONDAY (PAM)</t>
  </si>
  <si>
    <t>MONDAY (PPM)</t>
  </si>
  <si>
    <t>1-3-25 (AM)</t>
  </si>
  <si>
    <t>1-3-25 (PM)</t>
  </si>
  <si>
    <t>2-3-25 (AM)</t>
  </si>
  <si>
    <t>2-3-25 (PM)</t>
  </si>
  <si>
    <t>8-3-25 (AM)</t>
  </si>
  <si>
    <t>8-3-25 (PM)</t>
  </si>
  <si>
    <t>9-3-25 (AM)</t>
  </si>
  <si>
    <t>9-3-25 (PM)</t>
  </si>
  <si>
    <t>15-3-25 (AM)</t>
  </si>
  <si>
    <t>15-3-25 (PM)</t>
  </si>
  <si>
    <t>16-3-25 (AM)</t>
  </si>
  <si>
    <t>16-3-25 (PM)</t>
  </si>
  <si>
    <t>22-3-25 (AM)</t>
  </si>
  <si>
    <t>22-3-25 (PM)</t>
  </si>
  <si>
    <t>23-3-25 (AM)</t>
  </si>
  <si>
    <t>23-3-25 (PM)</t>
  </si>
  <si>
    <t>29-3-25 (AM)</t>
  </si>
  <si>
    <t>29-3-25 (PM)</t>
  </si>
  <si>
    <t>30-3-25 (AM)</t>
  </si>
  <si>
    <t>30-3-25 (PM)</t>
  </si>
  <si>
    <t>31-3-25 (PAM)</t>
  </si>
  <si>
    <t>31-3-25 (PPM)</t>
  </si>
  <si>
    <t>SATURDAY</t>
  </si>
  <si>
    <t>SUNDAY</t>
  </si>
  <si>
    <t>5-4-25 (AM)</t>
  </si>
  <si>
    <t>5-4-25 (PM)</t>
  </si>
  <si>
    <t>6-4-25 (AM)</t>
  </si>
  <si>
    <t>6-4-25 (PM)</t>
  </si>
  <si>
    <t>12-4-25 (AM)</t>
  </si>
  <si>
    <t>12-4-25 (PM)</t>
  </si>
  <si>
    <t>13-4-25 (AM)</t>
  </si>
  <si>
    <t>13-4-25 (PM)</t>
  </si>
  <si>
    <t>18-4-25 (PAM)</t>
  </si>
  <si>
    <t>18-4-25 (PPM)</t>
  </si>
  <si>
    <t>19-4-25 (AM)</t>
  </si>
  <si>
    <t>19-4-25 (PM)</t>
  </si>
  <si>
    <t>20-4-25 (AM)</t>
  </si>
  <si>
    <t>20-4-25 (PM)</t>
  </si>
  <si>
    <t>26-4-25 (AM)</t>
  </si>
  <si>
    <t>26-4-25 (PM)</t>
  </si>
  <si>
    <t>27-4-25 (AM)</t>
  </si>
  <si>
    <t>27-4-25 (PM)</t>
  </si>
  <si>
    <t>PTE NATHAN</t>
  </si>
  <si>
    <t>PTE SUSHIL</t>
  </si>
  <si>
    <t>1-5-25 (PAM)</t>
  </si>
  <si>
    <t>1-5-25 (PPM)</t>
  </si>
  <si>
    <t>3-5-25 (AM)</t>
  </si>
  <si>
    <t>3-5-25 (PM)</t>
  </si>
  <si>
    <t>4-5-25 (AM)</t>
  </si>
  <si>
    <t>4-5-25 (PM)</t>
  </si>
  <si>
    <t>10-5-25 (AM)</t>
  </si>
  <si>
    <t>10-5-25 (PM)</t>
  </si>
  <si>
    <t>11-5-25 (AM)</t>
  </si>
  <si>
    <t>11-5-25 (PM)</t>
  </si>
  <si>
    <t>12-5-25 (PAM)</t>
  </si>
  <si>
    <t>12-5-25 (PPM)</t>
  </si>
  <si>
    <t>17-5-25 (AM)</t>
  </si>
  <si>
    <t>17-5-25 (PM)</t>
  </si>
  <si>
    <t>18-5-25 (AM)</t>
  </si>
  <si>
    <t>18-5-25 (PM)</t>
  </si>
  <si>
    <t>24-5-25 (AM)</t>
  </si>
  <si>
    <t>24-5-25 (PM)</t>
  </si>
  <si>
    <t>25-5-25 (AM)</t>
  </si>
  <si>
    <t>25-5-25 (PM)</t>
  </si>
  <si>
    <t>31-5-25 (AM)</t>
  </si>
  <si>
    <t>31-5-25 (PM)</t>
  </si>
  <si>
    <t>PTE TRISTEN</t>
  </si>
  <si>
    <t>LCP MITCHELL</t>
  </si>
  <si>
    <t>PTE ANISH</t>
  </si>
  <si>
    <t>PTE IZDIHAR</t>
  </si>
  <si>
    <t>CPL MICHAEL</t>
  </si>
  <si>
    <t>CPL AZHARI</t>
  </si>
  <si>
    <t>PTE PARAM</t>
  </si>
  <si>
    <t>LCP SURIA</t>
  </si>
  <si>
    <t>LCP JERRYL</t>
  </si>
  <si>
    <t>1-6-25 (AM)</t>
  </si>
  <si>
    <t>1-6-25 (PM)</t>
  </si>
  <si>
    <t>7-6-25 (AM)</t>
  </si>
  <si>
    <t>7-6-25 (PM)</t>
  </si>
  <si>
    <t>8-6-25 (AM)</t>
  </si>
  <si>
    <t>8-6-25 (PM)</t>
  </si>
  <si>
    <t>14-6-25 (AM)</t>
  </si>
  <si>
    <t>14-6-25 (PM)</t>
  </si>
  <si>
    <t>15-6-25 (AM)</t>
  </si>
  <si>
    <t>15-6-25 (PM)</t>
  </si>
  <si>
    <t>21-6-25 (AM)</t>
  </si>
  <si>
    <t>21-6-25 (PM)</t>
  </si>
  <si>
    <t>22-6-25 (AM)</t>
  </si>
  <si>
    <t>22-6-25 (PM)</t>
  </si>
  <si>
    <t>28-6-25 (AM)</t>
  </si>
  <si>
    <t>28-6-25 (PM)</t>
  </si>
  <si>
    <t>29-6-25 (AM)</t>
  </si>
  <si>
    <t>29-6-25 (PM)</t>
  </si>
  <si>
    <t>PTE HARITH</t>
  </si>
  <si>
    <t>PTE SYAFIQ</t>
  </si>
  <si>
    <t>LCP ISAAC</t>
  </si>
  <si>
    <t>LCP NICO</t>
  </si>
  <si>
    <t>PTE BRYAN</t>
  </si>
  <si>
    <t>PTE BARATHAN</t>
  </si>
  <si>
    <t xml:space="preserve">FRIDAY </t>
  </si>
  <si>
    <t>5-7-25 (AM)</t>
  </si>
  <si>
    <t>5-7-25 (PM)</t>
  </si>
  <si>
    <t>6-7-25 (AM)</t>
  </si>
  <si>
    <t>6-7-25 (PM)</t>
  </si>
  <si>
    <t>12-7-25 (AM)</t>
  </si>
  <si>
    <t>12-7-25 (PM)</t>
  </si>
  <si>
    <t>13-7-25 (AM)</t>
  </si>
  <si>
    <t>13-7-25 (PM)</t>
  </si>
  <si>
    <t>19-7-25 (AM)</t>
  </si>
  <si>
    <t>19-7-25 (PM)</t>
  </si>
  <si>
    <t>20-7-25 (AM)</t>
  </si>
  <si>
    <t>20-7-25 (PM)</t>
  </si>
  <si>
    <t>25-7-25 (AM)</t>
  </si>
  <si>
    <t>25-7-25 (PM)</t>
  </si>
  <si>
    <t>26-7-25 (AM)</t>
  </si>
  <si>
    <t>26-7-25 (PM)</t>
  </si>
  <si>
    <t>27-725 (AM)</t>
  </si>
  <si>
    <t>27-725 (PM)</t>
  </si>
  <si>
    <t>PTE JEREMIAH</t>
  </si>
  <si>
    <t>PTE KAI JIE</t>
  </si>
  <si>
    <t>PTE DARRYL</t>
  </si>
  <si>
    <t>CPL KRISHAN</t>
  </si>
  <si>
    <t>PTE RYAN T</t>
  </si>
  <si>
    <t>LCP DYLAN</t>
  </si>
  <si>
    <t>PTE  HILAL</t>
  </si>
  <si>
    <t>Friday</t>
  </si>
  <si>
    <t xml:space="preserve">Saturday </t>
  </si>
  <si>
    <t>Saturday</t>
  </si>
  <si>
    <t>Sunday</t>
  </si>
  <si>
    <t>Monday</t>
  </si>
  <si>
    <t>Tuesday</t>
  </si>
  <si>
    <t>Wednesday</t>
  </si>
  <si>
    <t>Thursday</t>
  </si>
  <si>
    <t>2-8-25 (AM)</t>
  </si>
  <si>
    <t>2-8-25 (PM)</t>
  </si>
  <si>
    <t>3-8-25 (AM)</t>
  </si>
  <si>
    <t>3-8-25 (PM)</t>
  </si>
  <si>
    <t>9-8-25 (AM)</t>
  </si>
  <si>
    <t>9-8-25 (PM)</t>
  </si>
  <si>
    <t>10-8-25 (AM)</t>
  </si>
  <si>
    <t>10-8-25 (PM)</t>
  </si>
  <si>
    <t>16-8-25 (AM)</t>
  </si>
  <si>
    <t>16-8-25 (PM)</t>
  </si>
  <si>
    <t>17-8-25 (AM)</t>
  </si>
  <si>
    <t>17-8-25 (PM)</t>
  </si>
  <si>
    <t>23-8-25 (AM)</t>
  </si>
  <si>
    <t>23-8-25 (PM)</t>
  </si>
  <si>
    <t>24-8-25 (AM)</t>
  </si>
  <si>
    <t>24-8-25 (PM)</t>
  </si>
  <si>
    <t>30-8-25 (AM)</t>
  </si>
  <si>
    <t>30-8-25 (PM)</t>
  </si>
  <si>
    <t>31-8-25 (AM)</t>
  </si>
  <si>
    <t>31-8-25 (PM)</t>
  </si>
  <si>
    <t>PTE SIDD</t>
  </si>
  <si>
    <t>CPL SURIA</t>
  </si>
  <si>
    <t>CPL RYAN</t>
  </si>
  <si>
    <t>PTE HARRY</t>
  </si>
  <si>
    <t>6-9-25 (AM)</t>
  </si>
  <si>
    <t>6-9-25 (PM)</t>
  </si>
  <si>
    <t>7-9-25 (AM)</t>
  </si>
  <si>
    <t>7-9-25 (PM)</t>
  </si>
  <si>
    <t>13-9-25 (AM)</t>
  </si>
  <si>
    <t>13-9-25 (PM)</t>
  </si>
  <si>
    <t>14-9-25 (AM)</t>
  </si>
  <si>
    <t>14-9-25 (PM)</t>
  </si>
  <si>
    <t xml:space="preserve">20-9-25 (AM) </t>
  </si>
  <si>
    <t xml:space="preserve">20-9-25 (PM) </t>
  </si>
  <si>
    <t>21-9-25 (AM)</t>
  </si>
  <si>
    <t>21-9-25 (PM)</t>
  </si>
  <si>
    <t>27-9-25 (AM)</t>
  </si>
  <si>
    <t>27-9-25 (PM)</t>
  </si>
  <si>
    <t>28-9-25 (AM)</t>
  </si>
  <si>
    <t>28-9-25 (PM)</t>
  </si>
  <si>
    <t>PTE EE BING</t>
  </si>
  <si>
    <t>PTE ANISH VINAAYAK SIVASANKAR</t>
  </si>
  <si>
    <t>PTE DARYL</t>
  </si>
  <si>
    <t xml:space="preserve">PTE CLARENCE ONG JUN YI </t>
  </si>
  <si>
    <t>PTE HARITH RUSYDI BIN AMDAN</t>
  </si>
  <si>
    <t>LCP ISAAC LOH KA LOK</t>
  </si>
  <si>
    <t>SCT RYAN</t>
  </si>
  <si>
    <t>PTE BRYAN MARC MEHAR</t>
  </si>
  <si>
    <t>PTE BARATHAN  S/O JEGANATHAN</t>
  </si>
  <si>
    <t>PTE ASH</t>
  </si>
  <si>
    <t>CHEONG JUN KAI, HARRY</t>
  </si>
  <si>
    <t xml:space="preserve">PTE SUSHILTHERAN NAIR S/O SIRITHERAN </t>
  </si>
  <si>
    <t xml:space="preserve">PTE REUVEN YAP KIAN GUAN </t>
  </si>
  <si>
    <t>PTE WANG XINHANG</t>
  </si>
  <si>
    <t xml:space="preserve">4-10-25 (AM) </t>
  </si>
  <si>
    <t>4-10-25 (PM)</t>
  </si>
  <si>
    <t>5-10-25 (AM)</t>
  </si>
  <si>
    <t>5-10-25 (PM)</t>
  </si>
  <si>
    <t>11-10-25 (AM)</t>
  </si>
  <si>
    <t>11-10-25 (PM)</t>
  </si>
  <si>
    <t>12-10-25 (AM)</t>
  </si>
  <si>
    <t>12-10-25 (PM)</t>
  </si>
  <si>
    <t>18-10-25 (AM)</t>
  </si>
  <si>
    <t>18-10-25 (PM)</t>
  </si>
  <si>
    <t>19-10-25 (AM)</t>
  </si>
  <si>
    <t>19-10-25 (PM)</t>
  </si>
  <si>
    <t xml:space="preserve">20-10-25 (AM) </t>
  </si>
  <si>
    <t>20-10-25 (PM)</t>
  </si>
  <si>
    <t>25-10-25 (AM)</t>
  </si>
  <si>
    <t>25-10-25 (PM)</t>
  </si>
  <si>
    <t>26-10-25 (AM)</t>
  </si>
  <si>
    <t>26-10-25 (PM)</t>
  </si>
  <si>
    <t xml:space="preserve">LCP AL EZRA BIN MOHAMED AL JOHAN </t>
  </si>
  <si>
    <t>PTE MUHAMMAD HILAL IZDIHAR BIN MOHAMAD IZZUL SHAH</t>
  </si>
  <si>
    <t>PTE OH EE BING</t>
  </si>
  <si>
    <t>PTE JEREMIAH FOO JI SHUAN</t>
  </si>
  <si>
    <t>PTE CHEONG KAI JIE</t>
  </si>
  <si>
    <t xml:space="preserve">PTE JULLION THNG AIK HONG </t>
  </si>
  <si>
    <t xml:space="preserve">LCP MITCHELL LIM </t>
  </si>
  <si>
    <t>PTE DARYL SEOW  SHI YU</t>
  </si>
  <si>
    <t xml:space="preserve">PTE SHAVIN VALEN </t>
  </si>
  <si>
    <t>PTE TAN WEI JIE</t>
  </si>
  <si>
    <t>PTE HUANG JIANHAO</t>
  </si>
  <si>
    <t xml:space="preserve">PTE EBRAHIM HAKEEM BIN AMEEHAR </t>
  </si>
  <si>
    <t>3SG QI YANG</t>
  </si>
  <si>
    <t xml:space="preserve">PTE PARAM MEHROTRA </t>
  </si>
  <si>
    <t>PTE MUHAMMAD NORSYAFIQ BIN SELAMAT</t>
  </si>
  <si>
    <t>PTE RYAN TAY RUI YANG</t>
  </si>
  <si>
    <t xml:space="preserve">PTE SIDDARTH SREEKUMAR CHERUBAL </t>
  </si>
  <si>
    <t>CPL SURIAPRAKASH THRIUVALAKU</t>
  </si>
  <si>
    <t xml:space="preserve">LCP NICO CHUA WEE FONG </t>
  </si>
  <si>
    <t>LCP DYLAN TAN</t>
  </si>
  <si>
    <t xml:space="preserve">LCP JERRYL TAN MING JIE </t>
  </si>
  <si>
    <t>3SG RYAN LIM WEI</t>
  </si>
  <si>
    <t>PTE ASHRAVEN S/O SIVARAMAN</t>
  </si>
  <si>
    <t>PTE CHEONG JUN KAI, HARRY</t>
  </si>
  <si>
    <t>PTE CHONG SIANG NATHAN</t>
  </si>
  <si>
    <t xml:space="preserve">must understudy: wei jie, shavin, jianhao, qi yang?, hakeem, </t>
  </si>
  <si>
    <t>shavin understudy clarence oct 7 tues</t>
  </si>
  <si>
    <t>wei jie understudy me? oc</t>
  </si>
  <si>
    <t xml:space="preserve">SME </t>
  </si>
  <si>
    <t xml:space="preserve">Sunday </t>
  </si>
  <si>
    <t>1-11-25 (AM)</t>
  </si>
  <si>
    <t>1-11-25 (PM)</t>
  </si>
  <si>
    <t>2-11-25 (AM)</t>
  </si>
  <si>
    <t>2-11-25 (PM)</t>
  </si>
  <si>
    <t>8-11-25 (AM)</t>
  </si>
  <si>
    <t>8-11-25 (PM)</t>
  </si>
  <si>
    <t>9-11-25 (AM)</t>
  </si>
  <si>
    <t>9-11-25 (PM)</t>
  </si>
  <si>
    <t>15-11-25 (AM)</t>
  </si>
  <si>
    <t>15-11-25 (PM)</t>
  </si>
  <si>
    <t>16-11-25 (AM)</t>
  </si>
  <si>
    <t>16-11-25 (PM)</t>
  </si>
  <si>
    <t>22-11-25 (AM)</t>
  </si>
  <si>
    <t>22-11-25 (PM)</t>
  </si>
  <si>
    <t>23-11-25 (AM)</t>
  </si>
  <si>
    <t>23-11-25 (PM)</t>
  </si>
  <si>
    <t>29-11-25 (AM)</t>
  </si>
  <si>
    <t>29-11-25 (PM)</t>
  </si>
  <si>
    <t>30-11-25 (AM)</t>
  </si>
  <si>
    <t>30-11-25 (PM)</t>
  </si>
  <si>
    <t xml:space="preserve">PTE FATHUL HAKIM BIN MUHAMMAD FAUZI </t>
  </si>
  <si>
    <t xml:space="preserve">REC MUHAMMAD NUR HAKIM BIN SHAHARIZIN </t>
  </si>
  <si>
    <t xml:space="preserve">PTE MOHAMED ROSHAN AKTAR BIN AZEES ALI </t>
  </si>
  <si>
    <t xml:space="preserve">REC MUHAMAD RIFQY AQIL BIN MUHAMAD SHAH </t>
  </si>
  <si>
    <t>dec ash -1 duty requested</t>
  </si>
  <si>
    <t>nov ash +1 duty requested</t>
  </si>
  <si>
    <t xml:space="preserve">understudy </t>
  </si>
  <si>
    <t>shavin -1</t>
  </si>
  <si>
    <t>- hakim</t>
  </si>
  <si>
    <t>11th nov ryan</t>
  </si>
  <si>
    <t>- fathul</t>
  </si>
  <si>
    <t>17 nov daryl</t>
  </si>
  <si>
    <t>-roshan</t>
  </si>
  <si>
    <t>???</t>
  </si>
  <si>
    <t>reuven no duty december</t>
  </si>
  <si>
    <t>- rifqy</t>
  </si>
  <si>
    <t xml:space="preserve">nov 22 reuven </t>
  </si>
  <si>
    <t>6-12-25 (AM)</t>
  </si>
  <si>
    <t>6-12-25 (PM)</t>
  </si>
  <si>
    <t>7-12-25 (AM)</t>
  </si>
  <si>
    <t>7-12-25 (PM)</t>
  </si>
  <si>
    <t>13-12-25 (AM)</t>
  </si>
  <si>
    <t>13-12-25 (PM)</t>
  </si>
  <si>
    <t>14-12-25 (AM)</t>
  </si>
  <si>
    <t>14-12-25 (PM)</t>
  </si>
  <si>
    <t>20-12-25 (AM)</t>
  </si>
  <si>
    <t>20-12-25 (PM)</t>
  </si>
  <si>
    <t>21-12-25 (AM)</t>
  </si>
  <si>
    <t>21-12-25 (PM)</t>
  </si>
  <si>
    <t>25-12-25 (AM)</t>
  </si>
  <si>
    <t>25-12-25 (PM)</t>
  </si>
  <si>
    <t>27-12-25 (AM)</t>
  </si>
  <si>
    <t>27-12-25 (PM)</t>
  </si>
  <si>
    <t>28-12-25 (AM)</t>
  </si>
  <si>
    <t>28-12-25 (PM)</t>
  </si>
  <si>
    <t>CPL ANISH VINAAYAK SIVASANKAR</t>
  </si>
  <si>
    <t xml:space="preserve">CPL MITCHELL LIM </t>
  </si>
  <si>
    <t>CPL ISAAC LOH KA LOK</t>
  </si>
  <si>
    <t xml:space="preserve">CPL NICO CHUA WEE FONG </t>
  </si>
  <si>
    <t xml:space="preserve">CPL JERRYL TAN MING JIE </t>
  </si>
  <si>
    <t>PTE TRISTEN LIM XING YU</t>
  </si>
  <si>
    <t>anish -1</t>
  </si>
  <si>
    <t>wei jie -1</t>
  </si>
  <si>
    <t>- roshan</t>
  </si>
  <si>
    <t>harry -1</t>
  </si>
  <si>
    <t xml:space="preserve">1/2 OIL ( chritmas) </t>
  </si>
  <si>
    <t>- jianhao</t>
  </si>
  <si>
    <t xml:space="preserve">param no duty jan </t>
  </si>
  <si>
    <t>- shavin</t>
  </si>
  <si>
    <t>sidd +2</t>
  </si>
  <si>
    <t>syafiq +1</t>
  </si>
  <si>
    <t>barathan +3</t>
  </si>
  <si>
    <t xml:space="preserve">ee bing jan -1 duty due to NYE </t>
  </si>
  <si>
    <t>bryan +1 jan</t>
  </si>
  <si>
    <t>1-1-26 (AM)</t>
  </si>
  <si>
    <t>1-1-26 (PM)</t>
  </si>
  <si>
    <t>2-1-26 (AM)</t>
  </si>
  <si>
    <t>2-1-26 (PM)</t>
  </si>
  <si>
    <t>3-1-26 (AM)</t>
  </si>
  <si>
    <t>3-1-26 (PM)</t>
  </si>
  <si>
    <t>4-1-26 (AM)</t>
  </si>
  <si>
    <t>4-1-26 (PM)</t>
  </si>
  <si>
    <t>10-1-26 (AM)</t>
  </si>
  <si>
    <t>10-1-26 (PM)</t>
  </si>
  <si>
    <t>11-1-26 (AM)</t>
  </si>
  <si>
    <t>11-1-26 (PM)</t>
  </si>
  <si>
    <t>17-1-26 (AM)</t>
  </si>
  <si>
    <t>17-1-26 (PM)</t>
  </si>
  <si>
    <t>18-1-26 (AM)</t>
  </si>
  <si>
    <t>18-1-26 (PM)</t>
  </si>
  <si>
    <t>24-1-26 (AM)</t>
  </si>
  <si>
    <t>24-1-26 (PM)</t>
  </si>
  <si>
    <t>25-1-26 (AM)</t>
  </si>
  <si>
    <t>25-1-26 (PM)</t>
  </si>
  <si>
    <t>31-1-26 (AM)</t>
  </si>
  <si>
    <t>31-1-26 (PM)</t>
  </si>
  <si>
    <t>PTE SHYEIKH SALEH HUSSAIN BIN MOHAMMED SULAIMAN</t>
  </si>
  <si>
    <t>PTE GUO JUNQI LEO</t>
  </si>
  <si>
    <t>LCP IMRAN</t>
  </si>
  <si>
    <t>ee bing no duty jan</t>
  </si>
  <si>
    <t>param no duty jan</t>
  </si>
  <si>
    <t>-saleh</t>
  </si>
  <si>
    <t>daryl 19th</t>
  </si>
  <si>
    <t>-leo</t>
  </si>
  <si>
    <t>ashraven</t>
  </si>
  <si>
    <t>isaac -1</t>
  </si>
  <si>
    <t>o</t>
  </si>
  <si>
    <t xml:space="preserve">suria +1 </t>
  </si>
  <si>
    <t xml:space="preserve">clarence -2 </t>
  </si>
  <si>
    <t xml:space="preserve">roshan +2 </t>
  </si>
  <si>
    <t xml:space="preserve">jianhao -1 </t>
  </si>
  <si>
    <t>feb</t>
  </si>
  <si>
    <t>Bryan +2</t>
  </si>
  <si>
    <t xml:space="preserve">nathan -1 </t>
  </si>
  <si>
    <t xml:space="preserve">fathul -1 </t>
  </si>
  <si>
    <t xml:space="preserve">imran +1 </t>
  </si>
  <si>
    <t>handsome daryl +1</t>
  </si>
  <si>
    <t>hilal +1</t>
  </si>
  <si>
    <t xml:space="preserve">jeremiah +1 </t>
  </si>
  <si>
    <t xml:space="preserve">feb </t>
  </si>
  <si>
    <t>rifqy +1</t>
  </si>
  <si>
    <t xml:space="preserve">Hakeem +1 </t>
  </si>
  <si>
    <t xml:space="preserve">1-02-26 (AM) </t>
  </si>
  <si>
    <t>01-02-26 (PM)</t>
  </si>
  <si>
    <t xml:space="preserve">7-02-26 (AM) </t>
  </si>
  <si>
    <t>7-02-26 (PM)</t>
  </si>
  <si>
    <t xml:space="preserve">8-02-26 (AM) </t>
  </si>
  <si>
    <t>8-02-26 (PM)</t>
  </si>
  <si>
    <t xml:space="preserve">14-02-26 (AM) </t>
  </si>
  <si>
    <t>14-02-26 (PM)</t>
  </si>
  <si>
    <t xml:space="preserve">15-02-26 (AM) </t>
  </si>
  <si>
    <t>15-02-26 (PM)</t>
  </si>
  <si>
    <t>17-02-26 (AM)</t>
  </si>
  <si>
    <t>17-02-26 (PM)</t>
  </si>
  <si>
    <t>18-02-26 (AM)</t>
  </si>
  <si>
    <t>18-02-26 (PM)</t>
  </si>
  <si>
    <t>21-02-26 (AM)</t>
  </si>
  <si>
    <t>21-02-26 (PM)</t>
  </si>
  <si>
    <t>22-02-26 (AM)</t>
  </si>
  <si>
    <t>22-02-26 (PM)</t>
  </si>
  <si>
    <t xml:space="preserve">28-02-26 (AM) </t>
  </si>
  <si>
    <t>28-02-26 (PM)</t>
  </si>
  <si>
    <t>3SG ANISH VINAAYAK SIVASANKAR</t>
  </si>
  <si>
    <t>PTE SONG HAOYAN</t>
  </si>
  <si>
    <t>CPL AUSTIN MAXIMILLIAN KOLBE LIM KIM</t>
  </si>
  <si>
    <t>anish no weekend reserves (gg bck malaysia)</t>
  </si>
  <si>
    <t>clarence try not to give</t>
  </si>
  <si>
    <t xml:space="preserve">ash -1 </t>
  </si>
  <si>
    <t>fathul covering all of jianhao duties, 3 duties</t>
  </si>
  <si>
    <t xml:space="preserve">nico -1 </t>
  </si>
  <si>
    <t>nathan -1</t>
  </si>
  <si>
    <t xml:space="preserve">hakim -1 </t>
  </si>
  <si>
    <t>Clerk</t>
  </si>
  <si>
    <t>R1</t>
  </si>
  <si>
    <t>WED</t>
  </si>
  <si>
    <t xml:space="preserve">1 - 03 - 26 (AM) </t>
  </si>
  <si>
    <t xml:space="preserve">01 - 03 - 26 (PM) </t>
  </si>
  <si>
    <t xml:space="preserve">02 - 03 - 26 </t>
  </si>
  <si>
    <t>03 - 03 - 26</t>
  </si>
  <si>
    <t>04 -03 - 26</t>
  </si>
  <si>
    <t>05 - 03 - 26</t>
  </si>
  <si>
    <t>06 - 03 - 26</t>
  </si>
  <si>
    <t>07 - 03 - 26 (AM)</t>
  </si>
  <si>
    <t>07 -03 - 26 (PM)</t>
  </si>
  <si>
    <t xml:space="preserve">08- 03 - 26 (AM) </t>
  </si>
  <si>
    <t xml:space="preserve">08 - 03 - 26 (PM) </t>
  </si>
  <si>
    <t xml:space="preserve">09 - 03 - 26 </t>
  </si>
  <si>
    <t>10 - 03 - 26</t>
  </si>
  <si>
    <t>11 -03 - 26</t>
  </si>
  <si>
    <t>12 - 03 - 26</t>
  </si>
  <si>
    <t>13 - 03 - 26</t>
  </si>
  <si>
    <t>14- 03 - 26 (AM)</t>
  </si>
  <si>
    <t>14 -03 - 26 (PM)</t>
  </si>
  <si>
    <t xml:space="preserve">15 - 03 - 26 (AM) </t>
  </si>
  <si>
    <t xml:space="preserve">15 - 03 - 26 (PM) </t>
  </si>
  <si>
    <t xml:space="preserve">16 - 03 - 26 </t>
  </si>
  <si>
    <t>17 - 03 - 26</t>
  </si>
  <si>
    <t>18 -03 - 26</t>
  </si>
  <si>
    <t>19 - 03 - 26</t>
  </si>
  <si>
    <t>20 - 03 - 26</t>
  </si>
  <si>
    <t>21 - 03 - 26 (AM)</t>
  </si>
  <si>
    <t>21 -03 - 26 (PM)</t>
  </si>
  <si>
    <t xml:space="preserve">22 - 03 - 26 (AM) </t>
  </si>
  <si>
    <t xml:space="preserve">22 - 03 - 26 (PM) </t>
  </si>
  <si>
    <t xml:space="preserve">23 - 03 - 26 </t>
  </si>
  <si>
    <t>24 - 03 - 26</t>
  </si>
  <si>
    <t>25 -03 - 26</t>
  </si>
  <si>
    <t>26 - 03 - 26</t>
  </si>
  <si>
    <t>27 - 03 - 26</t>
  </si>
  <si>
    <t>28 - 03 - 26 (AM)</t>
  </si>
  <si>
    <t>28 -03 - 26 (PM)</t>
  </si>
  <si>
    <t xml:space="preserve">29 - 03 - 26 (AM) </t>
  </si>
  <si>
    <t xml:space="preserve">29 - 03 - 26 (PM) </t>
  </si>
  <si>
    <t>30 - 03 - 26</t>
  </si>
  <si>
    <t>31 - 03 - 26</t>
  </si>
  <si>
    <t xml:space="preserve">PTE HUANG JIANHAO </t>
  </si>
  <si>
    <t>Nico no reserves no duties mar</t>
  </si>
  <si>
    <t>jeremiah  weekends has church, please avoid. if must ask first; give ample forwarning</t>
  </si>
  <si>
    <t>harry 1 duty mar</t>
  </si>
  <si>
    <t>CONSOLIDATED RIFQY +2</t>
  </si>
  <si>
    <t>ee bing no weekend or friday (stay malaysia)</t>
  </si>
  <si>
    <t xml:space="preserve">clarence 0 </t>
  </si>
  <si>
    <t>anish no weekend or friday (stay malaysia)</t>
  </si>
  <si>
    <t>jeremiah -1, wei jie +1</t>
  </si>
  <si>
    <t>rifqy aqil no weekend Duty (marrige + GF preggers)</t>
  </si>
  <si>
    <t xml:space="preserve">saleh -1, rifqy +1 </t>
  </si>
  <si>
    <t>roshan long term mc end 30 mar</t>
  </si>
  <si>
    <t>Sidd 0</t>
  </si>
  <si>
    <t xml:space="preserve">jullion long term mc end </t>
  </si>
  <si>
    <t>nathan 1 duty mar</t>
  </si>
  <si>
    <t>nico 0</t>
  </si>
  <si>
    <t>SIGNALS</t>
  </si>
  <si>
    <t>bryana 0?</t>
  </si>
  <si>
    <t>hakimno duties mar --&gt; put 1 duty under his name because fathul will be doing it</t>
  </si>
  <si>
    <t>ISAAC APR MAY NO DUTIES</t>
  </si>
  <si>
    <t>syafiq +4 --&gt; clear 2 in mar, 2 apr</t>
  </si>
  <si>
    <t>03-04-26 (AM)</t>
  </si>
  <si>
    <t>03-04-26 (PM)</t>
  </si>
  <si>
    <t>04-04-26 (AM)</t>
  </si>
  <si>
    <t>04-04-26 (PM)</t>
  </si>
  <si>
    <t>05-04-26 (AM)</t>
  </si>
  <si>
    <t>05-04-26 (PM)</t>
  </si>
  <si>
    <t>10-04-26 (AM)</t>
  </si>
  <si>
    <t>10-04-26 (PM)</t>
  </si>
  <si>
    <t>11-04-26 (AM)</t>
  </si>
  <si>
    <t>11-04-26 (PM)</t>
  </si>
  <si>
    <t>12-04-26 (AM)</t>
  </si>
  <si>
    <t>12-04-26 (PM)</t>
  </si>
  <si>
    <t>18-04-26 (AM)</t>
  </si>
  <si>
    <t>18-04-26 (PM)</t>
  </si>
  <si>
    <t xml:space="preserve">19-04-26 (AM) </t>
  </si>
  <si>
    <t>19-04-26 (PM)</t>
  </si>
  <si>
    <t>25-04-26 (AM)</t>
  </si>
  <si>
    <t>25-04-26 (PM)</t>
  </si>
  <si>
    <t xml:space="preserve">26-04-26 (AM) </t>
  </si>
  <si>
    <t>26-04-26 (PM)</t>
  </si>
  <si>
    <t>PTE AKMAL AHMAD PUTRA BIN SAMAD</t>
  </si>
  <si>
    <t>REC RAFALE</t>
  </si>
  <si>
    <t>36 DUTIES 27 CLERKS</t>
  </si>
  <si>
    <t>understudy</t>
  </si>
  <si>
    <t>akmal</t>
  </si>
  <si>
    <t xml:space="preserve">rafale </t>
  </si>
  <si>
    <t>15th, under ryan</t>
  </si>
  <si>
    <t xml:space="preserve">4 EXTRAS </t>
  </si>
  <si>
    <t>bryan+7</t>
  </si>
  <si>
    <t xml:space="preserve">extra </t>
  </si>
  <si>
    <t>spit into 3 - 4</t>
  </si>
  <si>
    <t>only did 2 extras this mth</t>
  </si>
  <si>
    <t>saleh 1 extra</t>
  </si>
  <si>
    <t>Leo+1</t>
  </si>
  <si>
    <t>extra</t>
  </si>
  <si>
    <t>18th PM</t>
  </si>
  <si>
    <t>ansih +1</t>
  </si>
  <si>
    <t>12th pm</t>
  </si>
  <si>
    <t>rebmt:clarence, haoyan, xinhang</t>
  </si>
  <si>
    <t>may ord</t>
  </si>
  <si>
    <t>isaac</t>
  </si>
  <si>
    <t>kai jie</t>
  </si>
  <si>
    <t>suria</t>
  </si>
  <si>
    <t>no duty</t>
  </si>
  <si>
    <t>nico</t>
  </si>
  <si>
    <t>jerryl</t>
  </si>
  <si>
    <t>mitchell</t>
  </si>
  <si>
    <t>01-05-26 (AM)</t>
  </si>
  <si>
    <t>01-05-26 (PM)</t>
  </si>
  <si>
    <t>02-05-26 (AM)</t>
  </si>
  <si>
    <t>02-05-26 (PM)</t>
  </si>
  <si>
    <t>03-05-26 (AM)</t>
  </si>
  <si>
    <t>03-05-26 (PM)</t>
  </si>
  <si>
    <t>09-05-26 (AM)</t>
  </si>
  <si>
    <t>09-05-26 (PM)</t>
  </si>
  <si>
    <t>10-05-26 (AM)</t>
  </si>
  <si>
    <t>10-05-26 (PM)</t>
  </si>
  <si>
    <t>16-05-26 (AM)</t>
  </si>
  <si>
    <t>16-05-26 (PM)</t>
  </si>
  <si>
    <t xml:space="preserve">17-05-26 (AM) </t>
  </si>
  <si>
    <t>17-05-26 (PM)</t>
  </si>
  <si>
    <t>23-05-26 (AM)</t>
  </si>
  <si>
    <t>23-05-26 (PM)</t>
  </si>
  <si>
    <t xml:space="preserve">24-05-26 (AM) </t>
  </si>
  <si>
    <t>24-05-26 (PM)</t>
  </si>
  <si>
    <t>27-05-26 (AM)</t>
  </si>
  <si>
    <t>27-05-26 (PM)</t>
  </si>
  <si>
    <t>30-05-26 (AM)</t>
  </si>
  <si>
    <t>30-05-26 (PM)</t>
  </si>
  <si>
    <t>31-05-26 (AM)</t>
  </si>
  <si>
    <t>31-05-26 (PM)</t>
  </si>
  <si>
    <t>LCP OH EE BING</t>
  </si>
  <si>
    <t>3SG DARYL SEOW  SHI YU</t>
  </si>
  <si>
    <t xml:space="preserve">CPL SHAVIN VALEN </t>
  </si>
  <si>
    <t xml:space="preserve">CPL HUANG JIANHAO </t>
  </si>
  <si>
    <t>PTE CLARENCE ONG JUN YI</t>
  </si>
  <si>
    <t xml:space="preserve">LCP EBRAHIM HAKEEM BIN AMEEHAR </t>
  </si>
  <si>
    <t xml:space="preserve">PTE MUHAMMAD NUR HAKIM BIN SHAHARIZIN </t>
  </si>
  <si>
    <t>3SG RYAN TAY RUI YANG</t>
  </si>
  <si>
    <t>37 duties 24 clerks</t>
  </si>
  <si>
    <t>roshan long term mc end 11 may</t>
  </si>
  <si>
    <t>jullion long term mc end  30 jun</t>
  </si>
  <si>
    <t>May 2 more done'</t>
  </si>
  <si>
    <t>left 3</t>
  </si>
  <si>
    <t xml:space="preserve">3MTHS DUTIIES ROLLING AVERAGE </t>
  </si>
  <si>
    <t>3MTHS RESERVE ROLLING AVERAGE</t>
  </si>
  <si>
    <t>MAR</t>
  </si>
  <si>
    <t>APR</t>
  </si>
  <si>
    <t>MAY</t>
  </si>
  <si>
    <t>MEAN</t>
  </si>
  <si>
    <t>NOTES</t>
  </si>
  <si>
    <t>N/A</t>
  </si>
  <si>
    <t>DATASET AVERAGE</t>
  </si>
  <si>
    <t>Attached is the points table for Mar, with past 3 mths inclusive.</t>
  </si>
  <si>
    <t xml:space="preserve">Hi all, 
Attached is the forecast for *APR 2026*. Do make sure to take note of your assigned duty dates, as well as your reserve dates. Do ensure that you are available for activation if necessary on reserve dates.
If you are unable to make it for your assigned duty, it will be your responsibility to find a replacement, whether it be swapping with another clerk or activating the reserve.
And if all three duty personnel are unable to takeover duty (including reserves), duties will be covered by personnel with the least points for the month or Ops room personnel.
Duty personnel who takeover to cover the day's original duty clerk will then be assigned one less duty for the next month.
Please note that if you have been activated as Duty Personnel, it is YOUR RESPONSIBILITY to ensure that if you are unable to takeover duties, that there is someone ready to takeover in your stead. 
Some minor changes have been made, as requested. </t>
  </si>
  <si>
    <t>For Duty Clerks, each duty = 1 point (due to 12hr shifts rather than 24hr shifts). I have already accounted for extras and reserves, but if the numbers are wrong or something, please do inform me.</t>
  </si>
  <si>
    <t xml:space="preserve">JAN </t>
  </si>
  <si>
    <t>FEB</t>
  </si>
  <si>
    <t>JAN</t>
  </si>
  <si>
    <t>NR</t>
  </si>
  <si>
    <t>For those with "N/A" in their points, this is because you hadn't yet done duty. please refer to the notes column instead of the averages.</t>
  </si>
  <si>
    <t>The formula is (No of duties in month + month-1 + month-2)/3. For those with N/A, it is just excludes months that you haven't joined us when dividing the total. I hope this gives some clarity on the points and averages. Again, please be reminded that those with the least points will be activated in the event of an r3.</t>
  </si>
  <si>
    <t xml:space="preserve">Today clerk </t>
  </si>
  <si>
    <t>V - MY</t>
  </si>
  <si>
    <t>Please also note that the reserve points for ex stay in personnel is higher than normal due to jan and feb, as were only able to perform duty on weekend AMs, resulting in a much more limited pool of clerks and possible dates. This will change from March onwards.</t>
  </si>
  <si>
    <t>low due to dec</t>
  </si>
  <si>
    <t>noted errors / notable notes</t>
  </si>
  <si>
    <t>clarence's points looks really funky because he was activated / volunteered twice on a whim in dec</t>
  </si>
  <si>
    <t>sidd's jan is 1pt, 2 came from extras. average should be 1.67</t>
  </si>
  <si>
    <t>V - MC</t>
  </si>
  <si>
    <t>MAY 2026 DUTY CLERK FORECAST</t>
  </si>
  <si>
    <t>DAY</t>
  </si>
  <si>
    <t>DATE</t>
  </si>
  <si>
    <t>CLERK</t>
  </si>
  <si>
    <t>HP NO.</t>
  </si>
  <si>
    <t>BRANCH</t>
  </si>
  <si>
    <t>STANDBY</t>
  </si>
  <si>
    <t xml:space="preserve">CPLSHAVIN VALEN </t>
  </si>
  <si>
    <t>REC RAPHAEL</t>
  </si>
  <si>
    <t>17-05-26 (AM)</t>
  </si>
  <si>
    <t>Reserve2</t>
  </si>
  <si>
    <t>S/NO.</t>
  </si>
  <si>
    <t>RANK</t>
  </si>
  <si>
    <t>NAME</t>
  </si>
  <si>
    <t>RANK &amp; NAME</t>
  </si>
  <si>
    <t>ORD</t>
  </si>
  <si>
    <t>LCP</t>
  </si>
  <si>
    <t xml:space="preserve">AL EZRA BIN MOHAMED AL JOHAN </t>
  </si>
  <si>
    <t>9277 1613</t>
  </si>
  <si>
    <t>COMD OFFICE</t>
  </si>
  <si>
    <t>CPL</t>
  </si>
  <si>
    <t>9116 1387</t>
  </si>
  <si>
    <t xml:space="preserve">new guys to understudy </t>
  </si>
  <si>
    <t>PTE</t>
  </si>
  <si>
    <t>9772 2308</t>
  </si>
  <si>
    <t>ee bing</t>
  </si>
  <si>
    <t>27 aug daryl</t>
  </si>
  <si>
    <t xml:space="preserve">JULLION THNG AIK HONG </t>
  </si>
  <si>
    <t>9881 5088</t>
  </si>
  <si>
    <t>wang xinhang</t>
  </si>
  <si>
    <t>18 sept ryan t</t>
  </si>
  <si>
    <t>8715 2023</t>
  </si>
  <si>
    <t>imran</t>
  </si>
  <si>
    <t xml:space="preserve">MITCHELL LIM </t>
  </si>
  <si>
    <t>9459 6263</t>
  </si>
  <si>
    <t>MP BR</t>
  </si>
  <si>
    <t>ealy may</t>
  </si>
  <si>
    <t>-</t>
  </si>
  <si>
    <t xml:space="preserve">SHAVIN VALEN </t>
  </si>
  <si>
    <t>8808 6823</t>
  </si>
  <si>
    <t>TAN WEI JIE</t>
  </si>
  <si>
    <t>9182 1526</t>
  </si>
  <si>
    <t>SME</t>
  </si>
  <si>
    <t xml:space="preserve">HUANG JIANHAO </t>
  </si>
  <si>
    <t>8319 2860</t>
  </si>
  <si>
    <t>CLARENCE ONG JUN YI</t>
  </si>
  <si>
    <t>9712 9762</t>
  </si>
  <si>
    <t>9459 6463</t>
  </si>
  <si>
    <t xml:space="preserve">IMRAN </t>
  </si>
  <si>
    <t>in purgatory</t>
  </si>
  <si>
    <t>REC</t>
  </si>
  <si>
    <t>9628 0039</t>
  </si>
  <si>
    <t>9651 1837</t>
  </si>
  <si>
    <t xml:space="preserve">PARAM MEHROTRA </t>
  </si>
  <si>
    <t>8791 1647</t>
  </si>
  <si>
    <t>OPS ROOM</t>
  </si>
  <si>
    <t xml:space="preserve">FATHUL HAKIM BIN MUHAMMAD FAUZI </t>
  </si>
  <si>
    <t xml:space="preserve">MUHAMMAD NUR HAKIM BIN SHAHARIZIN </t>
  </si>
  <si>
    <t>ISAAC LOH KA LOK</t>
  </si>
  <si>
    <t>8228 1663</t>
  </si>
  <si>
    <t xml:space="preserve">MUHAMAD RIFQY AQIL BIN MUHAMAD SHAH </t>
  </si>
  <si>
    <t xml:space="preserve">JERRYL TAN MING JIE </t>
  </si>
  <si>
    <t>9109 1138</t>
  </si>
  <si>
    <t>SURIAPRAKASH THRIUVALAKU</t>
  </si>
  <si>
    <t xml:space="preserve">NICO CHUA WEE FONG </t>
  </si>
  <si>
    <t>9658 1199</t>
  </si>
  <si>
    <t xml:space="preserve">DYLAN TAN </t>
  </si>
  <si>
    <t>8409 2516</t>
  </si>
  <si>
    <t xml:space="preserve">EBRAHIM HAKEEM BIN AMEEHAR </t>
  </si>
  <si>
    <t>9363 9290</t>
  </si>
  <si>
    <t>GUO JUNQI LEO</t>
  </si>
  <si>
    <t>9321 8831</t>
  </si>
  <si>
    <t>SHYEIKH SALEH HUSSAIN BIN MOHAMMED SULAIMAN</t>
  </si>
  <si>
    <t>8892 9313</t>
  </si>
  <si>
    <t>SONG HAOYAN</t>
  </si>
  <si>
    <t>9651 9102</t>
  </si>
  <si>
    <t>RAPHAEL</t>
  </si>
  <si>
    <t>8514 9261</t>
  </si>
  <si>
    <t xml:space="preserve">MOHAMED ROSHAN AKTAR BIN AZEES ALI </t>
  </si>
  <si>
    <t>AKMAL AHMAD PUTRA BIN SAMAD</t>
  </si>
  <si>
    <t>8733 2656</t>
  </si>
  <si>
    <t>CHONG SIANG NATHAN</t>
  </si>
  <si>
    <t>DYLAN TAN</t>
  </si>
  <si>
    <t>9005 8252</t>
  </si>
  <si>
    <t xml:space="preserve">SUSHILTHERAN NAIR S/O SIRITHERAN </t>
  </si>
  <si>
    <t>8753 9462</t>
  </si>
  <si>
    <t>MUHAMMAD NORSYAFIQ BIN SELAMAT</t>
  </si>
  <si>
    <t>8268 8147</t>
  </si>
  <si>
    <t>3SG</t>
  </si>
  <si>
    <t>ANISH VINAAYAK SIVASANKAR</t>
  </si>
  <si>
    <t>8563 5705</t>
  </si>
  <si>
    <t>AUSTIN MAXIMILLIAN KOLBE LIM KIM</t>
  </si>
  <si>
    <t>8183 3372</t>
  </si>
  <si>
    <t>BRYAN MARC MEHAR</t>
  </si>
  <si>
    <t>9745 4300</t>
  </si>
  <si>
    <t>MUHAMMAD HILAL IZDIHAR BIN MOHAMAD IZZUL SHAH</t>
  </si>
  <si>
    <t>8887 3117</t>
  </si>
  <si>
    <t>RYAN TAY RUI YANG</t>
  </si>
  <si>
    <t>9388 5336</t>
  </si>
  <si>
    <t>DARYL SEOW  SHI YU</t>
  </si>
  <si>
    <t>9850 2943</t>
  </si>
  <si>
    <t>JEREMIAH FOO JI SHUAN</t>
  </si>
  <si>
    <t>8121 6588</t>
  </si>
  <si>
    <t>CHEONG KAI JIE</t>
  </si>
  <si>
    <t>9177 6015</t>
  </si>
  <si>
    <t>9456 3181</t>
  </si>
  <si>
    <t xml:space="preserve">SIDDARTH SREEKUMAR CHERUBAL </t>
  </si>
  <si>
    <t>8655 8290</t>
  </si>
  <si>
    <t>OH EE BING</t>
  </si>
  <si>
    <t>9691 5590</t>
  </si>
  <si>
    <t>WANG XINHANG</t>
  </si>
  <si>
    <t>8336 0986</t>
  </si>
  <si>
    <t>i love gay niggers</t>
  </si>
  <si>
    <t>fuck fucking fucked up black fucking niggers</t>
  </si>
  <si>
    <t xml:space="preserve">LOOK ITS JESSICA PANG </t>
  </si>
  <si>
    <t>NIGGERS ON THE MOON</t>
  </si>
  <si>
    <t>fuck black niggers</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</si>
</sst>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quot;-&quot;m&quot;-&quot;yy"/>
    <numFmt numFmtId="165" formatCode="d-m-yy"/>
    <numFmt numFmtId="166" formatCode="#,##0 &quot;duties&quot;"/>
    <numFmt numFmtId="167" formatCode="##0 &quot;clerks&quot;"/>
    <numFmt numFmtId="168" formatCode="dd-mm-yy"/>
    <numFmt numFmtId="169" formatCode="d/m"/>
    <numFmt numFmtId="170" formatCode="dd/mm/yyyy"/>
    <numFmt numFmtId="171" formatCode="d mmm"/>
    <numFmt numFmtId="172" formatCode="d/m/yyyy"/>
    <numFmt numFmtId="173" formatCode="d mmmm"/>
  </numFmts>
  <fonts count="16">
    <font>
      <sz val="10.0"/>
      <color rgb="FF000000"/>
      <name val="Arial"/>
      <scheme val="minor"/>
    </font>
    <font>
      <b/>
      <sz val="11.0"/>
      <color theme="1"/>
      <name val="Arial"/>
      <scheme val="minor"/>
    </font>
    <font>
      <color theme="1"/>
      <name val="Arial"/>
      <scheme val="minor"/>
    </font>
    <font>
      <color theme="1"/>
      <name val="Arial"/>
    </font>
    <font>
      <sz val="10.0"/>
      <color rgb="FF000118"/>
      <name val="Arial"/>
      <scheme val="minor"/>
    </font>
    <font>
      <sz val="10.0"/>
      <color rgb="FF000000"/>
      <name val="&quot;Söhne Mono&quot;"/>
    </font>
    <font>
      <b/>
      <color theme="1"/>
      <name val="Arial"/>
      <scheme val="minor"/>
    </font>
    <font>
      <color rgb="FF000000"/>
      <name val="Arial"/>
      <scheme val="minor"/>
    </font>
    <font>
      <color rgb="FF000118"/>
      <name val="Arial"/>
      <scheme val="minor"/>
    </font>
    <font>
      <b/>
      <sz val="11.0"/>
      <color theme="1"/>
      <name val="Arial"/>
    </font>
    <font>
      <b/>
      <sz val="10.0"/>
      <color theme="1"/>
      <name val="Roboto"/>
    </font>
    <font/>
    <font>
      <b/>
      <sz val="10.0"/>
      <color theme="1"/>
      <name val="Arial"/>
    </font>
    <font>
      <sz val="10.0"/>
      <color theme="1"/>
      <name val="Roboto"/>
    </font>
    <font>
      <b/>
      <color theme="1"/>
      <name val="Arial"/>
    </font>
    <font>
      <color rgb="FFFFFFFF"/>
      <name val="Arial"/>
    </font>
  </fonts>
  <fills count="34">
    <fill>
      <patternFill patternType="none"/>
    </fill>
    <fill>
      <patternFill patternType="lightGray"/>
    </fill>
    <fill>
      <patternFill patternType="solid">
        <fgColor rgb="FF6D9EEB"/>
        <bgColor rgb="FF6D9EEB"/>
      </patternFill>
    </fill>
    <fill>
      <patternFill patternType="solid">
        <fgColor rgb="FFFF0000"/>
        <bgColor rgb="FFFF0000"/>
      </patternFill>
    </fill>
    <fill>
      <patternFill patternType="solid">
        <fgColor rgb="FF34A853"/>
        <bgColor rgb="FF34A853"/>
      </patternFill>
    </fill>
    <fill>
      <patternFill patternType="solid">
        <fgColor rgb="FF00FFFF"/>
        <bgColor rgb="FF00FFFF"/>
      </patternFill>
    </fill>
    <fill>
      <patternFill patternType="solid">
        <fgColor theme="4"/>
        <bgColor theme="4"/>
      </patternFill>
    </fill>
    <fill>
      <patternFill patternType="solid">
        <fgColor rgb="FFFFFFFF"/>
        <bgColor rgb="FFFFFFFF"/>
      </patternFill>
    </fill>
    <fill>
      <patternFill patternType="solid">
        <fgColor rgb="FFB6D7A8"/>
        <bgColor rgb="FFB6D7A8"/>
      </patternFill>
    </fill>
    <fill>
      <patternFill patternType="solid">
        <fgColor rgb="FFB7E1CD"/>
        <bgColor rgb="FFB7E1CD"/>
      </patternFill>
    </fill>
    <fill>
      <patternFill patternType="solid">
        <fgColor rgb="FF000000"/>
        <bgColor rgb="FF000000"/>
      </patternFill>
    </fill>
    <fill>
      <patternFill patternType="solid">
        <fgColor rgb="FFF9CB9C"/>
        <bgColor rgb="FFF9CB9C"/>
      </patternFill>
    </fill>
    <fill>
      <patternFill patternType="solid">
        <fgColor rgb="FFB4A7D6"/>
        <bgColor rgb="FFB4A7D6"/>
      </patternFill>
    </fill>
    <fill>
      <patternFill patternType="solid">
        <fgColor rgb="FF00FF00"/>
        <bgColor rgb="FF00FF00"/>
      </patternFill>
    </fill>
    <fill>
      <patternFill patternType="solid">
        <fgColor rgb="FFFF9900"/>
        <bgColor rgb="FFFF9900"/>
      </patternFill>
    </fill>
    <fill>
      <patternFill patternType="solid">
        <fgColor rgb="FFCF87FF"/>
        <bgColor rgb="FFCF87FF"/>
      </patternFill>
    </fill>
    <fill>
      <patternFill patternType="solid">
        <fgColor rgb="FFFF00FF"/>
        <bgColor rgb="FFFF00FF"/>
      </patternFill>
    </fill>
    <fill>
      <patternFill patternType="solid">
        <fgColor rgb="FF9900FF"/>
        <bgColor rgb="FF9900FF"/>
      </patternFill>
    </fill>
    <fill>
      <patternFill patternType="solid">
        <fgColor rgb="FFFFFF00"/>
        <bgColor rgb="FFFFFF00"/>
      </patternFill>
    </fill>
    <fill>
      <patternFill patternType="solid">
        <fgColor rgb="FFF4C7C3"/>
        <bgColor rgb="FFF4C7C3"/>
      </patternFill>
    </fill>
    <fill>
      <patternFill patternType="solid">
        <fgColor theme="7"/>
        <bgColor theme="7"/>
      </patternFill>
    </fill>
    <fill>
      <patternFill patternType="solid">
        <fgColor theme="1"/>
        <bgColor theme="1"/>
      </patternFill>
    </fill>
    <fill>
      <patternFill patternType="solid">
        <fgColor rgb="FFF1C232"/>
        <bgColor rgb="FFF1C232"/>
      </patternFill>
    </fill>
    <fill>
      <patternFill patternType="solid">
        <fgColor rgb="FFE6B8AF"/>
        <bgColor rgb="FFE6B8AF"/>
      </patternFill>
    </fill>
    <fill>
      <patternFill patternType="solid">
        <fgColor theme="6"/>
        <bgColor theme="6"/>
      </patternFill>
    </fill>
    <fill>
      <patternFill patternType="solid">
        <fgColor rgb="FFDD7E6B"/>
        <bgColor rgb="FFDD7E6B"/>
      </patternFill>
    </fill>
    <fill>
      <patternFill patternType="solid">
        <fgColor rgb="FF76A5AF"/>
        <bgColor rgb="FF76A5AF"/>
      </patternFill>
    </fill>
    <fill>
      <patternFill patternType="solid">
        <fgColor rgb="FFCC4125"/>
        <bgColor rgb="FFCC4125"/>
      </patternFill>
    </fill>
    <fill>
      <patternFill patternType="solid">
        <fgColor rgb="FF000118"/>
        <bgColor rgb="FF000118"/>
      </patternFill>
    </fill>
    <fill>
      <patternFill patternType="solid">
        <fgColor theme="0"/>
        <bgColor theme="0"/>
      </patternFill>
    </fill>
    <fill>
      <patternFill patternType="solid">
        <fgColor rgb="FFF3F3F3"/>
        <bgColor rgb="FFF3F3F3"/>
      </patternFill>
    </fill>
    <fill>
      <patternFill patternType="solid">
        <fgColor rgb="FF4285F4"/>
        <bgColor rgb="FF4285F4"/>
      </patternFill>
    </fill>
    <fill>
      <patternFill patternType="solid">
        <fgColor rgb="FFCCCCCC"/>
        <bgColor rgb="FFCCCCCC"/>
      </patternFill>
    </fill>
    <fill>
      <patternFill patternType="solid">
        <fgColor rgb="FF434343"/>
        <bgColor rgb="FF434343"/>
      </patternFill>
    </fill>
  </fills>
  <borders count="16">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border>
    <border>
      <right style="thin">
        <color rgb="FF000000"/>
      </right>
    </border>
    <border>
      <left style="thin">
        <color rgb="FF000000"/>
      </left>
      <bottom style="thin">
        <color rgb="FF000000"/>
      </bottom>
    </border>
  </borders>
  <cellStyleXfs count="1">
    <xf borderId="0" fillId="0" fontId="0" numFmtId="0" applyAlignment="1" applyFont="1"/>
  </cellStyleXfs>
  <cellXfs count="244">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1" fillId="0" fontId="2" numFmtId="0" xfId="0" applyAlignment="1" applyBorder="1" applyFont="1">
      <alignment horizontal="center" readingOrder="0" shrinkToFit="0" vertical="center" wrapText="1"/>
    </xf>
    <xf borderId="1" fillId="0" fontId="3" numFmtId="0" xfId="0" applyAlignment="1" applyBorder="1" applyFont="1">
      <alignment horizontal="center" readingOrder="0" shrinkToFit="0" wrapText="1"/>
    </xf>
    <xf borderId="1" fillId="0" fontId="3" numFmtId="0" xfId="0" applyAlignment="1" applyBorder="1" applyFont="1">
      <alignment horizontal="center" readingOrder="0" shrinkToFit="0" vertical="bottom" wrapText="1"/>
    </xf>
    <xf borderId="0" fillId="3" fontId="3" numFmtId="0" xfId="0" applyAlignment="1" applyFill="1" applyFont="1">
      <alignment horizontal="center" readingOrder="0" shrinkToFit="0" wrapText="1"/>
    </xf>
    <xf borderId="0" fillId="4" fontId="3" numFmtId="164" xfId="0" applyAlignment="1" applyFill="1" applyFont="1" applyNumberFormat="1">
      <alignment horizontal="center" readingOrder="0" shrinkToFit="0" wrapText="1"/>
    </xf>
    <xf borderId="0" fillId="5" fontId="3" numFmtId="0" xfId="0" applyAlignment="1" applyFill="1" applyFont="1">
      <alignment horizontal="center" readingOrder="0" shrinkToFit="0" wrapText="1"/>
    </xf>
    <xf borderId="0" fillId="3" fontId="3" numFmtId="0" xfId="0" applyAlignment="1" applyFont="1">
      <alignment horizontal="center" readingOrder="0"/>
    </xf>
    <xf borderId="0" fillId="6" fontId="2" numFmtId="0" xfId="0" applyAlignment="1" applyFill="1" applyFont="1">
      <alignment readingOrder="0"/>
    </xf>
    <xf borderId="0" fillId="0" fontId="2" numFmtId="4" xfId="0" applyAlignment="1" applyFont="1" applyNumberFormat="1">
      <alignment readingOrder="0"/>
    </xf>
    <xf borderId="0" fillId="7" fontId="4" numFmtId="0" xfId="0" applyFill="1" applyFont="1"/>
    <xf borderId="0" fillId="0" fontId="2" numFmtId="0" xfId="0" applyAlignment="1" applyFont="1">
      <alignment readingOrder="0"/>
    </xf>
    <xf borderId="0" fillId="0" fontId="2" numFmtId="0" xfId="0" applyFont="1"/>
    <xf borderId="0" fillId="8" fontId="2" numFmtId="0" xfId="0" applyAlignment="1" applyFill="1" applyFont="1">
      <alignment readingOrder="0"/>
    </xf>
    <xf borderId="0" fillId="9" fontId="3" numFmtId="0" xfId="0" applyAlignment="1" applyFill="1" applyFont="1">
      <alignment horizontal="right" vertical="bottom"/>
    </xf>
    <xf borderId="0" fillId="10" fontId="2" numFmtId="0" xfId="0" applyFill="1" applyFont="1"/>
    <xf borderId="0" fillId="0" fontId="2" numFmtId="0" xfId="0" applyAlignment="1" applyFont="1">
      <alignment readingOrder="0"/>
    </xf>
    <xf borderId="0" fillId="11" fontId="3" numFmtId="0" xfId="0" applyAlignment="1" applyFill="1" applyFont="1">
      <alignment vertical="bottom"/>
    </xf>
    <xf borderId="0" fillId="12" fontId="3" numFmtId="0" xfId="0" applyAlignment="1" applyFill="1" applyFont="1">
      <alignment vertical="bottom"/>
    </xf>
    <xf borderId="0" fillId="13" fontId="2" numFmtId="0" xfId="0" applyAlignment="1" applyFill="1" applyFont="1">
      <alignment readingOrder="0"/>
    </xf>
    <xf borderId="0" fillId="10" fontId="2" numFmtId="0" xfId="0" applyAlignment="1" applyFont="1">
      <alignment readingOrder="0"/>
    </xf>
    <xf borderId="0" fillId="14" fontId="2" numFmtId="0" xfId="0" applyAlignment="1" applyFill="1" applyFont="1">
      <alignment readingOrder="0"/>
    </xf>
    <xf borderId="0" fillId="15" fontId="2" numFmtId="0" xfId="0" applyAlignment="1" applyFill="1" applyFont="1">
      <alignment readingOrder="0"/>
    </xf>
    <xf borderId="0" fillId="16" fontId="2" numFmtId="0" xfId="0" applyAlignment="1" applyFill="1" applyFont="1">
      <alignment readingOrder="0"/>
    </xf>
    <xf borderId="0" fillId="17" fontId="2" numFmtId="0" xfId="0" applyAlignment="1" applyFill="1" applyFont="1">
      <alignment readingOrder="0"/>
    </xf>
    <xf borderId="0" fillId="18" fontId="2" numFmtId="0" xfId="0" applyAlignment="1" applyFill="1" applyFont="1">
      <alignment readingOrder="0"/>
    </xf>
    <xf borderId="0" fillId="19" fontId="2" numFmtId="0" xfId="0" applyAlignment="1" applyFill="1" applyFont="1">
      <alignment readingOrder="0"/>
    </xf>
    <xf borderId="0" fillId="0" fontId="2" numFmtId="0" xfId="0" applyFont="1"/>
    <xf borderId="0" fillId="0" fontId="5" numFmtId="0" xfId="0" applyAlignment="1" applyFont="1">
      <alignment horizontal="left"/>
    </xf>
    <xf borderId="0" fillId="7" fontId="0" numFmtId="0" xfId="0" applyFont="1"/>
    <xf borderId="0" fillId="0" fontId="3" numFmtId="0" xfId="0" applyAlignment="1" applyFont="1">
      <alignment vertical="bottom"/>
    </xf>
    <xf borderId="0" fillId="10" fontId="3" numFmtId="0" xfId="0" applyAlignment="1" applyFont="1">
      <alignment horizontal="right" vertical="bottom"/>
    </xf>
    <xf borderId="0" fillId="0" fontId="3" numFmtId="0" xfId="0" applyAlignment="1" applyFont="1">
      <alignment vertical="bottom"/>
    </xf>
    <xf borderId="0" fillId="10" fontId="3" numFmtId="0" xfId="0" applyAlignment="1" applyFont="1">
      <alignment vertical="bottom"/>
    </xf>
    <xf borderId="0" fillId="10" fontId="3" numFmtId="0" xfId="0" applyAlignment="1" applyFont="1">
      <alignment vertical="bottom"/>
    </xf>
    <xf borderId="0" fillId="4" fontId="3" numFmtId="165" xfId="0" applyAlignment="1" applyFont="1" applyNumberFormat="1">
      <alignment horizontal="center" readingOrder="0" shrinkToFit="0" wrapText="1"/>
    </xf>
    <xf borderId="0" fillId="16" fontId="3" numFmtId="0" xfId="0" applyAlignment="1" applyFont="1">
      <alignment horizontal="center" readingOrder="0" shrinkToFit="0" wrapText="1"/>
    </xf>
    <xf borderId="0" fillId="20" fontId="3" numFmtId="165" xfId="0" applyAlignment="1" applyFill="1" applyFont="1" applyNumberFormat="1">
      <alignment horizontal="center" readingOrder="0" shrinkToFit="0" wrapText="1"/>
    </xf>
    <xf borderId="2" fillId="6" fontId="2" numFmtId="0" xfId="0" applyAlignment="1" applyBorder="1" applyFont="1">
      <alignment readingOrder="0"/>
    </xf>
    <xf borderId="2" fillId="0" fontId="2" numFmtId="4" xfId="0" applyAlignment="1" applyBorder="1" applyFont="1" applyNumberFormat="1">
      <alignment readingOrder="0"/>
    </xf>
    <xf borderId="2" fillId="7" fontId="4" numFmtId="0" xfId="0" applyBorder="1" applyFont="1"/>
    <xf borderId="0" fillId="0" fontId="3" numFmtId="0" xfId="0" applyAlignment="1" applyFont="1">
      <alignment horizontal="right" vertical="bottom"/>
    </xf>
    <xf borderId="0" fillId="21" fontId="2" numFmtId="0" xfId="0" applyFill="1" applyFont="1"/>
    <xf borderId="0" fillId="12" fontId="2" numFmtId="0" xfId="0" applyAlignment="1" applyFont="1">
      <alignment readingOrder="0"/>
    </xf>
    <xf borderId="0" fillId="0" fontId="3" numFmtId="0" xfId="0" applyAlignment="1" applyFont="1">
      <alignment vertical="bottom"/>
    </xf>
    <xf borderId="0" fillId="0" fontId="6" numFmtId="0" xfId="0" applyAlignment="1" applyFont="1">
      <alignment readingOrder="0"/>
    </xf>
    <xf borderId="0" fillId="0" fontId="3" numFmtId="0" xfId="0" applyAlignment="1" applyFont="1">
      <alignment readingOrder="0" vertical="bottom"/>
    </xf>
    <xf borderId="0" fillId="22" fontId="2" numFmtId="0" xfId="0" applyFill="1" applyFont="1"/>
    <xf borderId="0" fillId="0" fontId="2" numFmtId="166" xfId="0" applyFont="1" applyNumberFormat="1"/>
    <xf borderId="0" fillId="23" fontId="2" numFmtId="167" xfId="0" applyFill="1" applyFont="1" applyNumberFormat="1"/>
    <xf borderId="0" fillId="20" fontId="3" numFmtId="0" xfId="0" applyAlignment="1" applyFont="1">
      <alignment horizontal="center" readingOrder="0" shrinkToFit="0" wrapText="1"/>
    </xf>
    <xf borderId="0" fillId="24" fontId="2" numFmtId="0" xfId="0" applyFill="1" applyFont="1"/>
    <xf borderId="0" fillId="24" fontId="2" numFmtId="0" xfId="0" applyAlignment="1" applyFont="1">
      <alignment readingOrder="0"/>
    </xf>
    <xf borderId="1" fillId="0" fontId="3" numFmtId="0" xfId="0" applyAlignment="1" applyBorder="1" applyFont="1">
      <alignment horizontal="center" shrinkToFit="0" wrapText="1"/>
    </xf>
    <xf borderId="1" fillId="0" fontId="3" numFmtId="0" xfId="0" applyAlignment="1" applyBorder="1" applyFont="1">
      <alignment horizontal="center" shrinkToFit="0" vertical="bottom" wrapText="1"/>
    </xf>
    <xf borderId="0" fillId="4" fontId="3" numFmtId="165" xfId="0" applyAlignment="1" applyFont="1" applyNumberFormat="1">
      <alignment horizontal="center" readingOrder="0" shrinkToFit="0" vertical="bottom" wrapText="1"/>
    </xf>
    <xf borderId="0" fillId="3" fontId="3" numFmtId="0" xfId="0" applyAlignment="1" applyFont="1">
      <alignment horizontal="center" readingOrder="0" shrinkToFit="0" vertical="bottom" wrapText="1"/>
    </xf>
    <xf borderId="0" fillId="3" fontId="3" numFmtId="0" xfId="0" applyAlignment="1" applyFont="1">
      <alignment horizontal="center" shrinkToFit="0" vertical="bottom" wrapText="1"/>
    </xf>
    <xf borderId="0" fillId="0" fontId="3" numFmtId="0" xfId="0" applyAlignment="1" applyFont="1">
      <alignment horizontal="right" readingOrder="0" vertical="bottom"/>
    </xf>
    <xf borderId="0" fillId="10" fontId="2" numFmtId="0" xfId="0" applyFont="1"/>
    <xf borderId="0" fillId="18" fontId="2" numFmtId="0" xfId="0" applyFont="1"/>
    <xf borderId="0" fillId="25" fontId="2" numFmtId="0" xfId="0" applyAlignment="1" applyFill="1" applyFont="1">
      <alignment readingOrder="0"/>
    </xf>
    <xf borderId="0" fillId="18" fontId="3" numFmtId="0" xfId="0" applyAlignment="1" applyFont="1">
      <alignment vertical="bottom"/>
    </xf>
    <xf borderId="0" fillId="18" fontId="3" numFmtId="0" xfId="0" applyAlignment="1" applyFont="1">
      <alignment vertical="bottom"/>
    </xf>
    <xf borderId="0" fillId="4" fontId="3" numFmtId="0" xfId="0" applyAlignment="1" applyFont="1">
      <alignment horizontal="center" readingOrder="0" shrinkToFit="0" vertical="bottom" wrapText="1"/>
    </xf>
    <xf borderId="0" fillId="17" fontId="3" numFmtId="0" xfId="0" applyAlignment="1" applyFont="1">
      <alignment horizontal="center" readingOrder="0" shrinkToFit="0" wrapText="1"/>
    </xf>
    <xf borderId="0" fillId="0" fontId="2" numFmtId="0" xfId="0" applyFont="1"/>
    <xf borderId="0" fillId="10" fontId="2" numFmtId="0" xfId="0" applyAlignment="1" applyFont="1">
      <alignment horizontal="left"/>
    </xf>
    <xf borderId="0" fillId="26" fontId="2" numFmtId="0" xfId="0" applyAlignment="1" applyFill="1" applyFont="1">
      <alignment readingOrder="0"/>
    </xf>
    <xf borderId="0" fillId="27" fontId="2" numFmtId="0" xfId="0" applyAlignment="1" applyFill="1" applyFont="1">
      <alignment readingOrder="0"/>
    </xf>
    <xf borderId="0" fillId="20" fontId="3" numFmtId="168" xfId="0" applyAlignment="1" applyFont="1" applyNumberFormat="1">
      <alignment horizontal="center" readingOrder="0" shrinkToFit="0" wrapText="1"/>
    </xf>
    <xf borderId="0" fillId="0" fontId="2" numFmtId="0" xfId="0" applyAlignment="1" applyFont="1">
      <alignment horizontal="left"/>
    </xf>
    <xf borderId="0" fillId="28" fontId="2" numFmtId="0" xfId="0" applyFill="1" applyFont="1"/>
    <xf borderId="1" fillId="0" fontId="2" numFmtId="0" xfId="0" applyAlignment="1" applyBorder="1" applyFont="1">
      <alignment horizontal="center" shrinkToFit="0" vertical="center" wrapText="1"/>
    </xf>
    <xf borderId="0" fillId="20" fontId="3" numFmtId="165" xfId="0" applyAlignment="1" applyFont="1" applyNumberFormat="1">
      <alignment horizontal="center" shrinkToFit="0" wrapText="1"/>
    </xf>
    <xf borderId="0" fillId="20" fontId="3" numFmtId="0" xfId="0" applyAlignment="1" applyFont="1">
      <alignment horizontal="center" shrinkToFit="0" wrapText="1"/>
    </xf>
    <xf borderId="0" fillId="4" fontId="3" numFmtId="0" xfId="0" applyAlignment="1" applyFont="1">
      <alignment horizontal="center" shrinkToFit="0" vertical="bottom" wrapText="1"/>
    </xf>
    <xf borderId="0" fillId="7" fontId="2" numFmtId="0" xfId="0" applyFont="1"/>
    <xf borderId="0" fillId="10" fontId="4" numFmtId="0" xfId="0" applyFont="1"/>
    <xf borderId="0" fillId="7" fontId="4" numFmtId="0" xfId="0" applyAlignment="1" applyFont="1">
      <alignment readingOrder="0"/>
    </xf>
    <xf borderId="0" fillId="10" fontId="3" numFmtId="165" xfId="0" applyAlignment="1" applyFont="1" applyNumberFormat="1">
      <alignment horizontal="center" readingOrder="0" shrinkToFit="0" vertical="bottom" wrapText="1"/>
    </xf>
    <xf borderId="0" fillId="10" fontId="3" numFmtId="0" xfId="0" applyAlignment="1" applyFont="1">
      <alignment horizontal="center" readingOrder="0" shrinkToFit="0" vertical="bottom" wrapText="1"/>
    </xf>
    <xf borderId="0" fillId="7" fontId="2" numFmtId="0" xfId="0" applyFont="1"/>
    <xf borderId="0" fillId="7" fontId="2" numFmtId="0" xfId="0" applyAlignment="1" applyFont="1">
      <alignment readingOrder="0"/>
    </xf>
    <xf borderId="0" fillId="0" fontId="4" numFmtId="0" xfId="0" applyFont="1"/>
    <xf borderId="0" fillId="0" fontId="4" numFmtId="0" xfId="0" applyAlignment="1" applyFont="1">
      <alignment readingOrder="0"/>
    </xf>
    <xf borderId="0" fillId="29" fontId="3" numFmtId="165" xfId="0" applyAlignment="1" applyFill="1" applyFont="1" applyNumberFormat="1">
      <alignment horizontal="center" readingOrder="0" shrinkToFit="0" vertical="bottom" wrapText="1"/>
    </xf>
    <xf borderId="0" fillId="29" fontId="3" numFmtId="0" xfId="0" applyAlignment="1" applyFont="1">
      <alignment horizontal="center" readingOrder="0" shrinkToFit="0" vertical="bottom" wrapText="1"/>
    </xf>
    <xf borderId="0" fillId="10" fontId="3" numFmtId="0" xfId="0" applyAlignment="1" applyFont="1">
      <alignment horizontal="right" readingOrder="0" vertical="bottom"/>
    </xf>
    <xf borderId="0" fillId="29" fontId="2" numFmtId="0" xfId="0" applyAlignment="1" applyFont="1">
      <alignment readingOrder="0"/>
    </xf>
    <xf borderId="0" fillId="29" fontId="2" numFmtId="0" xfId="0" applyFont="1"/>
    <xf borderId="0" fillId="29" fontId="2" numFmtId="0" xfId="0" applyFont="1"/>
    <xf borderId="0" fillId="29" fontId="3" numFmtId="0" xfId="0" applyAlignment="1" applyFont="1">
      <alignment vertical="bottom"/>
    </xf>
    <xf borderId="0" fillId="29" fontId="3" numFmtId="0" xfId="0" applyAlignment="1" applyFont="1">
      <alignment readingOrder="0" vertical="bottom"/>
    </xf>
    <xf borderId="0" fillId="21" fontId="2" numFmtId="0" xfId="0" applyAlignment="1" applyFont="1">
      <alignment readingOrder="0"/>
    </xf>
    <xf borderId="0" fillId="29" fontId="4" numFmtId="0" xfId="0" applyFont="1"/>
    <xf borderId="0" fillId="29" fontId="4" numFmtId="0" xfId="0" applyAlignment="1" applyFont="1">
      <alignment readingOrder="0"/>
    </xf>
    <xf borderId="0" fillId="10" fontId="4" numFmtId="0" xfId="0" applyAlignment="1" applyFont="1">
      <alignment readingOrder="0"/>
    </xf>
    <xf borderId="0" fillId="29" fontId="3" numFmtId="0" xfId="0" applyAlignment="1" applyFont="1">
      <alignment horizontal="right" readingOrder="0" vertical="bottom"/>
    </xf>
    <xf borderId="0" fillId="29" fontId="2" numFmtId="0" xfId="0" applyFont="1"/>
    <xf borderId="0" fillId="29" fontId="2" numFmtId="0" xfId="0" applyAlignment="1" applyFont="1">
      <alignment readingOrder="0"/>
    </xf>
    <xf borderId="0" fillId="29" fontId="2" numFmtId="0" xfId="0" applyAlignment="1" applyFont="1">
      <alignment readingOrder="0"/>
    </xf>
    <xf borderId="0" fillId="10" fontId="2" numFmtId="0" xfId="0" applyAlignment="1" applyFont="1">
      <alignment readingOrder="0"/>
    </xf>
    <xf borderId="0" fillId="29" fontId="4" numFmtId="0" xfId="0" applyFont="1"/>
    <xf borderId="0" fillId="10" fontId="7" numFmtId="0" xfId="0" applyFont="1"/>
    <xf borderId="0" fillId="7" fontId="2" numFmtId="0" xfId="0" applyAlignment="1" applyFont="1">
      <alignment readingOrder="0"/>
    </xf>
    <xf borderId="0" fillId="10" fontId="2" numFmtId="0" xfId="0" applyFont="1"/>
    <xf borderId="0" fillId="10" fontId="2" numFmtId="0" xfId="0" applyAlignment="1" applyFont="1">
      <alignment readingOrder="0"/>
    </xf>
    <xf borderId="0" fillId="10" fontId="2" numFmtId="0" xfId="0" applyAlignment="1" applyFont="1">
      <alignment readingOrder="0"/>
    </xf>
    <xf borderId="0" fillId="7" fontId="2" numFmtId="0" xfId="0" applyFont="1"/>
    <xf borderId="0" fillId="7" fontId="2" numFmtId="0" xfId="0" applyAlignment="1" applyFont="1">
      <alignment readingOrder="0"/>
    </xf>
    <xf borderId="0" fillId="7" fontId="2" numFmtId="0" xfId="0" applyAlignment="1" applyFont="1">
      <alignment readingOrder="0"/>
    </xf>
    <xf borderId="0" fillId="7" fontId="4" numFmtId="0" xfId="0" applyFont="1"/>
    <xf borderId="0" fillId="7" fontId="4" numFmtId="0" xfId="0" applyAlignment="1" applyFont="1">
      <alignment readingOrder="0"/>
    </xf>
    <xf borderId="0" fillId="7" fontId="4" numFmtId="0" xfId="0" applyAlignment="1" applyFont="1">
      <alignment readingOrder="0"/>
    </xf>
    <xf borderId="0" fillId="29" fontId="4" numFmtId="0" xfId="0" applyAlignment="1" applyFont="1">
      <alignment readingOrder="0"/>
    </xf>
    <xf borderId="0" fillId="29" fontId="7" numFmtId="0" xfId="0" applyFont="1"/>
    <xf borderId="0" fillId="29" fontId="2" numFmtId="0" xfId="0" applyAlignment="1" applyFont="1">
      <alignment readingOrder="0"/>
    </xf>
    <xf borderId="0" fillId="29" fontId="4" numFmtId="0" xfId="0" applyAlignment="1" applyFont="1">
      <alignment readingOrder="0"/>
    </xf>
    <xf borderId="0" fillId="29" fontId="4" numFmtId="0" xfId="0" applyAlignment="1" applyFont="1">
      <alignment readingOrder="0"/>
    </xf>
    <xf borderId="0" fillId="16" fontId="2" numFmtId="0" xfId="0" applyFont="1"/>
    <xf borderId="0" fillId="9" fontId="2" numFmtId="0" xfId="0" applyAlignment="1" applyFont="1">
      <alignment readingOrder="0"/>
    </xf>
    <xf borderId="0" fillId="16" fontId="4" numFmtId="0" xfId="0" applyAlignment="1" applyFont="1">
      <alignment readingOrder="0"/>
    </xf>
    <xf borderId="0" fillId="10" fontId="4" numFmtId="0" xfId="0" applyAlignment="1" applyFont="1">
      <alignment readingOrder="0"/>
    </xf>
    <xf borderId="0" fillId="14" fontId="2" numFmtId="0" xfId="0" applyAlignment="1" applyFont="1">
      <alignment horizontal="left" readingOrder="0"/>
    </xf>
    <xf borderId="3" fillId="13" fontId="3" numFmtId="0" xfId="0" applyAlignment="1" applyBorder="1" applyFont="1">
      <alignment horizontal="left" readingOrder="0"/>
    </xf>
    <xf borderId="3" fillId="16" fontId="3" numFmtId="0" xfId="0" applyAlignment="1" applyBorder="1" applyFont="1">
      <alignment horizontal="left" readingOrder="0"/>
    </xf>
    <xf borderId="0" fillId="18" fontId="2" numFmtId="0" xfId="0" applyAlignment="1" applyFont="1">
      <alignment horizontal="left" readingOrder="0"/>
    </xf>
    <xf borderId="0" fillId="0" fontId="7" numFmtId="0" xfId="0" applyAlignment="1" applyFont="1">
      <alignment readingOrder="0"/>
    </xf>
    <xf borderId="0" fillId="21" fontId="7" numFmtId="0" xfId="0" applyFont="1"/>
    <xf borderId="0" fillId="10" fontId="8" numFmtId="0" xfId="0" applyFont="1"/>
    <xf borderId="0" fillId="16" fontId="8" numFmtId="0" xfId="0" applyAlignment="1" applyFont="1">
      <alignment readingOrder="0"/>
    </xf>
    <xf borderId="0" fillId="9" fontId="8" numFmtId="0" xfId="0" applyAlignment="1" applyFont="1">
      <alignment readingOrder="0"/>
    </xf>
    <xf borderId="0" fillId="16" fontId="7" numFmtId="0" xfId="0" applyAlignment="1" applyFont="1">
      <alignment readingOrder="0"/>
    </xf>
    <xf borderId="0" fillId="30" fontId="2" numFmtId="0" xfId="0" applyFill="1" applyFont="1"/>
    <xf borderId="0" fillId="30" fontId="2" numFmtId="0" xfId="0" applyAlignment="1" applyFont="1">
      <alignment readingOrder="0"/>
    </xf>
    <xf borderId="0" fillId="30" fontId="7" numFmtId="0" xfId="0" applyAlignment="1" applyFont="1">
      <alignment readingOrder="0"/>
    </xf>
    <xf borderId="0" fillId="30" fontId="7" numFmtId="0" xfId="0" applyFont="1"/>
    <xf borderId="0" fillId="30" fontId="8" numFmtId="0" xfId="0" applyFont="1"/>
    <xf borderId="0" fillId="30" fontId="8" numFmtId="0" xfId="0" applyAlignment="1" applyFont="1">
      <alignment readingOrder="0"/>
    </xf>
    <xf borderId="0" fillId="17" fontId="2" numFmtId="0" xfId="0" applyAlignment="1" applyFont="1">
      <alignment horizontal="left" readingOrder="0"/>
    </xf>
    <xf borderId="0" fillId="7" fontId="7" numFmtId="0" xfId="0" applyAlignment="1" applyFont="1">
      <alignment readingOrder="0"/>
    </xf>
    <xf borderId="0" fillId="7" fontId="7" numFmtId="0" xfId="0" applyFont="1"/>
    <xf borderId="0" fillId="7" fontId="8" numFmtId="0" xfId="0" applyFont="1"/>
    <xf borderId="0" fillId="7" fontId="8" numFmtId="0" xfId="0" applyAlignment="1" applyFont="1">
      <alignment readingOrder="0"/>
    </xf>
    <xf borderId="2" fillId="15" fontId="2" numFmtId="0" xfId="0" applyAlignment="1" applyBorder="1" applyFont="1">
      <alignment readingOrder="0"/>
    </xf>
    <xf borderId="0" fillId="0" fontId="7" numFmtId="0" xfId="0" applyFont="1"/>
    <xf borderId="0" fillId="0" fontId="8" numFmtId="0" xfId="0" applyFont="1"/>
    <xf borderId="0" fillId="0" fontId="8" numFmtId="0" xfId="0" applyAlignment="1" applyFont="1">
      <alignment readingOrder="0"/>
    </xf>
    <xf borderId="3" fillId="19" fontId="3" numFmtId="0" xfId="0" applyAlignment="1" applyBorder="1" applyFont="1">
      <alignment horizontal="center" readingOrder="0"/>
    </xf>
    <xf borderId="0" fillId="16" fontId="8" numFmtId="0" xfId="0" applyFont="1"/>
    <xf borderId="0" fillId="16" fontId="3" numFmtId="0" xfId="0" applyAlignment="1" applyFont="1">
      <alignment vertical="bottom"/>
    </xf>
    <xf borderId="0" fillId="29" fontId="3" numFmtId="168" xfId="0" applyAlignment="1" applyFont="1" applyNumberFormat="1">
      <alignment horizontal="center" readingOrder="0" shrinkToFit="0" vertical="bottom" wrapText="1"/>
    </xf>
    <xf borderId="0" fillId="15" fontId="2" numFmtId="0" xfId="0" applyFont="1"/>
    <xf borderId="0" fillId="28" fontId="2" numFmtId="0" xfId="0" applyAlignment="1" applyFont="1">
      <alignment readingOrder="0"/>
    </xf>
    <xf borderId="0" fillId="29" fontId="7" numFmtId="0" xfId="0" applyAlignment="1" applyFont="1">
      <alignment readingOrder="0"/>
    </xf>
    <xf borderId="0" fillId="29" fontId="8" numFmtId="0" xfId="0" applyFont="1"/>
    <xf borderId="0" fillId="29" fontId="8" numFmtId="0" xfId="0" applyAlignment="1" applyFont="1">
      <alignment readingOrder="0"/>
    </xf>
    <xf borderId="0" fillId="15" fontId="7" numFmtId="0" xfId="0" applyFont="1"/>
    <xf borderId="0" fillId="28" fontId="8" numFmtId="0" xfId="0" applyFont="1"/>
    <xf borderId="0" fillId="29" fontId="3" numFmtId="0" xfId="0" applyAlignment="1" applyFont="1">
      <alignment vertical="bottom"/>
    </xf>
    <xf borderId="0" fillId="0" fontId="2" numFmtId="169" xfId="0" applyAlignment="1" applyFont="1" applyNumberFormat="1">
      <alignment readingOrder="0"/>
    </xf>
    <xf borderId="3" fillId="19" fontId="3" numFmtId="0" xfId="0" applyAlignment="1" applyBorder="1" applyFont="1">
      <alignment horizontal="left" readingOrder="0"/>
    </xf>
    <xf borderId="0" fillId="10" fontId="3" numFmtId="0" xfId="0" applyAlignment="1" applyFont="1">
      <alignment readingOrder="0" vertical="bottom"/>
    </xf>
    <xf borderId="0" fillId="10" fontId="3" numFmtId="0" xfId="0" applyAlignment="1" applyFont="1">
      <alignment vertical="bottom"/>
    </xf>
    <xf borderId="0" fillId="29" fontId="3" numFmtId="168" xfId="0" applyAlignment="1" applyFont="1" applyNumberFormat="1">
      <alignment horizontal="center" shrinkToFit="0" vertical="bottom" wrapText="1"/>
    </xf>
    <xf borderId="0" fillId="0" fontId="2" numFmtId="168" xfId="0" applyAlignment="1" applyFont="1" applyNumberFormat="1">
      <alignment readingOrder="0"/>
    </xf>
    <xf borderId="0" fillId="13" fontId="2" numFmtId="0" xfId="0" applyFont="1"/>
    <xf borderId="0" fillId="10" fontId="8" numFmtId="0" xfId="0" applyAlignment="1" applyFont="1">
      <alignment readingOrder="0"/>
    </xf>
    <xf borderId="0" fillId="10" fontId="7" numFmtId="0" xfId="0" applyAlignment="1" applyFont="1">
      <alignment readingOrder="0"/>
    </xf>
    <xf borderId="0" fillId="16" fontId="3" numFmtId="0" xfId="0" applyAlignment="1" applyFont="1">
      <alignment readingOrder="0" vertical="bottom"/>
    </xf>
    <xf borderId="0" fillId="0" fontId="2" numFmtId="168" xfId="0" applyFont="1" applyNumberFormat="1"/>
    <xf borderId="0" fillId="0" fontId="2" numFmtId="0" xfId="0" applyAlignment="1" applyFont="1">
      <alignment horizontal="center" readingOrder="0" shrinkToFit="0" vertical="center" wrapText="1"/>
    </xf>
    <xf borderId="0" fillId="2" fontId="9" numFmtId="0" xfId="0" applyAlignment="1" applyFont="1">
      <alignment horizontal="center" shrinkToFit="0" vertical="bottom" wrapText="1"/>
    </xf>
    <xf borderId="0" fillId="2" fontId="9" numFmtId="0" xfId="0" applyAlignment="1" applyFont="1">
      <alignment horizontal="center" readingOrder="0" shrinkToFit="0" vertical="bottom" wrapText="1"/>
    </xf>
    <xf borderId="4" fillId="2" fontId="9" numFmtId="0" xfId="0" applyAlignment="1" applyBorder="1" applyFont="1">
      <alignment horizontal="center" readingOrder="0" shrinkToFit="0" vertical="bottom" wrapText="1"/>
    </xf>
    <xf borderId="1" fillId="15" fontId="3" numFmtId="0" xfId="0" applyAlignment="1" applyBorder="1" applyFont="1">
      <alignment vertical="bottom"/>
    </xf>
    <xf borderId="5" fillId="0" fontId="2" numFmtId="0" xfId="0" applyAlignment="1" applyBorder="1" applyFont="1">
      <alignment readingOrder="0"/>
    </xf>
    <xf borderId="6" fillId="0" fontId="6" numFmtId="2" xfId="0" applyBorder="1" applyFont="1" applyNumberFormat="1"/>
    <xf borderId="4" fillId="0" fontId="2" numFmtId="0" xfId="0" applyAlignment="1" applyBorder="1" applyFont="1">
      <alignment readingOrder="0"/>
    </xf>
    <xf borderId="1" fillId="17" fontId="3" numFmtId="0" xfId="0" applyAlignment="1" applyBorder="1" applyFont="1">
      <alignment vertical="bottom"/>
    </xf>
    <xf borderId="7" fillId="0" fontId="2" numFmtId="0" xfId="0" applyAlignment="1" applyBorder="1" applyFont="1">
      <alignment readingOrder="0"/>
    </xf>
    <xf borderId="1" fillId="8" fontId="3" numFmtId="0" xfId="0" applyAlignment="1" applyBorder="1" applyFont="1">
      <alignment vertical="bottom"/>
    </xf>
    <xf borderId="1" fillId="19" fontId="3" numFmtId="0" xfId="0" applyAlignment="1" applyBorder="1" applyFont="1">
      <alignment vertical="bottom"/>
    </xf>
    <xf borderId="1" fillId="13" fontId="3" numFmtId="0" xfId="0" applyAlignment="1" applyBorder="1" applyFont="1">
      <alignment vertical="bottom"/>
    </xf>
    <xf borderId="1" fillId="18" fontId="3" numFmtId="0" xfId="0" applyAlignment="1" applyBorder="1" applyFont="1">
      <alignment vertical="bottom"/>
    </xf>
    <xf borderId="1" fillId="14" fontId="3" numFmtId="0" xfId="0" applyAlignment="1" applyBorder="1" applyFont="1">
      <alignment vertical="bottom"/>
    </xf>
    <xf borderId="1" fillId="12" fontId="3" numFmtId="0" xfId="0" applyAlignment="1" applyBorder="1" applyFont="1">
      <alignment vertical="bottom"/>
    </xf>
    <xf borderId="1" fillId="31" fontId="3" numFmtId="0" xfId="0" applyAlignment="1" applyBorder="1" applyFill="1" applyFont="1">
      <alignment vertical="bottom"/>
    </xf>
    <xf borderId="1" fillId="25" fontId="3" numFmtId="0" xfId="0" applyAlignment="1" applyBorder="1" applyFont="1">
      <alignment vertical="bottom"/>
    </xf>
    <xf borderId="7" fillId="0" fontId="2" numFmtId="0" xfId="0" applyBorder="1" applyFont="1"/>
    <xf borderId="1" fillId="26" fontId="3" numFmtId="0" xfId="0" applyAlignment="1" applyBorder="1" applyFont="1">
      <alignment vertical="bottom"/>
    </xf>
    <xf borderId="8" fillId="0" fontId="2" numFmtId="0" xfId="0" applyAlignment="1" applyBorder="1" applyFont="1">
      <alignment readingOrder="0"/>
    </xf>
    <xf borderId="9" fillId="0" fontId="2" numFmtId="0" xfId="0" applyAlignment="1" applyBorder="1" applyFont="1">
      <alignment readingOrder="0"/>
    </xf>
    <xf borderId="10" fillId="0" fontId="2" numFmtId="0" xfId="0" applyAlignment="1" applyBorder="1" applyFont="1">
      <alignment readingOrder="0"/>
    </xf>
    <xf borderId="2" fillId="0" fontId="2" numFmtId="0" xfId="0" applyAlignment="1" applyBorder="1" applyFont="1">
      <alignment readingOrder="0"/>
    </xf>
    <xf borderId="11" fillId="0" fontId="6" numFmtId="2" xfId="0" applyBorder="1" applyFont="1" applyNumberFormat="1"/>
    <xf borderId="1" fillId="0" fontId="2" numFmtId="0" xfId="0" applyAlignment="1" applyBorder="1" applyFont="1">
      <alignment readingOrder="0"/>
    </xf>
    <xf borderId="2" fillId="0" fontId="6" numFmtId="2" xfId="0" applyAlignment="1" applyBorder="1" applyFont="1" applyNumberFormat="1">
      <alignment readingOrder="0"/>
    </xf>
    <xf borderId="11" fillId="0" fontId="2" numFmtId="0" xfId="0" applyAlignment="1" applyBorder="1" applyFont="1">
      <alignment readingOrder="0"/>
    </xf>
    <xf borderId="12" fillId="0" fontId="2" numFmtId="0" xfId="0" applyAlignment="1" applyBorder="1" applyFont="1">
      <alignment readingOrder="0"/>
    </xf>
    <xf borderId="13" fillId="0" fontId="2" numFmtId="0" xfId="0" applyAlignment="1" applyBorder="1" applyFont="1">
      <alignment readingOrder="0"/>
    </xf>
    <xf borderId="14" fillId="0" fontId="6" numFmtId="2" xfId="0" applyBorder="1" applyFont="1" applyNumberFormat="1"/>
    <xf borderId="15" fillId="0" fontId="2" numFmtId="0" xfId="0" applyAlignment="1" applyBorder="1" applyFont="1">
      <alignment readingOrder="0"/>
    </xf>
    <xf borderId="3" fillId="0" fontId="6" numFmtId="2" xfId="0" applyBorder="1" applyFont="1" applyNumberFormat="1"/>
    <xf borderId="2" fillId="0" fontId="2" numFmtId="2" xfId="0" applyAlignment="1" applyBorder="1" applyFont="1" applyNumberFormat="1">
      <alignment readingOrder="0"/>
    </xf>
    <xf borderId="10" fillId="32" fontId="10" numFmtId="0" xfId="0" applyAlignment="1" applyBorder="1" applyFill="1" applyFont="1">
      <alignment horizontal="center" readingOrder="0"/>
    </xf>
    <xf borderId="2" fillId="0" fontId="11" numFmtId="0" xfId="0" applyBorder="1" applyFont="1"/>
    <xf borderId="11" fillId="0" fontId="11" numFmtId="0" xfId="0" applyBorder="1" applyFont="1"/>
    <xf borderId="9" fillId="32" fontId="12" numFmtId="0" xfId="0" applyAlignment="1" applyBorder="1" applyFont="1">
      <alignment horizontal="center" readingOrder="0"/>
    </xf>
    <xf borderId="1" fillId="32" fontId="12" numFmtId="0" xfId="0" applyAlignment="1" applyBorder="1" applyFont="1">
      <alignment horizontal="center" readingOrder="0"/>
    </xf>
    <xf borderId="0" fillId="32" fontId="12" numFmtId="0" xfId="0" applyAlignment="1" applyFont="1">
      <alignment horizontal="center" readingOrder="0"/>
    </xf>
    <xf borderId="9" fillId="32" fontId="10" numFmtId="0" xfId="0" applyAlignment="1" applyBorder="1" applyFont="1">
      <alignment horizontal="center"/>
    </xf>
    <xf borderId="3" fillId="32" fontId="10" numFmtId="49" xfId="0" applyAlignment="1" applyBorder="1" applyFont="1" applyNumberFormat="1">
      <alignment horizontal="center"/>
    </xf>
    <xf borderId="3" fillId="32" fontId="10" numFmtId="0" xfId="0" applyAlignment="1" applyBorder="1" applyFont="1">
      <alignment horizontal="center"/>
    </xf>
    <xf borderId="3" fillId="32" fontId="12" numFmtId="0" xfId="0" applyAlignment="1" applyBorder="1" applyFont="1">
      <alignment horizontal="center" readingOrder="0"/>
    </xf>
    <xf borderId="3" fillId="32" fontId="12" numFmtId="168" xfId="0" applyAlignment="1" applyBorder="1" applyFont="1" applyNumberFormat="1">
      <alignment horizontal="center" readingOrder="0"/>
    </xf>
    <xf borderId="1" fillId="32" fontId="12" numFmtId="168" xfId="0" applyAlignment="1" applyBorder="1" applyFont="1" applyNumberFormat="1">
      <alignment horizontal="center" readingOrder="0"/>
    </xf>
    <xf borderId="3" fillId="9" fontId="13" numFmtId="0" xfId="0" applyAlignment="1" applyBorder="1" applyFont="1">
      <alignment horizontal="center"/>
    </xf>
    <xf borderId="3" fillId="0" fontId="13" numFmtId="0" xfId="0" applyAlignment="1" applyBorder="1" applyFont="1">
      <alignment horizontal="center"/>
    </xf>
    <xf borderId="3" fillId="7" fontId="13" numFmtId="0" xfId="0" applyAlignment="1" applyBorder="1" applyFont="1">
      <alignment horizontal="center"/>
    </xf>
    <xf borderId="3" fillId="11" fontId="13" numFmtId="0" xfId="0" applyAlignment="1" applyBorder="1" applyFont="1">
      <alignment horizontal="center"/>
    </xf>
    <xf borderId="3" fillId="12" fontId="13" numFmtId="0" xfId="0" applyAlignment="1" applyBorder="1" applyFont="1">
      <alignment horizontal="center"/>
    </xf>
    <xf borderId="3" fillId="9" fontId="13" numFmtId="0" xfId="0" applyAlignment="1" applyBorder="1" applyFont="1">
      <alignment horizontal="center" readingOrder="0"/>
    </xf>
    <xf borderId="3" fillId="12" fontId="13" numFmtId="0" xfId="0" applyAlignment="1" applyBorder="1" applyFont="1">
      <alignment horizontal="center" readingOrder="0"/>
    </xf>
    <xf borderId="3" fillId="11" fontId="13" numFmtId="0" xfId="0" applyAlignment="1" applyBorder="1" applyFont="1">
      <alignment horizontal="center" readingOrder="0"/>
    </xf>
    <xf borderId="0" fillId="0" fontId="3" numFmtId="164" xfId="0" applyAlignment="1" applyFont="1" applyNumberFormat="1">
      <alignment readingOrder="0" vertical="bottom"/>
    </xf>
    <xf borderId="0" fillId="0" fontId="3" numFmtId="0" xfId="0" applyAlignment="1" applyFont="1">
      <alignment horizontal="center" readingOrder="0" shrinkToFit="0" wrapText="1"/>
    </xf>
    <xf borderId="0" fillId="0" fontId="3" numFmtId="0" xfId="0" applyAlignment="1" applyFont="1">
      <alignment horizontal="center" readingOrder="0" shrinkToFit="0" vertical="bottom" wrapText="1"/>
    </xf>
    <xf borderId="0" fillId="0" fontId="14" numFmtId="0" xfId="0" applyAlignment="1" applyFont="1">
      <alignment readingOrder="0" vertical="bottom"/>
    </xf>
    <xf borderId="1" fillId="33" fontId="15" numFmtId="0" xfId="0" applyAlignment="1" applyBorder="1" applyFill="1" applyFont="1">
      <alignment horizontal="center" readingOrder="0"/>
    </xf>
    <xf borderId="11" fillId="33" fontId="15" numFmtId="0" xfId="0" applyAlignment="1" applyBorder="1" applyFont="1">
      <alignment horizontal="center" readingOrder="0"/>
    </xf>
    <xf borderId="3" fillId="0" fontId="3" numFmtId="0" xfId="0" applyAlignment="1" applyBorder="1" applyFont="1">
      <alignment horizontal="center" readingOrder="0"/>
    </xf>
    <xf borderId="11" fillId="33" fontId="15" numFmtId="0" xfId="0" applyAlignment="1" applyBorder="1" applyFont="1">
      <alignment horizontal="center"/>
    </xf>
    <xf borderId="11" fillId="33" fontId="15" numFmtId="0" xfId="0" applyAlignment="1" applyBorder="1" applyFont="1">
      <alignment horizontal="left"/>
    </xf>
    <xf borderId="9" fillId="0" fontId="3" numFmtId="0" xfId="0" applyAlignment="1" applyBorder="1" applyFont="1">
      <alignment horizontal="center" readingOrder="0"/>
    </xf>
    <xf borderId="3" fillId="0" fontId="3" numFmtId="0" xfId="0" applyAlignment="1" applyBorder="1" applyFont="1">
      <alignment horizontal="center"/>
    </xf>
    <xf borderId="0" fillId="0" fontId="3" numFmtId="170" xfId="0" applyAlignment="1" applyFont="1" applyNumberFormat="1">
      <alignment readingOrder="0" vertical="bottom"/>
    </xf>
    <xf borderId="0" fillId="0" fontId="3" numFmtId="171" xfId="0" applyAlignment="1" applyFont="1" applyNumberFormat="1">
      <alignment readingOrder="0" vertical="bottom"/>
    </xf>
    <xf borderId="0" fillId="0" fontId="2" numFmtId="170" xfId="0" applyAlignment="1" applyFont="1" applyNumberFormat="1">
      <alignment readingOrder="0"/>
    </xf>
    <xf borderId="0" fillId="0" fontId="3" numFmtId="172" xfId="0" applyAlignment="1" applyFont="1" applyNumberFormat="1">
      <alignment readingOrder="0" vertical="bottom"/>
    </xf>
    <xf borderId="3" fillId="0" fontId="3" numFmtId="170" xfId="0" applyAlignment="1" applyBorder="1" applyFont="1" applyNumberFormat="1">
      <alignment horizontal="center" readingOrder="0"/>
    </xf>
    <xf borderId="0" fillId="0" fontId="3" numFmtId="173" xfId="0" applyAlignment="1" applyFont="1" applyNumberFormat="1">
      <alignment readingOrder="0" vertical="bottom"/>
    </xf>
  </cellXfs>
  <cellStyles count="1">
    <cellStyle xfId="0" name="Normal" builtinId="0"/>
  </cellStyles>
  <dxfs count="16">
    <dxf>
      <font/>
      <fill>
        <patternFill patternType="none"/>
      </fill>
      <border/>
    </dxf>
    <dxf>
      <font/>
      <fill>
        <patternFill patternType="solid">
          <fgColor rgb="FFFFFFFF"/>
          <bgColor rgb="FFFFFFFF"/>
        </patternFill>
      </fill>
      <border/>
    </dxf>
    <dxf>
      <font/>
      <fill>
        <patternFill patternType="solid">
          <fgColor rgb="FFE0F7FA"/>
          <bgColor rgb="FFE0F7FA"/>
        </patternFill>
      </fill>
      <border/>
    </dxf>
    <dxf>
      <font/>
      <fill>
        <patternFill patternType="solid">
          <fgColor rgb="FFB7E1CD"/>
          <bgColor rgb="FFB7E1CD"/>
        </patternFill>
      </fill>
      <border/>
    </dxf>
    <dxf>
      <font/>
      <fill>
        <patternFill patternType="solid">
          <fgColor rgb="FFF9CB9C"/>
          <bgColor rgb="FFF9CB9C"/>
        </patternFill>
      </fill>
      <border/>
    </dxf>
    <dxf>
      <font/>
      <fill>
        <patternFill patternType="solid">
          <fgColor rgb="FFFCE8B2"/>
          <bgColor rgb="FFFCE8B2"/>
        </patternFill>
      </fill>
      <border/>
    </dxf>
    <dxf>
      <font/>
      <fill>
        <patternFill patternType="solid">
          <fgColor rgb="FFF4C7C3"/>
          <bgColor rgb="FFF4C7C3"/>
        </patternFill>
      </fill>
      <border/>
    </dxf>
    <dxf>
      <font/>
      <fill>
        <patternFill patternType="solid">
          <fgColor rgb="FFFF0000"/>
          <bgColor rgb="FFFF0000"/>
        </patternFill>
      </fill>
      <border/>
    </dxf>
    <dxf>
      <font/>
      <fill>
        <patternFill patternType="solid">
          <fgColor rgb="FFF6B26B"/>
          <bgColor rgb="FFF6B26B"/>
        </patternFill>
      </fill>
      <border/>
    </dxf>
    <dxf>
      <font/>
      <fill>
        <patternFill patternType="solid">
          <fgColor rgb="FF6D9EEB"/>
          <bgColor rgb="FF6D9EEB"/>
        </patternFill>
      </fill>
      <border/>
    </dxf>
    <dxf>
      <font/>
      <fill>
        <patternFill patternType="solid">
          <fgColor rgb="FFB4A7D6"/>
          <bgColor rgb="FFB4A7D6"/>
        </patternFill>
      </fill>
      <border/>
    </dxf>
    <dxf>
      <font/>
      <fill>
        <patternFill patternType="solid">
          <fgColor rgb="FFFFFF00"/>
          <bgColor rgb="FFFFFF00"/>
        </patternFill>
      </fill>
      <border/>
    </dxf>
    <dxf>
      <font/>
      <fill>
        <patternFill patternType="solid">
          <fgColor rgb="FFFF9900"/>
          <bgColor rgb="FFFF9900"/>
        </patternFill>
      </fill>
      <border/>
    </dxf>
    <dxf>
      <font/>
      <fill>
        <patternFill patternType="solid">
          <fgColor rgb="FF9900FF"/>
          <bgColor rgb="FF9900FF"/>
        </patternFill>
      </fill>
      <border/>
    </dxf>
    <dxf>
      <font/>
      <fill>
        <patternFill patternType="solid">
          <fgColor theme="7"/>
          <bgColor theme="7"/>
        </patternFill>
      </fill>
      <border/>
    </dxf>
    <dxf>
      <font/>
      <fill>
        <patternFill patternType="solid">
          <fgColor rgb="FF34A853"/>
          <bgColor rgb="FF34A853"/>
        </patternFill>
      </fill>
      <border/>
    </dxf>
  </dxfs>
  <tableStyles count="21">
    <tableStyle count="2" pivot="0" name="June Master Duty Overview-style">
      <tableStyleElement dxfId="1" type="firstRowStripe"/>
      <tableStyleElement dxfId="2" type="secondRowStripe"/>
    </tableStyle>
    <tableStyle count="2" pivot="0" name="July Master Duty Overview-style">
      <tableStyleElement dxfId="1" type="firstRowStripe"/>
      <tableStyleElement dxfId="2" type="secondRowStripe"/>
    </tableStyle>
    <tableStyle count="2" pivot="0" name="August Master Duty Overview-style">
      <tableStyleElement dxfId="1" type="firstRowStripe"/>
      <tableStyleElement dxfId="2" type="secondRowStripe"/>
    </tableStyle>
    <tableStyle count="2" pivot="0" name="September Master Duty Overview-style">
      <tableStyleElement dxfId="1" type="firstRowStripe"/>
      <tableStyleElement dxfId="2" type="secondRowStripe"/>
    </tableStyle>
    <tableStyle count="2" pivot="0" name="October Master Duty Overview-style">
      <tableStyleElement dxfId="1" type="firstRowStripe"/>
      <tableStyleElement dxfId="2" type="secondRowStripe"/>
    </tableStyle>
    <tableStyle count="2" pivot="0" name="November Master Duty Overview-style">
      <tableStyleElement dxfId="1" type="firstRowStripe"/>
      <tableStyleElement dxfId="2" type="secondRowStripe"/>
    </tableStyle>
    <tableStyle count="2" pivot="0" name="December Master Duty Overview-style">
      <tableStyleElement dxfId="1" type="firstRowStripe"/>
      <tableStyleElement dxfId="2" type="secondRowStripe"/>
    </tableStyle>
    <tableStyle count="2" pivot="0" name="January Master Duty Overview-style">
      <tableStyleElement dxfId="1" type="firstRowStripe"/>
      <tableStyleElement dxfId="2" type="secondRowStripe"/>
    </tableStyle>
    <tableStyle count="2" pivot="0" name="February Master Duty Overview-style">
      <tableStyleElement dxfId="1" type="firstRowStripe"/>
      <tableStyleElement dxfId="2" type="secondRowStripe"/>
    </tableStyle>
    <tableStyle count="2" pivot="0" name="March Master Duty Overview-style">
      <tableStyleElement dxfId="1" type="firstRowStripe"/>
      <tableStyleElement dxfId="2" type="secondRowStripe"/>
    </tableStyle>
    <tableStyle count="2" pivot="0" name="April Master Duty Overview-style">
      <tableStyleElement dxfId="1" type="firstRowStripe"/>
      <tableStyleElement dxfId="2" type="secondRowStripe"/>
    </tableStyle>
    <tableStyle count="2" pivot="0" name="May Master Duty Overview-style">
      <tableStyleElement dxfId="1" type="firstRowStripe"/>
      <tableStyleElement dxfId="2" type="secondRowStripe"/>
    </tableStyle>
    <tableStyle count="2" pivot="0" name="May Master Duty Overview-style 2">
      <tableStyleElement dxfId="2" type="firstRowStripe"/>
      <tableStyleElement dxfId="1" type="secondRowStripe"/>
    </tableStyle>
    <tableStyle count="2" pivot="0" name="Junee Master Duty Overview-style">
      <tableStyleElement dxfId="1" type="firstRowStripe"/>
      <tableStyleElement dxfId="2" type="secondRowStripe"/>
    </tableStyle>
    <tableStyle count="2" pivot="0" name="Junee Master Duty Overview-style 2">
      <tableStyleElement dxfId="2" type="firstRowStripe"/>
      <tableStyleElement dxfId="1" type="secondRowStripe"/>
    </tableStyle>
    <tableStyle count="2" pivot="0" name="Julyy Master Duty Overview-style">
      <tableStyleElement dxfId="1" type="firstRowStripe"/>
      <tableStyleElement dxfId="2" type="secondRowStripe"/>
    </tableStyle>
    <tableStyle count="2" pivot="0" name="Julyy Master Duty Overview-style 2">
      <tableStyleElement dxfId="2" type="firstRowStripe"/>
      <tableStyleElement dxfId="1" type="secondRowStripe"/>
    </tableStyle>
    <tableStyle count="2" pivot="0" name="Augustt Master Duty Overview-style">
      <tableStyleElement dxfId="1" type="firstRowStripe"/>
      <tableStyleElement dxfId="2" type="secondRowStripe"/>
    </tableStyle>
    <tableStyle count="2" pivot="0" name="Augustt Master Duty Overview-style 2">
      <tableStyleElement dxfId="2" type="firstRowStripe"/>
      <tableStyleElement dxfId="1" type="secondRowStripe"/>
    </tableStyle>
    <tableStyle count="2" pivot="0" name="Sept Master Duty Overview-style">
      <tableStyleElement dxfId="1" type="firstRowStripe"/>
      <tableStyleElement dxfId="2" type="secondRowStripe"/>
    </tableStyle>
    <tableStyle count="2" pivot="0" name="Sept Master Duty Overview-style 2">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7.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3.png"/><Relationship Id="rId4" Type="http://schemas.openxmlformats.org/officeDocument/2006/relationships/image" Target="../media/image2.png"/><Relationship Id="rId5"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638175</xdr:colOff>
      <xdr:row>46</xdr:row>
      <xdr:rowOff>200025</xdr:rowOff>
    </xdr:from>
    <xdr:ext cx="3171825" cy="31718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2000250</xdr:colOff>
      <xdr:row>52</xdr:row>
      <xdr:rowOff>180975</xdr:rowOff>
    </xdr:from>
    <xdr:ext cx="2038350" cy="140970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123825</xdr:colOff>
      <xdr:row>49</xdr:row>
      <xdr:rowOff>133350</xdr:rowOff>
    </xdr:from>
    <xdr:ext cx="1466850" cy="140970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495300</xdr:colOff>
      <xdr:row>26</xdr:row>
      <xdr:rowOff>161925</xdr:rowOff>
    </xdr:from>
    <xdr:ext cx="1409700" cy="1409700"/>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152400</xdr:colOff>
      <xdr:row>41</xdr:row>
      <xdr:rowOff>66675</xdr:rowOff>
    </xdr:from>
    <xdr:ext cx="2095500" cy="1962150"/>
    <xdr:pic>
      <xdr:nvPicPr>
        <xdr:cNvPr id="0" name="image1.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F3:AW31" displayName="Table_1" name="Table_1" id="1">
  <tableColumns count="4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s>
  <tableStyleInfo name="June Master Duty Overview-style" showColumnStripes="0" showFirstColumn="1" showLastColumn="1" showRowStripes="1"/>
</table>
</file>

<file path=xl/tables/table2.xml><?xml version="1.0" encoding="utf-8"?>
<table xmlns="http://schemas.openxmlformats.org/spreadsheetml/2006/main" headerRowCount="0" ref="F3:AR32" displayName="Table_2" name="Table_2" id="2">
  <tableColumns count="3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s>
  <tableStyleInfo name="July Master Duty Overview-style" showColumnStripes="0" showFirstColumn="1" showLastColumn="1" showRowStripes="1"/>
</table>
</file>

<file path=xl/tables/table3.xml><?xml version="1.0" encoding="utf-8"?>
<table xmlns="http://schemas.openxmlformats.org/spreadsheetml/2006/main" headerRowCount="0" ref="F3:AT26" displayName="Table_3" name="Table_3" id="3">
  <tableColumns count="4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s>
  <tableStyleInfo name="August Master Duty Overview-style" showColumnStripes="0" showFirstColumn="1" showLastColumn="1" showRowStripes="1"/>
</table>
</file>

<file path=xl/tables/table4.xml><?xml version="1.0" encoding="utf-8"?>
<table xmlns="http://schemas.openxmlformats.org/spreadsheetml/2006/main" headerRowCount="0" ref="F3:AR29" displayName="Table_4" name="Table_4" id="4">
  <tableColumns count="3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s>
  <tableStyleInfo name="September Master Duty Overview-style" showColumnStripes="0" showFirstColumn="1" showLastColumn="1" showRowStripes="1"/>
</table>
</file>

<file path=xl/tables/table5.xml><?xml version="1.0" encoding="utf-8"?>
<table xmlns="http://schemas.openxmlformats.org/spreadsheetml/2006/main" headerRowCount="0" ref="F3:AS30" displayName="Table_5" name="Table_5" id="5">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October Master Duty Overview-style" showColumnStripes="0" showFirstColumn="1" showLastColumn="1" showRowStripes="1"/>
</table>
</file>

<file path=xl/tables/table6.xml><?xml version="1.0" encoding="utf-8"?>
<table xmlns="http://schemas.openxmlformats.org/spreadsheetml/2006/main" headerRowCount="0" ref="F3:AT30" displayName="Table_6" name="Table_6" id="6">
  <tableColumns count="4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s>
  <tableStyleInfo name="November Master Duty Overview-style" showColumnStripes="0" showFirstColumn="1" showLastColumn="1" showRowStripes="1"/>
</table>
</file>

<file path=xl/tables/table7.xml><?xml version="1.0" encoding="utf-8"?>
<table xmlns="http://schemas.openxmlformats.org/spreadsheetml/2006/main" headerRowCount="0" ref="F3:AU29" displayName="Table_7" name="Table_7" id="7">
  <tableColumns count="4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s>
  <tableStyleInfo name="December Master Duty Overview-style" showColumnStripes="0" showFirstColumn="1" showLastColumn="1" showRowStripes="1"/>
</table>
</file>

<file path=xl/tables/table8.xml><?xml version="1.0" encoding="utf-8"?>
<table xmlns="http://schemas.openxmlformats.org/spreadsheetml/2006/main" headerRowCount="0" ref="F3:AY29" displayName="Table_8" name="Table_8" id="8">
  <tableColumns count="4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s>
  <tableStyleInfo name="January Master Duty Overview-style" showColumnStripes="0" showFirstColumn="1" showLastColumn="1" showRowStripes="1"/>
</table>
</file>

<file path=xl/tables/table9.xml><?xml version="1.0" encoding="utf-8"?>
<table xmlns="http://schemas.openxmlformats.org/spreadsheetml/2006/main" headerRowCount="0" ref="F3:AY28" displayName="Table_9" name="Table_9" id="9">
  <tableColumns count="4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s>
  <tableStyleInfo name="February Master Duty Overview-style" showColumnStripes="0" showFirstColumn="1" showLastColumn="1" showRowStripes="1"/>
</table>
</file>

<file path=xl/tables/table10.xml><?xml version="1.0" encoding="utf-8"?>
<table xmlns="http://schemas.openxmlformats.org/spreadsheetml/2006/main" headerRowCount="0" ref="F3:AY28" displayName="Table_10" name="Table_10" id="10">
  <tableColumns count="4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s>
  <tableStyleInfo name="March Master Duty Overview-style" showColumnStripes="0" showFirstColumn="1" showLastColumn="1" showRowStripes="1"/>
</table>
</file>

<file path=xl/tables/table11.xml><?xml version="1.0" encoding="utf-8"?>
<table xmlns="http://schemas.openxmlformats.org/spreadsheetml/2006/main" headerRowCount="0" ref="F3:AY29" displayName="Table_11" name="Table_11" id="11">
  <tableColumns count="4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s>
  <tableStyleInfo name="April Master Duty Overview-style" showColumnStripes="0" showFirstColumn="1" showLastColumn="1" showRowStripes="1"/>
</table>
</file>

<file path=xl/tables/table12.xml><?xml version="1.0" encoding="utf-8"?>
<table xmlns="http://schemas.openxmlformats.org/spreadsheetml/2006/main" headerRowCount="0" ref="F3:AY31" displayName="Table_12" name="Table_12" id="12">
  <tableColumns count="4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s>
  <tableStyleInfo name="May Master Duty Overview-style" showColumnStripes="0" showFirstColumn="1" showLastColumn="1" showRowStripes="1"/>
</table>
</file>

<file path=xl/tables/table13.xml><?xml version="1.0" encoding="utf-8"?>
<table xmlns="http://schemas.openxmlformats.org/spreadsheetml/2006/main" headerRowCount="0" ref="G38:AU38" displayName="Table_13" name="Table_13" id="13">
  <tableColumns count="4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s>
  <tableStyleInfo name="May Master Duty Overview-style 2" showColumnStripes="0" showFirstColumn="1" showLastColumn="1" showRowStripes="1"/>
</table>
</file>

<file path=xl/tables/table14.xml><?xml version="1.0" encoding="utf-8"?>
<table xmlns="http://schemas.openxmlformats.org/spreadsheetml/2006/main" headerRowCount="0" ref="F3:AY33" displayName="Table_14" name="Table_14" id="14">
  <tableColumns count="4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s>
  <tableStyleInfo name="Junee Master Duty Overview-style" showColumnStripes="0" showFirstColumn="1" showLastColumn="1" showRowStripes="1"/>
</table>
</file>

<file path=xl/tables/table15.xml><?xml version="1.0" encoding="utf-8"?>
<table xmlns="http://schemas.openxmlformats.org/spreadsheetml/2006/main" headerRowCount="0" ref="G38:AU38" displayName="Table_15" name="Table_15" id="15">
  <tableColumns count="4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s>
  <tableStyleInfo name="Junee Master Duty Overview-style 2" showColumnStripes="0" showFirstColumn="1" showLastColumn="1" showRowStripes="1"/>
</table>
</file>

<file path=xl/tables/table16.xml><?xml version="1.0" encoding="utf-8"?>
<table xmlns="http://schemas.openxmlformats.org/spreadsheetml/2006/main" headerRowCount="0" ref="F3:AZ33" displayName="Table_16" name="Table_16" id="16">
  <tableColumns count="4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s>
  <tableStyleInfo name="Julyy Master Duty Overview-style" showColumnStripes="0" showFirstColumn="1" showLastColumn="1" showRowStripes="1"/>
</table>
</file>

<file path=xl/tables/table17.xml><?xml version="1.0" encoding="utf-8"?>
<table xmlns="http://schemas.openxmlformats.org/spreadsheetml/2006/main" headerRowCount="0" ref="G37:AV38" displayName="Table_17" name="Table_17" id="17">
  <tableColumns count="4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s>
  <tableStyleInfo name="Julyy Master Duty Overview-style 2" showColumnStripes="0" showFirstColumn="1" showLastColumn="1" showRowStripes="1"/>
</table>
</file>

<file path=xl/tables/table18.xml><?xml version="1.0" encoding="utf-8"?>
<table xmlns="http://schemas.openxmlformats.org/spreadsheetml/2006/main" headerRowCount="0" ref="F3:BA36" displayName="Table_18" name="Table_18" id="18">
  <tableColumns count="4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s>
  <tableStyleInfo name="Augustt Master Duty Overview-style" showColumnStripes="0" showFirstColumn="1" showLastColumn="1" showRowStripes="1"/>
</table>
</file>

<file path=xl/tables/table19.xml><?xml version="1.0" encoding="utf-8"?>
<table xmlns="http://schemas.openxmlformats.org/spreadsheetml/2006/main" headerRowCount="0" ref="G37:AW38" displayName="Table_19" name="Table_19" id="19">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Augustt Master Duty Overview-style 2" showColumnStripes="0" showFirstColumn="1" showLastColumn="1" showRowStripes="1"/>
</table>
</file>

<file path=xl/tables/table20.xml><?xml version="1.0" encoding="utf-8"?>
<table xmlns="http://schemas.openxmlformats.org/spreadsheetml/2006/main" headerRowCount="0" ref="F3:AQ36" displayName="Table_20" name="Table_20" id="20">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Sept Master Duty Overview-style" showColumnStripes="0" showFirstColumn="1" showLastColumn="1" showRowStripes="1"/>
</table>
</file>

<file path=xl/tables/table21.xml><?xml version="1.0" encoding="utf-8"?>
<table xmlns="http://schemas.openxmlformats.org/spreadsheetml/2006/main" headerRowCount="0" ref="F37:AQ38" displayName="Table_21" name="Table_21" id="21">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Sept Master Duty Overview-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 Id="rId5"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 Id="rId5"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 Id="rId5"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 Id="rId5"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 Id="rId5"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 Id="rId5"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9.vml"/><Relationship Id="rId5"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0.xml"/><Relationship Id="rId3" Type="http://schemas.openxmlformats.org/officeDocument/2006/relationships/vmlDrawing" Target="../drawings/vmlDrawing10.vml"/><Relationship Id="rId5"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1.xml"/><Relationship Id="rId3" Type="http://schemas.openxmlformats.org/officeDocument/2006/relationships/vmlDrawing" Target="../drawings/vmlDrawing11.vml"/><Relationship Id="rId5"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2.xml"/><Relationship Id="rId3" Type="http://schemas.openxmlformats.org/officeDocument/2006/relationships/vmlDrawing" Target="../drawings/vmlDrawing12.vml"/><Relationship Id="rId6" Type="http://schemas.openxmlformats.org/officeDocument/2006/relationships/table" Target="../tables/table12.xml"/><Relationship Id="rId7"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3.xml"/><Relationship Id="rId3" Type="http://schemas.openxmlformats.org/officeDocument/2006/relationships/vmlDrawing" Target="../drawings/vmlDrawing13.vml"/><Relationship Id="rId6" Type="http://schemas.openxmlformats.org/officeDocument/2006/relationships/table" Target="../tables/table14.xml"/><Relationship Id="rId7" Type="http://schemas.openxmlformats.org/officeDocument/2006/relationships/table" Target="../tables/table15.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4.xml"/><Relationship Id="rId3" Type="http://schemas.openxmlformats.org/officeDocument/2006/relationships/vmlDrawing" Target="../drawings/vmlDrawing14.vml"/><Relationship Id="rId6" Type="http://schemas.openxmlformats.org/officeDocument/2006/relationships/table" Target="../tables/table16.xml"/><Relationship Id="rId7" Type="http://schemas.openxmlformats.org/officeDocument/2006/relationships/table" Target="../tables/table17.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5.xml"/><Relationship Id="rId3" Type="http://schemas.openxmlformats.org/officeDocument/2006/relationships/vmlDrawing" Target="../drawings/vmlDrawing15.vml"/><Relationship Id="rId6" Type="http://schemas.openxmlformats.org/officeDocument/2006/relationships/table" Target="../tables/table18.xml"/><Relationship Id="rId7" Type="http://schemas.openxmlformats.org/officeDocument/2006/relationships/table" Target="../tables/table19.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6.xml"/><Relationship Id="rId3" Type="http://schemas.openxmlformats.org/officeDocument/2006/relationships/vmlDrawing" Target="../drawings/vmlDrawing16.vml"/><Relationship Id="rId6" Type="http://schemas.openxmlformats.org/officeDocument/2006/relationships/table" Target="../tables/table20.xml"/><Relationship Id="rId7" Type="http://schemas.openxmlformats.org/officeDocument/2006/relationships/table" Target="../tables/table21.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17.xml"/><Relationship Id="rId3"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18.xml"/><Relationship Id="rId3" Type="http://schemas.openxmlformats.org/officeDocument/2006/relationships/vmlDrawing" Target="../drawings/vmlDrawing18.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19.xml"/><Relationship Id="rId3" Type="http://schemas.openxmlformats.org/officeDocument/2006/relationships/vmlDrawing" Target="../drawings/vmlDrawing19.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20.xml"/><Relationship Id="rId3" Type="http://schemas.openxmlformats.org/officeDocument/2006/relationships/vmlDrawing" Target="../drawings/vmlDrawing20.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21.xml"/><Relationship Id="rId2" Type="http://schemas.openxmlformats.org/officeDocument/2006/relationships/drawing" Target="../drawings/drawing21.xml"/><Relationship Id="rId3" Type="http://schemas.openxmlformats.org/officeDocument/2006/relationships/vmlDrawing" Target="../drawings/vmlDrawing21.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22.xml"/><Relationship Id="rId2" Type="http://schemas.openxmlformats.org/officeDocument/2006/relationships/drawing" Target="../drawings/drawing22.xml"/><Relationship Id="rId3" Type="http://schemas.openxmlformats.org/officeDocument/2006/relationships/vmlDrawing" Target="../drawings/vmlDrawing22.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23.xml"/><Relationship Id="rId2" Type="http://schemas.openxmlformats.org/officeDocument/2006/relationships/drawing" Target="../drawings/drawing23.xml"/><Relationship Id="rId3" Type="http://schemas.openxmlformats.org/officeDocument/2006/relationships/vmlDrawing" Target="../drawings/vmlDrawing23.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24.xml"/><Relationship Id="rId2" Type="http://schemas.openxmlformats.org/officeDocument/2006/relationships/drawing" Target="../drawings/drawing24.xml"/><Relationship Id="rId3" Type="http://schemas.openxmlformats.org/officeDocument/2006/relationships/vmlDrawing" Target="../drawings/vmlDrawing24.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25.xml"/><Relationship Id="rId2" Type="http://schemas.openxmlformats.org/officeDocument/2006/relationships/drawing" Target="../drawings/drawing25.xml"/><Relationship Id="rId3" Type="http://schemas.openxmlformats.org/officeDocument/2006/relationships/vmlDrawing" Target="../drawings/vmlDrawing25.v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14.63"/>
    <col customWidth="1" hidden="1" min="2" max="2" width="11.38"/>
    <col customWidth="1" min="4" max="4" width="14.13"/>
    <col customWidth="1" min="6" max="8" width="8.63"/>
    <col customWidth="1" min="9" max="9" width="8.38"/>
    <col customWidth="1" min="10" max="10" width="8.25"/>
    <col customWidth="1" min="11" max="43" width="8.63"/>
    <col customWidth="1" min="44" max="44" width="9.5"/>
    <col customWidth="1" min="45" max="49" width="8.63"/>
  </cols>
  <sheetData>
    <row r="1">
      <c r="A1" s="1" t="s">
        <v>0</v>
      </c>
      <c r="B1" s="1" t="s">
        <v>1</v>
      </c>
      <c r="C1" s="1" t="s">
        <v>2</v>
      </c>
      <c r="D1" s="1" t="s">
        <v>3</v>
      </c>
      <c r="E1" s="1" t="s">
        <v>4</v>
      </c>
      <c r="F1" s="2" t="s">
        <v>5</v>
      </c>
      <c r="G1" s="2" t="s">
        <v>6</v>
      </c>
      <c r="H1" s="3" t="s">
        <v>7</v>
      </c>
      <c r="I1" s="4" t="s">
        <v>8</v>
      </c>
      <c r="J1" s="2" t="s">
        <v>9</v>
      </c>
      <c r="K1" s="2" t="s">
        <v>10</v>
      </c>
      <c r="L1" s="2" t="s">
        <v>11</v>
      </c>
      <c r="M1" s="2" t="s">
        <v>12</v>
      </c>
      <c r="N1" s="2" t="s">
        <v>13</v>
      </c>
      <c r="O1" s="2" t="s">
        <v>5</v>
      </c>
      <c r="P1" s="2" t="s">
        <v>6</v>
      </c>
      <c r="Q1" s="3" t="s">
        <v>7</v>
      </c>
      <c r="R1" s="4" t="s">
        <v>8</v>
      </c>
      <c r="S1" s="2" t="s">
        <v>9</v>
      </c>
      <c r="T1" s="2" t="s">
        <v>10</v>
      </c>
      <c r="U1" s="2" t="s">
        <v>11</v>
      </c>
      <c r="V1" s="2" t="s">
        <v>12</v>
      </c>
      <c r="W1" s="2" t="s">
        <v>13</v>
      </c>
      <c r="X1" s="2" t="s">
        <v>5</v>
      </c>
      <c r="Y1" s="2" t="s">
        <v>6</v>
      </c>
      <c r="Z1" s="3" t="s">
        <v>7</v>
      </c>
      <c r="AA1" s="4" t="s">
        <v>8</v>
      </c>
      <c r="AB1" s="2" t="s">
        <v>14</v>
      </c>
      <c r="AC1" s="2" t="s">
        <v>15</v>
      </c>
      <c r="AD1" s="2" t="s">
        <v>10</v>
      </c>
      <c r="AE1" s="2" t="s">
        <v>11</v>
      </c>
      <c r="AF1" s="2" t="s">
        <v>12</v>
      </c>
      <c r="AG1" s="2" t="s">
        <v>13</v>
      </c>
      <c r="AH1" s="2" t="s">
        <v>5</v>
      </c>
      <c r="AI1" s="2" t="s">
        <v>6</v>
      </c>
      <c r="AJ1" s="3" t="s">
        <v>7</v>
      </c>
      <c r="AK1" s="4" t="s">
        <v>8</v>
      </c>
      <c r="AL1" s="2" t="s">
        <v>9</v>
      </c>
      <c r="AM1" s="2" t="s">
        <v>10</v>
      </c>
      <c r="AN1" s="2" t="s">
        <v>11</v>
      </c>
      <c r="AO1" s="2" t="s">
        <v>12</v>
      </c>
      <c r="AP1" s="2" t="s">
        <v>13</v>
      </c>
      <c r="AQ1" s="2" t="s">
        <v>5</v>
      </c>
      <c r="AR1" s="2" t="s">
        <v>6</v>
      </c>
      <c r="AS1" s="3" t="s">
        <v>7</v>
      </c>
      <c r="AT1" s="4" t="s">
        <v>8</v>
      </c>
      <c r="AU1" s="2"/>
      <c r="AV1" s="2"/>
      <c r="AW1" s="2"/>
    </row>
    <row r="2">
      <c r="F2" s="5" t="s">
        <v>16</v>
      </c>
      <c r="G2" s="5" t="s">
        <v>17</v>
      </c>
      <c r="H2" s="5" t="s">
        <v>18</v>
      </c>
      <c r="I2" s="5" t="s">
        <v>19</v>
      </c>
      <c r="J2" s="6">
        <v>45446.0</v>
      </c>
      <c r="K2" s="6">
        <v>45447.0</v>
      </c>
      <c r="L2" s="6">
        <v>45448.0</v>
      </c>
      <c r="M2" s="6">
        <v>45449.0</v>
      </c>
      <c r="N2" s="6">
        <v>45450.0</v>
      </c>
      <c r="O2" s="5" t="s">
        <v>20</v>
      </c>
      <c r="P2" s="5" t="s">
        <v>21</v>
      </c>
      <c r="Q2" s="5" t="s">
        <v>22</v>
      </c>
      <c r="R2" s="5" t="s">
        <v>23</v>
      </c>
      <c r="S2" s="6">
        <v>45453.0</v>
      </c>
      <c r="T2" s="6">
        <v>45454.0</v>
      </c>
      <c r="U2" s="6">
        <v>45455.0</v>
      </c>
      <c r="V2" s="6">
        <v>45456.0</v>
      </c>
      <c r="W2" s="6">
        <v>45457.0</v>
      </c>
      <c r="X2" s="5" t="s">
        <v>24</v>
      </c>
      <c r="Y2" s="5" t="s">
        <v>25</v>
      </c>
      <c r="Z2" s="5" t="s">
        <v>26</v>
      </c>
      <c r="AA2" s="5" t="s">
        <v>27</v>
      </c>
      <c r="AB2" s="7" t="s">
        <v>28</v>
      </c>
      <c r="AC2" s="7" t="s">
        <v>29</v>
      </c>
      <c r="AD2" s="6">
        <v>45461.0</v>
      </c>
      <c r="AE2" s="6">
        <v>45462.0</v>
      </c>
      <c r="AF2" s="6">
        <v>45463.0</v>
      </c>
      <c r="AG2" s="6">
        <v>45464.0</v>
      </c>
      <c r="AH2" s="5" t="s">
        <v>30</v>
      </c>
      <c r="AI2" s="5" t="s">
        <v>31</v>
      </c>
      <c r="AJ2" s="5" t="s">
        <v>32</v>
      </c>
      <c r="AK2" s="5" t="s">
        <v>33</v>
      </c>
      <c r="AL2" s="6">
        <v>45467.0</v>
      </c>
      <c r="AM2" s="6">
        <v>45468.0</v>
      </c>
      <c r="AN2" s="6">
        <v>45469.0</v>
      </c>
      <c r="AO2" s="6">
        <v>45470.0</v>
      </c>
      <c r="AP2" s="6">
        <v>45471.0</v>
      </c>
      <c r="AQ2" s="5" t="s">
        <v>34</v>
      </c>
      <c r="AR2" s="5" t="s">
        <v>35</v>
      </c>
      <c r="AS2" s="5" t="s">
        <v>36</v>
      </c>
      <c r="AT2" s="5" t="s">
        <v>37</v>
      </c>
      <c r="AU2" s="6"/>
      <c r="AV2" s="6"/>
      <c r="AW2" s="8"/>
    </row>
    <row r="3">
      <c r="A3" s="9" t="s">
        <v>38</v>
      </c>
      <c r="B3" s="10">
        <f t="shared" ref="B3:B10" si="1">SUM(C3:D3)</f>
        <v>4</v>
      </c>
      <c r="C3" s="10">
        <f t="shared" ref="C3:C34" si="2">SUM(F3:AW3)</f>
        <v>2</v>
      </c>
      <c r="D3" s="11">
        <f t="array" ref="D3">SUM(IF(F3:AW3="R",1,0))</f>
        <v>2</v>
      </c>
      <c r="E3" s="11">
        <f t="array" ref="E3">SUM(IF(F3:AW3="R2",1,0))</f>
        <v>2</v>
      </c>
      <c r="F3" s="12"/>
      <c r="G3" s="13"/>
      <c r="H3" s="12"/>
      <c r="J3" s="12"/>
      <c r="K3" s="13"/>
      <c r="L3" s="13"/>
      <c r="M3" s="12" t="s">
        <v>39</v>
      </c>
      <c r="N3" s="12">
        <v>1.0</v>
      </c>
      <c r="O3" s="12" t="s">
        <v>39</v>
      </c>
      <c r="P3" s="12">
        <v>1.0</v>
      </c>
      <c r="Q3" s="12"/>
      <c r="R3" s="12"/>
      <c r="S3" s="12"/>
      <c r="T3" s="12"/>
      <c r="U3" s="12"/>
      <c r="V3" s="13"/>
      <c r="W3" s="13"/>
      <c r="X3" s="13"/>
      <c r="Y3" s="12"/>
      <c r="Z3" s="13"/>
      <c r="AA3" s="13"/>
      <c r="AB3" s="13"/>
      <c r="AC3" s="13"/>
      <c r="AD3" s="12"/>
      <c r="AE3" s="12" t="s">
        <v>40</v>
      </c>
      <c r="AF3" s="12" t="s">
        <v>40</v>
      </c>
      <c r="AG3" s="13"/>
      <c r="AH3" s="13"/>
      <c r="AI3" s="13"/>
      <c r="AJ3" s="13"/>
      <c r="AL3" s="13"/>
      <c r="AM3" s="12"/>
      <c r="AN3" s="13"/>
      <c r="AO3" s="13"/>
      <c r="AP3" s="13"/>
      <c r="AQ3" s="13"/>
      <c r="AR3" s="13"/>
      <c r="AS3" s="12"/>
      <c r="AT3" s="13"/>
      <c r="AU3" s="13"/>
      <c r="AV3" s="13"/>
      <c r="AW3" s="13"/>
    </row>
    <row r="4">
      <c r="A4" s="14" t="s">
        <v>41</v>
      </c>
      <c r="B4" s="10">
        <f t="shared" si="1"/>
        <v>3</v>
      </c>
      <c r="C4" s="10">
        <f t="shared" si="2"/>
        <v>2</v>
      </c>
      <c r="D4" s="11">
        <f t="array" ref="D4">SUM(IF(F4:AW4="R",1,0))</f>
        <v>1</v>
      </c>
      <c r="E4" s="11">
        <f t="array" ref="E4">SUM(IF(F4:AW4="R2",1,0))</f>
        <v>1</v>
      </c>
      <c r="F4" s="15">
        <v>1.0</v>
      </c>
      <c r="M4" s="16"/>
      <c r="N4" s="16"/>
      <c r="O4" s="16"/>
      <c r="P4" s="16"/>
      <c r="S4" s="16"/>
      <c r="T4" s="16"/>
      <c r="U4" s="16"/>
      <c r="V4" s="16"/>
      <c r="W4" s="16"/>
      <c r="X4" s="17" t="s">
        <v>39</v>
      </c>
      <c r="AG4" s="17" t="s">
        <v>40</v>
      </c>
      <c r="AL4" s="16"/>
      <c r="AM4" s="16"/>
      <c r="AN4" s="16"/>
      <c r="AO4" s="16"/>
      <c r="AP4" s="16"/>
      <c r="AT4" s="17">
        <v>1.0</v>
      </c>
    </row>
    <row r="5">
      <c r="A5" s="14" t="s">
        <v>42</v>
      </c>
      <c r="B5" s="10">
        <f t="shared" si="1"/>
        <v>3</v>
      </c>
      <c r="C5" s="10">
        <f t="shared" si="2"/>
        <v>1</v>
      </c>
      <c r="D5" s="11">
        <f t="array" ref="D5">SUM(IF(F5:AW5="R",1,0))</f>
        <v>2</v>
      </c>
      <c r="E5" s="11">
        <f t="array" ref="E5">SUM(IF(F5:AW5="R2",1,0))</f>
        <v>2</v>
      </c>
      <c r="F5" s="18" t="s">
        <v>39</v>
      </c>
      <c r="M5" s="16"/>
      <c r="N5" s="16"/>
      <c r="O5" s="16"/>
      <c r="P5" s="16"/>
      <c r="R5" s="17" t="s">
        <v>39</v>
      </c>
      <c r="S5" s="17">
        <v>1.0</v>
      </c>
      <c r="T5" s="17" t="s">
        <v>40</v>
      </c>
      <c r="AA5" s="17" t="s">
        <v>40</v>
      </c>
    </row>
    <row r="6">
      <c r="A6" s="14" t="s">
        <v>43</v>
      </c>
      <c r="B6" s="10">
        <f t="shared" si="1"/>
        <v>3</v>
      </c>
      <c r="C6" s="10">
        <f t="shared" si="2"/>
        <v>1</v>
      </c>
      <c r="D6" s="11">
        <f t="array" ref="D6">SUM(IF(F6:AW6="R",1,0))</f>
        <v>2</v>
      </c>
      <c r="E6" s="11">
        <f t="array" ref="E6">SUM(IF(F6:AW6="R2",1,0))</f>
        <v>1</v>
      </c>
      <c r="F6" s="19"/>
      <c r="K6" s="16"/>
      <c r="L6" s="16"/>
      <c r="M6" s="16"/>
      <c r="N6" s="16"/>
      <c r="O6" s="16"/>
      <c r="P6" s="16"/>
      <c r="R6" s="17" t="s">
        <v>40</v>
      </c>
      <c r="S6" s="17" t="s">
        <v>39</v>
      </c>
      <c r="T6" s="17" t="s">
        <v>39</v>
      </c>
      <c r="W6" s="16"/>
      <c r="AA6" s="17">
        <v>1.0</v>
      </c>
      <c r="AB6" s="16"/>
      <c r="AC6" s="16"/>
      <c r="AG6" s="16"/>
    </row>
    <row r="7">
      <c r="A7" s="14" t="s">
        <v>44</v>
      </c>
      <c r="B7" s="10">
        <f t="shared" si="1"/>
        <v>2</v>
      </c>
      <c r="C7" s="10">
        <f t="shared" si="2"/>
        <v>1</v>
      </c>
      <c r="D7" s="11">
        <f t="array" ref="D7">SUM(IF(F7:AW7="R",1,0))</f>
        <v>1</v>
      </c>
      <c r="E7" s="11">
        <f t="array" ref="E7">SUM(IF(F7:AW7="R2",1,0))</f>
        <v>1</v>
      </c>
      <c r="M7" s="16"/>
      <c r="N7" s="16"/>
      <c r="O7" s="16"/>
      <c r="P7" s="16"/>
      <c r="S7" s="17" t="s">
        <v>40</v>
      </c>
      <c r="T7" s="17">
        <v>1.0</v>
      </c>
      <c r="V7" s="16"/>
      <c r="AG7" s="17" t="s">
        <v>39</v>
      </c>
      <c r="AQ7" s="16"/>
      <c r="AR7" s="16"/>
      <c r="AS7" s="16"/>
      <c r="AT7" s="16"/>
    </row>
    <row r="8">
      <c r="A8" s="20" t="s">
        <v>45</v>
      </c>
      <c r="B8" s="10">
        <f t="shared" si="1"/>
        <v>2</v>
      </c>
      <c r="C8" s="10">
        <f t="shared" si="2"/>
        <v>1</v>
      </c>
      <c r="D8" s="11">
        <f t="array" ref="D8">SUM(IF(F8:AW8="R",1,0))</f>
        <v>1</v>
      </c>
      <c r="E8" s="11">
        <f t="array" ref="E8">SUM(IF(F8:AW8="R2",1,0))</f>
        <v>2</v>
      </c>
      <c r="K8" s="17" t="s">
        <v>40</v>
      </c>
      <c r="M8" s="16"/>
      <c r="N8" s="16"/>
      <c r="O8" s="16"/>
      <c r="P8" s="16"/>
      <c r="AA8" s="17" t="s">
        <v>39</v>
      </c>
      <c r="AC8" s="17">
        <v>1.0</v>
      </c>
      <c r="AS8" s="17" t="s">
        <v>40</v>
      </c>
    </row>
    <row r="9">
      <c r="A9" s="20" t="s">
        <v>46</v>
      </c>
      <c r="B9" s="10">
        <f t="shared" si="1"/>
        <v>2</v>
      </c>
      <c r="C9" s="10">
        <f t="shared" si="2"/>
        <v>1</v>
      </c>
      <c r="D9" s="11">
        <f t="array" ref="D9">SUM(IF(F9:AW9="R",1,0))</f>
        <v>1</v>
      </c>
      <c r="E9" s="11">
        <f t="array" ref="E9">SUM(IF(F9:AW9="R2",1,0))</f>
        <v>1</v>
      </c>
      <c r="I9" s="12"/>
      <c r="J9" s="12"/>
      <c r="K9" s="12" t="s">
        <v>39</v>
      </c>
      <c r="L9" s="12"/>
      <c r="M9" s="21"/>
      <c r="N9" s="21"/>
      <c r="O9" s="21"/>
      <c r="P9" s="16"/>
      <c r="Q9" s="12"/>
      <c r="R9" s="12"/>
      <c r="S9" s="21"/>
      <c r="T9" s="21"/>
      <c r="U9" s="12"/>
      <c r="V9" s="12"/>
      <c r="W9" s="12"/>
      <c r="X9" s="12"/>
      <c r="Y9" s="12"/>
      <c r="Z9" s="12"/>
      <c r="AA9" s="12"/>
      <c r="AB9" s="12"/>
      <c r="AC9" s="12" t="s">
        <v>40</v>
      </c>
      <c r="AD9" s="12"/>
      <c r="AE9" s="12"/>
      <c r="AF9" s="12"/>
      <c r="AG9" s="12"/>
      <c r="AH9" s="12"/>
      <c r="AK9" s="12"/>
      <c r="AL9" s="12"/>
      <c r="AM9" s="12"/>
      <c r="AN9" s="12"/>
      <c r="AO9" s="12"/>
      <c r="AP9" s="12"/>
      <c r="AQ9" s="12"/>
      <c r="AR9" s="12"/>
      <c r="AS9" s="12">
        <v>1.0</v>
      </c>
      <c r="AU9" s="12"/>
      <c r="AV9" s="12"/>
      <c r="AW9" s="12"/>
    </row>
    <row r="10">
      <c r="A10" s="20" t="s">
        <v>47</v>
      </c>
      <c r="B10" s="10">
        <f t="shared" si="1"/>
        <v>4</v>
      </c>
      <c r="C10" s="10">
        <f t="shared" si="2"/>
        <v>1</v>
      </c>
      <c r="D10" s="11">
        <f t="array" ref="D10">SUM(IF(F10:AW10="R",1,0))</f>
        <v>3</v>
      </c>
      <c r="E10" s="11">
        <f t="array" ref="E10">SUM(IF(F10:AW10="R2",1,0))</f>
        <v>1</v>
      </c>
      <c r="K10" s="17">
        <v>1.0</v>
      </c>
      <c r="M10" s="16"/>
      <c r="N10" s="16"/>
      <c r="O10" s="16"/>
      <c r="P10" s="16"/>
      <c r="Q10" s="17" t="s">
        <v>40</v>
      </c>
      <c r="Z10" s="17" t="s">
        <v>39</v>
      </c>
      <c r="AC10" s="17" t="s">
        <v>39</v>
      </c>
      <c r="AS10" s="17" t="s">
        <v>39</v>
      </c>
    </row>
    <row r="11" hidden="1">
      <c r="A11" s="20" t="s">
        <v>48</v>
      </c>
      <c r="B11" s="10"/>
      <c r="C11" s="10">
        <f t="shared" si="2"/>
        <v>0</v>
      </c>
      <c r="D11" s="11">
        <f t="array" ref="D11">SUM(IF(F11:AW11="R",1,0))</f>
        <v>0</v>
      </c>
      <c r="E11" s="11">
        <f t="array" ref="E11">SUM(IF(F11:AW11="R2",1,0))</f>
        <v>0</v>
      </c>
    </row>
    <row r="12" hidden="1">
      <c r="A12" s="20" t="s">
        <v>49</v>
      </c>
      <c r="B12" s="10">
        <f t="shared" ref="B12:B17" si="3">SUM(C12:D12)</f>
        <v>0</v>
      </c>
      <c r="C12" s="10">
        <f t="shared" si="2"/>
        <v>0</v>
      </c>
      <c r="D12" s="11">
        <f t="array" ref="D12">SUM(IF(F12:AW12="R",1,0))</f>
        <v>0</v>
      </c>
      <c r="E12" s="11">
        <f t="array" ref="E12">SUM(IF(F12:AW12="R2",1,0))</f>
        <v>0</v>
      </c>
    </row>
    <row r="13">
      <c r="A13" s="22" t="s">
        <v>50</v>
      </c>
      <c r="B13" s="10">
        <f t="shared" si="3"/>
        <v>5</v>
      </c>
      <c r="C13" s="10">
        <f t="shared" si="2"/>
        <v>2</v>
      </c>
      <c r="D13" s="11">
        <f t="array" ref="D13">SUM(IF(F13:AW13="R",1,0))</f>
        <v>3</v>
      </c>
      <c r="E13" s="11">
        <f t="array" ref="E13">SUM(IF(F13:AW13="R2",1,0))</f>
        <v>3</v>
      </c>
      <c r="L13" s="17" t="s">
        <v>39</v>
      </c>
      <c r="M13" s="16"/>
      <c r="N13" s="16"/>
      <c r="O13" s="16"/>
      <c r="P13" s="16"/>
      <c r="U13" s="17" t="s">
        <v>39</v>
      </c>
      <c r="W13" s="17">
        <v>1.0</v>
      </c>
      <c r="AH13" s="17" t="s">
        <v>40</v>
      </c>
      <c r="AI13" s="17" t="s">
        <v>40</v>
      </c>
      <c r="AK13" s="17" t="s">
        <v>39</v>
      </c>
      <c r="AL13" s="16"/>
      <c r="AN13" s="17" t="s">
        <v>40</v>
      </c>
      <c r="AP13" s="17">
        <v>1.0</v>
      </c>
    </row>
    <row r="14" hidden="1">
      <c r="A14" s="22"/>
      <c r="B14" s="10">
        <f t="shared" si="3"/>
        <v>0</v>
      </c>
      <c r="C14" s="10">
        <f t="shared" si="2"/>
        <v>0</v>
      </c>
      <c r="D14" s="11">
        <f t="array" ref="D14">SUM(IF(F14:AW14="R",1,0))</f>
        <v>0</v>
      </c>
      <c r="E14" s="11">
        <f t="array" ref="E14">SUM(IF(F14:AW14="R2",1,0))</f>
        <v>0</v>
      </c>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row>
    <row r="15">
      <c r="A15" s="22" t="s">
        <v>51</v>
      </c>
      <c r="B15" s="10">
        <f t="shared" si="3"/>
        <v>4</v>
      </c>
      <c r="C15" s="10">
        <f t="shared" si="2"/>
        <v>2</v>
      </c>
      <c r="D15" s="11">
        <f t="array" ref="D15">SUM(IF(F15:AW15="R",1,0))</f>
        <v>2</v>
      </c>
      <c r="E15" s="11">
        <f t="array" ref="E15">SUM(IF(F15:AW15="R2",1,0))</f>
        <v>3</v>
      </c>
      <c r="L15" s="17">
        <v>1.0</v>
      </c>
      <c r="M15" s="16"/>
      <c r="N15" s="16"/>
      <c r="O15" s="21" t="s">
        <v>40</v>
      </c>
      <c r="P15" s="16"/>
      <c r="S15" s="16"/>
      <c r="U15" s="17" t="s">
        <v>40</v>
      </c>
      <c r="W15" s="17" t="s">
        <v>39</v>
      </c>
      <c r="AB15" s="16"/>
      <c r="AC15" s="16"/>
      <c r="AG15" s="16"/>
      <c r="AI15" s="17">
        <v>1.0</v>
      </c>
      <c r="AK15" s="17" t="s">
        <v>40</v>
      </c>
      <c r="AN15" s="17" t="s">
        <v>39</v>
      </c>
      <c r="AP15" s="16"/>
      <c r="AQ15" s="16"/>
      <c r="AR15" s="16"/>
      <c r="AS15" s="16"/>
      <c r="AT15" s="16"/>
    </row>
    <row r="16">
      <c r="A16" s="23" t="s">
        <v>52</v>
      </c>
      <c r="B16" s="10">
        <f t="shared" si="3"/>
        <v>3</v>
      </c>
      <c r="C16" s="10">
        <f t="shared" si="2"/>
        <v>2</v>
      </c>
      <c r="D16" s="11">
        <f t="array" ref="D16">SUM(IF(F16:AW16="R",1,0))</f>
        <v>1</v>
      </c>
      <c r="E16" s="11">
        <f t="array" ref="E16">SUM(IF(F16:AW16="R2",1,0))</f>
        <v>1</v>
      </c>
      <c r="L16" s="17" t="s">
        <v>40</v>
      </c>
      <c r="M16" s="16"/>
      <c r="N16" s="16"/>
      <c r="O16" s="16"/>
      <c r="P16" s="16"/>
      <c r="Q16" s="16"/>
      <c r="R16" s="16"/>
      <c r="S16" s="16"/>
      <c r="T16" s="16"/>
      <c r="U16" s="16"/>
      <c r="V16" s="16"/>
      <c r="W16" s="16"/>
      <c r="X16" s="16"/>
      <c r="Y16" s="16"/>
      <c r="Z16" s="16"/>
      <c r="AA16" s="16"/>
      <c r="AB16" s="16"/>
      <c r="AC16" s="16"/>
      <c r="AD16" s="16"/>
      <c r="AE16" s="16"/>
      <c r="AF16" s="16"/>
      <c r="AG16" s="16"/>
      <c r="AH16" s="16"/>
      <c r="AI16" s="16"/>
      <c r="AK16" s="17">
        <v>1.0</v>
      </c>
      <c r="AN16" s="17">
        <v>1.0</v>
      </c>
      <c r="AP16" s="17" t="s">
        <v>39</v>
      </c>
    </row>
    <row r="17">
      <c r="A17" s="24" t="s">
        <v>53</v>
      </c>
      <c r="B17" s="10">
        <f t="shared" si="3"/>
        <v>3</v>
      </c>
      <c r="C17" s="10">
        <f t="shared" si="2"/>
        <v>2</v>
      </c>
      <c r="D17" s="11">
        <f t="array" ref="D17">SUM(IF(F17:AW17="R",1,0))</f>
        <v>1</v>
      </c>
      <c r="E17" s="11">
        <f t="array" ref="E17">SUM(IF(F17:AW17="R2",1,0))</f>
        <v>2</v>
      </c>
      <c r="I17" s="12"/>
      <c r="J17" s="12"/>
      <c r="K17" s="21"/>
      <c r="L17" s="21"/>
      <c r="M17" s="16"/>
      <c r="N17" s="16"/>
      <c r="O17" s="16"/>
      <c r="P17" s="16"/>
      <c r="Q17" s="12"/>
      <c r="R17" s="12"/>
      <c r="S17" s="12"/>
      <c r="T17" s="12"/>
      <c r="U17" s="12">
        <v>1.0</v>
      </c>
      <c r="V17" s="12"/>
      <c r="W17" s="12" t="s">
        <v>40</v>
      </c>
      <c r="X17" s="12"/>
      <c r="Y17" s="12"/>
      <c r="Z17" s="12"/>
      <c r="AA17" s="12"/>
      <c r="AB17" s="12"/>
      <c r="AC17" s="12"/>
      <c r="AD17" s="12"/>
      <c r="AE17" s="12"/>
      <c r="AF17" s="12"/>
      <c r="AG17" s="12">
        <v>1.0</v>
      </c>
      <c r="AH17" s="12"/>
      <c r="AI17" s="12" t="s">
        <v>39</v>
      </c>
      <c r="AJ17" s="12"/>
      <c r="AK17" s="12"/>
      <c r="AL17" s="12"/>
      <c r="AM17" s="12"/>
      <c r="AN17" s="12"/>
      <c r="AO17" s="12"/>
      <c r="AP17" s="12" t="s">
        <v>40</v>
      </c>
      <c r="AQ17" s="12"/>
      <c r="AR17" s="12"/>
      <c r="AS17" s="12"/>
      <c r="AT17" s="12"/>
      <c r="AU17" s="12"/>
      <c r="AV17" s="12"/>
      <c r="AW17" s="12"/>
    </row>
    <row r="18" hidden="1">
      <c r="A18" s="24"/>
      <c r="B18" s="10"/>
      <c r="C18" s="10">
        <f t="shared" si="2"/>
        <v>0</v>
      </c>
      <c r="D18" s="11">
        <f t="array" ref="D18">SUM(IF(F18:AW18="R",1,0))</f>
        <v>0</v>
      </c>
      <c r="E18" s="11">
        <f t="array" ref="E18">SUM(IF(F18:AW18="R2",1,0))</f>
        <v>0</v>
      </c>
    </row>
    <row r="19" hidden="1">
      <c r="A19" s="25" t="s">
        <v>54</v>
      </c>
      <c r="B19" s="10">
        <f t="shared" ref="B19:B28" si="4">SUM(C19:D19)</f>
        <v>0</v>
      </c>
      <c r="C19" s="10">
        <f t="shared" si="2"/>
        <v>0</v>
      </c>
      <c r="D19" s="11">
        <f t="array" ref="D19">SUM(IF(F19:AW19="R",1,0))</f>
        <v>0</v>
      </c>
      <c r="E19" s="11">
        <f t="array" ref="E19">SUM(IF(F19:AW19="R2",1,0))</f>
        <v>0</v>
      </c>
    </row>
    <row r="20">
      <c r="A20" s="26" t="s">
        <v>55</v>
      </c>
      <c r="B20" s="10">
        <f t="shared" si="4"/>
        <v>5</v>
      </c>
      <c r="C20" s="10">
        <f t="shared" si="2"/>
        <v>3</v>
      </c>
      <c r="D20" s="11">
        <f t="array" ref="D20">SUM(IF(F20:AW20="R",1,0))</f>
        <v>2</v>
      </c>
      <c r="E20" s="11">
        <f t="array" ref="E20">SUM(IF(F20:AW20="R2",1,0))</f>
        <v>1</v>
      </c>
      <c r="F20" s="17" t="s">
        <v>40</v>
      </c>
      <c r="I20" s="13"/>
      <c r="J20" s="12"/>
      <c r="K20" s="12"/>
      <c r="L20" s="12"/>
      <c r="M20" s="16"/>
      <c r="N20" s="16"/>
      <c r="O20" s="21">
        <v>1.0</v>
      </c>
      <c r="P20" s="16"/>
      <c r="Q20" s="12" t="s">
        <v>39</v>
      </c>
      <c r="R20" s="13"/>
      <c r="S20" s="12"/>
      <c r="T20" s="13"/>
      <c r="U20" s="12"/>
      <c r="V20" s="13"/>
      <c r="W20" s="12"/>
      <c r="X20" s="12"/>
      <c r="Y20" s="13"/>
      <c r="Z20" s="12">
        <v>1.0</v>
      </c>
      <c r="AA20" s="13"/>
      <c r="AB20" s="13"/>
      <c r="AC20" s="13"/>
      <c r="AD20" s="13"/>
      <c r="AE20" s="12"/>
      <c r="AF20" s="13"/>
      <c r="AG20" s="16"/>
      <c r="AH20" s="12">
        <v>1.0</v>
      </c>
      <c r="AI20" s="13"/>
      <c r="AJ20" s="12" t="s">
        <v>39</v>
      </c>
      <c r="AK20" s="13"/>
      <c r="AL20" s="12"/>
      <c r="AM20" s="13"/>
      <c r="AN20" s="13"/>
      <c r="AO20" s="12"/>
      <c r="AP20" s="13"/>
      <c r="AQ20" s="13"/>
      <c r="AR20" s="13"/>
      <c r="AS20" s="13"/>
      <c r="AT20" s="13"/>
      <c r="AU20" s="13"/>
      <c r="AV20" s="13"/>
      <c r="AW20" s="13"/>
    </row>
    <row r="21" hidden="1">
      <c r="A21" s="9"/>
      <c r="B21" s="10">
        <f t="shared" si="4"/>
        <v>0</v>
      </c>
      <c r="C21" s="10">
        <f t="shared" si="2"/>
        <v>0</v>
      </c>
      <c r="D21" s="11">
        <f t="array" ref="D21">SUM(IF(F21:AW21="R",1,0))</f>
        <v>0</v>
      </c>
      <c r="E21" s="11">
        <f t="array" ref="E21">SUM(IF(F21:AW21="R2",1,0))</f>
        <v>0</v>
      </c>
    </row>
    <row r="22" hidden="1">
      <c r="A22" s="9" t="s">
        <v>56</v>
      </c>
      <c r="B22" s="10">
        <f t="shared" si="4"/>
        <v>0</v>
      </c>
      <c r="C22" s="10">
        <f t="shared" si="2"/>
        <v>0</v>
      </c>
      <c r="D22" s="11">
        <f t="array" ref="D22">SUM(IF(F22:AW22="R",1,0))</f>
        <v>0</v>
      </c>
      <c r="E22" s="11">
        <f t="array" ref="E22">SUM(IF(F22:AW22="R2",1,0))</f>
        <v>0</v>
      </c>
      <c r="F22" s="12"/>
      <c r="G22" s="13"/>
      <c r="H22" s="12"/>
      <c r="I22" s="13"/>
      <c r="J22" s="12"/>
      <c r="K22" s="13"/>
      <c r="L22" s="13"/>
      <c r="M22" s="12"/>
      <c r="N22" s="13"/>
      <c r="O22" s="12"/>
      <c r="P22" s="13"/>
      <c r="Q22" s="13"/>
      <c r="R22" s="13"/>
      <c r="S22" s="13"/>
      <c r="T22" s="13"/>
      <c r="U22" s="12"/>
      <c r="V22" s="12"/>
      <c r="W22" s="13"/>
      <c r="X22" s="13"/>
      <c r="Y22" s="13"/>
      <c r="Z22" s="13"/>
      <c r="AA22" s="13"/>
      <c r="AB22" s="13"/>
      <c r="AC22" s="13"/>
      <c r="AD22" s="13"/>
      <c r="AE22" s="13"/>
      <c r="AF22" s="13"/>
      <c r="AG22" s="13"/>
      <c r="AH22" s="12"/>
      <c r="AI22" s="13"/>
      <c r="AJ22" s="13"/>
      <c r="AK22" s="13"/>
      <c r="AL22" s="13"/>
      <c r="AM22" s="13"/>
      <c r="AN22" s="13"/>
      <c r="AO22" s="13"/>
      <c r="AP22" s="13"/>
      <c r="AQ22" s="13"/>
      <c r="AR22" s="13"/>
      <c r="AS22" s="12"/>
      <c r="AT22" s="13"/>
      <c r="AU22" s="13"/>
      <c r="AV22" s="13"/>
      <c r="AW22" s="13"/>
    </row>
    <row r="23">
      <c r="A23" s="26" t="s">
        <v>57</v>
      </c>
      <c r="B23" s="10">
        <f t="shared" si="4"/>
        <v>3</v>
      </c>
      <c r="C23" s="10">
        <f t="shared" si="2"/>
        <v>2</v>
      </c>
      <c r="D23" s="11">
        <f t="array" ref="D23">SUM(IF(F23:AW23="R",1,0))</f>
        <v>1</v>
      </c>
      <c r="E23" s="11">
        <f t="array" ref="E23">SUM(IF(F23:AW23="R2",1,0))</f>
        <v>1</v>
      </c>
      <c r="F23" s="16"/>
      <c r="G23" s="16"/>
      <c r="H23" s="16"/>
      <c r="I23" s="16"/>
      <c r="J23" s="12"/>
      <c r="K23" s="12"/>
      <c r="L23" s="12"/>
      <c r="M23" s="16"/>
      <c r="N23" s="16"/>
      <c r="O23" s="16"/>
      <c r="P23" s="16"/>
      <c r="Q23" s="16"/>
      <c r="R23" s="16"/>
      <c r="S23" s="12"/>
      <c r="T23" s="13"/>
      <c r="U23" s="12"/>
      <c r="V23" s="12"/>
      <c r="W23" s="12"/>
      <c r="X23" s="12"/>
      <c r="Y23" s="13"/>
      <c r="Z23" s="12" t="s">
        <v>40</v>
      </c>
      <c r="AA23" s="13"/>
      <c r="AB23" s="13"/>
      <c r="AC23" s="13"/>
      <c r="AD23" s="13"/>
      <c r="AE23" s="12"/>
      <c r="AF23" s="13"/>
      <c r="AG23" s="12"/>
      <c r="AH23" s="12" t="s">
        <v>39</v>
      </c>
      <c r="AI23" s="13"/>
      <c r="AJ23" s="12">
        <v>1.0</v>
      </c>
      <c r="AK23" s="13"/>
      <c r="AL23" s="13"/>
      <c r="AM23" s="13"/>
      <c r="AN23" s="13"/>
      <c r="AO23" s="12"/>
      <c r="AP23" s="13"/>
      <c r="AQ23" s="12">
        <v>1.0</v>
      </c>
      <c r="AR23" s="12"/>
      <c r="AS23" s="13"/>
      <c r="AT23" s="12"/>
      <c r="AU23" s="13"/>
      <c r="AV23" s="13"/>
      <c r="AW23" s="13"/>
    </row>
    <row r="24">
      <c r="A24" s="27" t="s">
        <v>58</v>
      </c>
      <c r="B24" s="10">
        <f t="shared" si="4"/>
        <v>3</v>
      </c>
      <c r="C24" s="10">
        <f t="shared" si="2"/>
        <v>1</v>
      </c>
      <c r="D24" s="11">
        <f t="array" ref="D24">SUM(IF(F24:AW24="R",1,0))</f>
        <v>2</v>
      </c>
      <c r="E24" s="11">
        <f t="array" ref="E24">SUM(IF(F24:AW24="R2",1,0))</f>
        <v>3</v>
      </c>
      <c r="G24" s="17" t="s">
        <v>39</v>
      </c>
      <c r="J24" s="17" t="s">
        <v>40</v>
      </c>
      <c r="M24" s="16"/>
      <c r="N24" s="16"/>
      <c r="O24" s="16"/>
      <c r="P24" s="16"/>
      <c r="V24" s="17" t="s">
        <v>39</v>
      </c>
      <c r="Y24" s="17" t="s">
        <v>40</v>
      </c>
      <c r="AB24" s="16"/>
      <c r="AC24" s="16"/>
      <c r="AD24" s="17">
        <v>1.0</v>
      </c>
      <c r="AR24" s="17" t="s">
        <v>40</v>
      </c>
    </row>
    <row r="25">
      <c r="A25" s="27" t="s">
        <v>59</v>
      </c>
      <c r="B25" s="10">
        <f t="shared" si="4"/>
        <v>6</v>
      </c>
      <c r="C25" s="10">
        <f t="shared" si="2"/>
        <v>5</v>
      </c>
      <c r="D25" s="11">
        <f t="array" ref="D25">SUM(IF(F25:AW25="R",1,0))</f>
        <v>1</v>
      </c>
      <c r="E25" s="11">
        <f t="array" ref="E25">SUM(IF(F25:AW25="R2",1,0))</f>
        <v>3</v>
      </c>
      <c r="F25" s="12"/>
      <c r="G25" s="12">
        <v>1.0</v>
      </c>
      <c r="H25" s="12" t="s">
        <v>39</v>
      </c>
      <c r="I25" s="12" t="s">
        <v>40</v>
      </c>
      <c r="J25" s="21"/>
      <c r="K25" s="13"/>
      <c r="L25" s="12"/>
      <c r="M25" s="16"/>
      <c r="N25" s="16"/>
      <c r="O25" s="21"/>
      <c r="P25" s="21"/>
      <c r="Q25" s="12">
        <v>1.0</v>
      </c>
      <c r="R25" s="12">
        <v>1.0</v>
      </c>
      <c r="S25" s="12"/>
      <c r="T25" s="12"/>
      <c r="U25" s="13"/>
      <c r="V25" s="13"/>
      <c r="Y25" s="17"/>
      <c r="Z25" s="12"/>
      <c r="AA25" s="13"/>
      <c r="AB25" s="17">
        <v>1.0</v>
      </c>
      <c r="AK25" s="13"/>
      <c r="AL25" s="12" t="s">
        <v>40</v>
      </c>
      <c r="AM25" s="12" t="s">
        <v>40</v>
      </c>
      <c r="AN25" s="12"/>
      <c r="AO25" s="12">
        <v>1.0</v>
      </c>
      <c r="AP25" s="13"/>
      <c r="AQ25" s="13"/>
      <c r="AR25" s="12"/>
      <c r="AS25" s="12"/>
      <c r="AT25" s="13"/>
      <c r="AV25" s="13"/>
      <c r="AW25" s="13"/>
    </row>
    <row r="26">
      <c r="A26" s="27" t="s">
        <v>60</v>
      </c>
      <c r="B26" s="10">
        <f t="shared" si="4"/>
        <v>6</v>
      </c>
      <c r="C26" s="10">
        <f t="shared" si="2"/>
        <v>5</v>
      </c>
      <c r="D26" s="11">
        <f t="array" ref="D26">SUM(IF(F26:AW26="R",1,0))</f>
        <v>1</v>
      </c>
      <c r="E26" s="11">
        <f t="array" ref="E26">SUM(IF(F26:AW26="R2",1,0))</f>
        <v>2</v>
      </c>
      <c r="F26" s="12"/>
      <c r="H26" s="17">
        <v>1.0</v>
      </c>
      <c r="I26" s="17">
        <v>1.0</v>
      </c>
      <c r="M26" s="16"/>
      <c r="N26" s="16"/>
      <c r="O26" s="16"/>
      <c r="P26" s="16"/>
      <c r="Q26" s="12"/>
      <c r="R26" s="13"/>
      <c r="S26" s="12"/>
      <c r="T26" s="12"/>
      <c r="U26" s="12"/>
      <c r="V26" s="13"/>
      <c r="X26" s="17">
        <v>1.0</v>
      </c>
      <c r="Y26" s="17">
        <v>1.0</v>
      </c>
      <c r="Z26" s="12"/>
      <c r="AA26" s="13"/>
      <c r="AB26" s="16"/>
      <c r="AC26" s="16"/>
      <c r="AE26" s="13"/>
      <c r="AF26" s="12"/>
      <c r="AG26" s="12"/>
      <c r="AH26" s="13"/>
      <c r="AI26" s="12"/>
      <c r="AJ26" s="12"/>
      <c r="AK26" s="13"/>
      <c r="AL26" s="12" t="s">
        <v>39</v>
      </c>
      <c r="AM26" s="12">
        <v>1.0</v>
      </c>
      <c r="AN26" s="12"/>
      <c r="AO26" s="12" t="s">
        <v>40</v>
      </c>
      <c r="AP26" s="13"/>
      <c r="AQ26" s="12"/>
      <c r="AR26" s="12"/>
      <c r="AT26" s="12" t="s">
        <v>40</v>
      </c>
      <c r="AU26" s="13"/>
      <c r="AV26" s="13"/>
      <c r="AW26" s="13"/>
    </row>
    <row r="27">
      <c r="A27" s="27" t="s">
        <v>61</v>
      </c>
      <c r="B27" s="10">
        <f t="shared" si="4"/>
        <v>6</v>
      </c>
      <c r="C27" s="10">
        <f t="shared" si="2"/>
        <v>1</v>
      </c>
      <c r="D27" s="11">
        <f t="array" ref="D27">SUM(IF(F27:AW27="R",1,0))</f>
        <v>5</v>
      </c>
      <c r="E27" s="11">
        <f t="array" ref="E27">SUM(IF(F27:AW27="R2",1,0))</f>
        <v>2</v>
      </c>
      <c r="G27" s="17" t="s">
        <v>40</v>
      </c>
      <c r="H27" s="12" t="s">
        <v>62</v>
      </c>
      <c r="I27" s="12" t="s">
        <v>39</v>
      </c>
      <c r="J27" s="12"/>
      <c r="K27" s="16"/>
      <c r="L27" s="21"/>
      <c r="M27" s="16"/>
      <c r="N27" s="16"/>
      <c r="O27" s="21"/>
      <c r="P27" s="16"/>
      <c r="Q27" s="12"/>
      <c r="R27" s="13"/>
      <c r="S27" s="13"/>
      <c r="T27" s="13"/>
      <c r="U27" s="12"/>
      <c r="V27" s="12"/>
      <c r="Y27" s="17"/>
      <c r="Z27" s="12"/>
      <c r="AA27" s="13"/>
      <c r="AB27" s="17" t="s">
        <v>63</v>
      </c>
      <c r="AI27" s="13"/>
      <c r="AJ27" s="13"/>
      <c r="AK27" s="12"/>
      <c r="AL27" s="12">
        <v>1.0</v>
      </c>
      <c r="AM27" s="12" t="s">
        <v>39</v>
      </c>
      <c r="AN27" s="12"/>
      <c r="AO27" s="12" t="s">
        <v>39</v>
      </c>
      <c r="AP27" s="13"/>
      <c r="AQ27" s="12"/>
      <c r="AR27" s="12"/>
      <c r="AT27" s="12" t="s">
        <v>39</v>
      </c>
      <c r="AU27" s="13"/>
      <c r="AV27" s="13"/>
      <c r="AW27" s="13"/>
    </row>
    <row r="28">
      <c r="A28" s="27" t="s">
        <v>64</v>
      </c>
      <c r="B28" s="10">
        <f t="shared" si="4"/>
        <v>4</v>
      </c>
      <c r="C28" s="10">
        <f t="shared" si="2"/>
        <v>2</v>
      </c>
      <c r="D28" s="11">
        <f t="array" ref="D28">SUM(IF(F28:AW28="R",1,0))</f>
        <v>2</v>
      </c>
      <c r="E28" s="11">
        <f t="array" ref="E28">SUM(IF(F28:AW28="R2",1,0))</f>
        <v>4</v>
      </c>
      <c r="J28" s="17">
        <v>1.0</v>
      </c>
      <c r="M28" s="21" t="s">
        <v>40</v>
      </c>
      <c r="N28" s="16"/>
      <c r="O28" s="16"/>
      <c r="P28" s="16"/>
      <c r="S28" s="16"/>
      <c r="T28" s="16"/>
      <c r="U28" s="16"/>
      <c r="V28" s="16"/>
      <c r="W28" s="16"/>
      <c r="X28" s="17" t="s">
        <v>40</v>
      </c>
      <c r="Y28" s="17" t="s">
        <v>39</v>
      </c>
      <c r="AB28" s="17" t="s">
        <v>40</v>
      </c>
      <c r="AD28" s="17" t="s">
        <v>39</v>
      </c>
      <c r="AQ28" s="17" t="s">
        <v>40</v>
      </c>
      <c r="AR28" s="17">
        <v>1.0</v>
      </c>
    </row>
    <row r="29">
      <c r="A29" s="27" t="s">
        <v>65</v>
      </c>
      <c r="B29" s="10"/>
      <c r="C29" s="10">
        <f t="shared" si="2"/>
        <v>1</v>
      </c>
      <c r="D29" s="11">
        <f t="array" ref="D29">SUM(IF(F29:AW29="R",1,0))</f>
        <v>4</v>
      </c>
      <c r="E29" s="11">
        <f t="array" ref="E29">SUM(IF(F29:AW29="R2",1,0))</f>
        <v>3</v>
      </c>
      <c r="J29" s="17" t="s">
        <v>39</v>
      </c>
      <c r="M29" s="17">
        <v>1.0</v>
      </c>
      <c r="N29" s="17" t="s">
        <v>40</v>
      </c>
      <c r="P29" s="17" t="s">
        <v>39</v>
      </c>
      <c r="AD29" s="17" t="s">
        <v>40</v>
      </c>
      <c r="AJ29" s="17" t="s">
        <v>40</v>
      </c>
      <c r="AQ29" s="17" t="s">
        <v>39</v>
      </c>
      <c r="AR29" s="17" t="s">
        <v>39</v>
      </c>
    </row>
    <row r="30">
      <c r="A30" s="17" t="s">
        <v>66</v>
      </c>
      <c r="B30" s="10">
        <f t="shared" ref="B30:B31" si="5">SUM(C30:D30)</f>
        <v>3</v>
      </c>
      <c r="C30" s="10">
        <f t="shared" si="2"/>
        <v>1</v>
      </c>
      <c r="D30" s="11">
        <f t="array" ref="D30">SUM(IF(F30:AW30="R",1,0))</f>
        <v>2</v>
      </c>
      <c r="E30" s="11">
        <f t="array" ref="E30">SUM(IF(F30:AW30="R2",1,0))</f>
        <v>1</v>
      </c>
      <c r="F30" s="12"/>
      <c r="G30" s="12"/>
      <c r="H30" s="13"/>
      <c r="I30" s="13"/>
      <c r="J30" s="16"/>
      <c r="K30" s="21"/>
      <c r="L30" s="16"/>
      <c r="M30" s="16"/>
      <c r="N30" s="21" t="s">
        <v>39</v>
      </c>
      <c r="O30" s="16"/>
      <c r="P30" s="21"/>
      <c r="Q30" s="13"/>
      <c r="S30" s="12"/>
      <c r="T30" s="12"/>
      <c r="U30" s="13"/>
      <c r="V30" s="12" t="s">
        <v>40</v>
      </c>
      <c r="W30" s="12"/>
      <c r="X30" s="12"/>
      <c r="Y30" s="13"/>
      <c r="Z30" s="13"/>
      <c r="AA30" s="12"/>
      <c r="AB30" s="13"/>
      <c r="AC30" s="13"/>
      <c r="AE30" s="12">
        <v>1.0</v>
      </c>
      <c r="AF30" s="12" t="s">
        <v>39</v>
      </c>
      <c r="AG30" s="16"/>
      <c r="AI30" s="12"/>
      <c r="AJ30" s="12"/>
      <c r="AK30" s="13"/>
      <c r="AL30" s="13"/>
      <c r="AO30" s="13"/>
      <c r="AP30" s="13"/>
      <c r="AQ30" s="13"/>
      <c r="AR30" s="13"/>
      <c r="AS30" s="13"/>
      <c r="AT30" s="13"/>
      <c r="AU30" s="13"/>
      <c r="AV30" s="13"/>
      <c r="AW30" s="13"/>
    </row>
    <row r="31">
      <c r="A31" s="17" t="s">
        <v>67</v>
      </c>
      <c r="B31" s="10">
        <f t="shared" si="5"/>
        <v>3</v>
      </c>
      <c r="C31" s="10">
        <f t="shared" si="2"/>
        <v>2</v>
      </c>
      <c r="D31" s="11">
        <f t="array" ref="D31">SUM(IF(F31:AW31="R",1,0))</f>
        <v>1</v>
      </c>
      <c r="E31" s="11">
        <f t="array" ref="E31">SUM(IF(F31:AW31="R2",1,0))</f>
        <v>1</v>
      </c>
      <c r="J31" s="16"/>
      <c r="K31" s="16"/>
      <c r="L31" s="16"/>
      <c r="M31" s="16"/>
      <c r="N31" s="21"/>
      <c r="O31" s="16"/>
      <c r="P31" s="21" t="s">
        <v>40</v>
      </c>
      <c r="V31" s="17">
        <v>1.0</v>
      </c>
      <c r="AE31" s="17" t="s">
        <v>39</v>
      </c>
      <c r="AF31" s="17">
        <v>1.0</v>
      </c>
    </row>
    <row r="32">
      <c r="A32" s="17" t="s">
        <v>68</v>
      </c>
      <c r="B32" s="10">
        <f>SUM(B4:B21)</f>
        <v>39</v>
      </c>
      <c r="C32" s="10">
        <f t="shared" si="2"/>
        <v>41</v>
      </c>
      <c r="D32" s="11"/>
      <c r="E32" s="11"/>
      <c r="F32" s="28">
        <f t="shared" ref="F32:AT32" si="6">SUM(F3:F31)</f>
        <v>1</v>
      </c>
      <c r="G32" s="28">
        <f t="shared" si="6"/>
        <v>1</v>
      </c>
      <c r="H32" s="28">
        <f t="shared" si="6"/>
        <v>1</v>
      </c>
      <c r="I32" s="28">
        <f t="shared" si="6"/>
        <v>1</v>
      </c>
      <c r="J32" s="28">
        <f t="shared" si="6"/>
        <v>1</v>
      </c>
      <c r="K32" s="28">
        <f t="shared" si="6"/>
        <v>1</v>
      </c>
      <c r="L32" s="28">
        <f t="shared" si="6"/>
        <v>1</v>
      </c>
      <c r="M32" s="28">
        <f t="shared" si="6"/>
        <v>1</v>
      </c>
      <c r="N32" s="28">
        <f t="shared" si="6"/>
        <v>1</v>
      </c>
      <c r="O32" s="28">
        <f t="shared" si="6"/>
        <v>1</v>
      </c>
      <c r="P32" s="28">
        <f t="shared" si="6"/>
        <v>1</v>
      </c>
      <c r="Q32" s="28">
        <f t="shared" si="6"/>
        <v>1</v>
      </c>
      <c r="R32" s="28">
        <f t="shared" si="6"/>
        <v>1</v>
      </c>
      <c r="S32" s="28">
        <f t="shared" si="6"/>
        <v>1</v>
      </c>
      <c r="T32" s="28">
        <f t="shared" si="6"/>
        <v>1</v>
      </c>
      <c r="U32" s="28">
        <f t="shared" si="6"/>
        <v>1</v>
      </c>
      <c r="V32" s="28">
        <f t="shared" si="6"/>
        <v>1</v>
      </c>
      <c r="W32" s="28">
        <f t="shared" si="6"/>
        <v>1</v>
      </c>
      <c r="X32" s="28">
        <f t="shared" si="6"/>
        <v>1</v>
      </c>
      <c r="Y32" s="28">
        <f t="shared" si="6"/>
        <v>1</v>
      </c>
      <c r="Z32" s="28">
        <f t="shared" si="6"/>
        <v>1</v>
      </c>
      <c r="AA32" s="28">
        <f t="shared" si="6"/>
        <v>1</v>
      </c>
      <c r="AB32" s="28">
        <f t="shared" si="6"/>
        <v>1</v>
      </c>
      <c r="AC32" s="28">
        <f t="shared" si="6"/>
        <v>1</v>
      </c>
      <c r="AD32" s="28">
        <f t="shared" si="6"/>
        <v>1</v>
      </c>
      <c r="AE32" s="28">
        <f t="shared" si="6"/>
        <v>1</v>
      </c>
      <c r="AF32" s="28">
        <f t="shared" si="6"/>
        <v>1</v>
      </c>
      <c r="AG32" s="28">
        <f t="shared" si="6"/>
        <v>1</v>
      </c>
      <c r="AH32" s="28">
        <f t="shared" si="6"/>
        <v>1</v>
      </c>
      <c r="AI32" s="28">
        <f t="shared" si="6"/>
        <v>1</v>
      </c>
      <c r="AJ32" s="28">
        <f t="shared" si="6"/>
        <v>1</v>
      </c>
      <c r="AK32" s="28">
        <f t="shared" si="6"/>
        <v>1</v>
      </c>
      <c r="AL32" s="28">
        <f t="shared" si="6"/>
        <v>1</v>
      </c>
      <c r="AM32" s="28">
        <f t="shared" si="6"/>
        <v>1</v>
      </c>
      <c r="AN32" s="28">
        <f t="shared" si="6"/>
        <v>1</v>
      </c>
      <c r="AO32" s="28">
        <f t="shared" si="6"/>
        <v>1</v>
      </c>
      <c r="AP32" s="28">
        <f t="shared" si="6"/>
        <v>1</v>
      </c>
      <c r="AQ32" s="28">
        <f t="shared" si="6"/>
        <v>1</v>
      </c>
      <c r="AR32" s="28">
        <f t="shared" si="6"/>
        <v>1</v>
      </c>
      <c r="AS32" s="28">
        <f t="shared" si="6"/>
        <v>1</v>
      </c>
      <c r="AT32" s="28">
        <f t="shared" si="6"/>
        <v>1</v>
      </c>
    </row>
    <row r="33">
      <c r="A33" s="17" t="s">
        <v>69</v>
      </c>
      <c r="B33" s="28">
        <f t="shared" ref="B33:B34" si="7">SUM(F33:AW33)</f>
        <v>41</v>
      </c>
      <c r="C33" s="10">
        <f t="shared" si="2"/>
        <v>41</v>
      </c>
      <c r="F33" s="11">
        <f t="array" ref="F33">SUM(IF(F3:F31="R",1,0))</f>
        <v>1</v>
      </c>
      <c r="G33" s="11">
        <f t="array" ref="G33">SUM(IF(G3:G31="R",1,0))</f>
        <v>1</v>
      </c>
      <c r="H33" s="11">
        <f t="array" ref="H33">SUM(IF(H3:H31="R",1,0))</f>
        <v>1</v>
      </c>
      <c r="I33" s="11">
        <f t="array" ref="I33">SUM(IF(I3:I31="R",1,0))</f>
        <v>1</v>
      </c>
      <c r="J33" s="11">
        <f t="array" ref="J33">SUM(IF(J3:J31="R",1,0))</f>
        <v>1</v>
      </c>
      <c r="K33" s="11">
        <f t="array" ref="K33">SUM(IF(K3:K31="R",1,0))</f>
        <v>1</v>
      </c>
      <c r="L33" s="11">
        <f t="array" ref="L33">SUM(IF(L3:L31="R",1,0))</f>
        <v>1</v>
      </c>
      <c r="M33" s="11">
        <f t="array" ref="M33">SUM(IF(M3:M31="R",1,0))</f>
        <v>1</v>
      </c>
      <c r="N33" s="11">
        <f t="array" ref="N33">SUM(IF(N3:N31="R",1,0))</f>
        <v>1</v>
      </c>
      <c r="O33" s="11">
        <f t="array" ref="O33">SUM(IF(O3:O31="R",1,0))</f>
        <v>1</v>
      </c>
      <c r="P33" s="11">
        <f t="array" ref="P33">SUM(IF(P3:P31="R",1,0))</f>
        <v>1</v>
      </c>
      <c r="Q33" s="11">
        <f t="array" ref="Q33">SUM(IF(Q3:Q31="R",1,0))</f>
        <v>1</v>
      </c>
      <c r="R33" s="11">
        <f t="array" ref="R33">SUM(IF(R3:R31="R",1,0))</f>
        <v>1</v>
      </c>
      <c r="S33" s="11">
        <f t="array" ref="S33">SUM(IF(S3:S31="R",1,0))</f>
        <v>1</v>
      </c>
      <c r="T33" s="11">
        <f t="array" ref="T33">SUM(IF(T3:T31="R",1,0))</f>
        <v>1</v>
      </c>
      <c r="U33" s="11">
        <f t="array" ref="U33">SUM(IF(U3:U31="R",1,0))</f>
        <v>1</v>
      </c>
      <c r="V33" s="11">
        <f t="array" ref="V33">SUM(IF(V3:V31="R",1,0))</f>
        <v>1</v>
      </c>
      <c r="W33" s="11">
        <f t="array" ref="W33">SUM(IF(W3:W31="R",1,0))</f>
        <v>1</v>
      </c>
      <c r="X33" s="11">
        <f t="array" ref="X33">SUM(IF(X3:X31="R",1,0))</f>
        <v>1</v>
      </c>
      <c r="Y33" s="11">
        <f t="array" ref="Y33">SUM(IF(Y3:Y31="R",1,0))</f>
        <v>1</v>
      </c>
      <c r="Z33" s="11">
        <f t="array" ref="Z33">SUM(IF(Z3:Z31="R",1,0))</f>
        <v>1</v>
      </c>
      <c r="AA33" s="11">
        <f t="array" ref="AA33">SUM(IF(AA3:AA31="R",1,0))</f>
        <v>1</v>
      </c>
      <c r="AB33" s="11">
        <f t="array" ref="AB33">SUM(IF(AB3:AB31="R",1,0))</f>
        <v>1</v>
      </c>
      <c r="AC33" s="11">
        <f t="array" ref="AC33">SUM(IF(AC3:AC31="R",1,0))</f>
        <v>1</v>
      </c>
      <c r="AD33" s="11">
        <f t="array" ref="AD33">SUM(IF(AD3:AD31="R",1,0))</f>
        <v>1</v>
      </c>
      <c r="AE33" s="11">
        <f t="array" ref="AE33">SUM(IF(AE3:AE31="R",1,0))</f>
        <v>1</v>
      </c>
      <c r="AF33" s="11">
        <f t="array" ref="AF33">SUM(IF(AF3:AF31="R",1,0))</f>
        <v>1</v>
      </c>
      <c r="AG33" s="11">
        <f t="array" ref="AG33">SUM(IF(AG3:AG31="R",1,0))</f>
        <v>1</v>
      </c>
      <c r="AH33" s="11">
        <f t="array" ref="AH33">SUM(IF(AH3:AH31="R",1,0))</f>
        <v>1</v>
      </c>
      <c r="AI33" s="11">
        <f t="array" ref="AI33">SUM(IF(AI3:AI31="R",1,0))</f>
        <v>1</v>
      </c>
      <c r="AJ33" s="11">
        <f t="array" ref="AJ33">SUM(IF(AJ3:AJ31="R",1,0))</f>
        <v>1</v>
      </c>
      <c r="AK33" s="11">
        <f t="array" ref="AK33">SUM(IF(AK3:AK31="R",1,0))</f>
        <v>1</v>
      </c>
      <c r="AL33" s="11">
        <f t="array" ref="AL33">SUM(IF(AL3:AL31="R",1,0))</f>
        <v>1</v>
      </c>
      <c r="AM33" s="11">
        <f t="array" ref="AM33">SUM(IF(AM3:AM31="R",1,0))</f>
        <v>1</v>
      </c>
      <c r="AN33" s="11">
        <f t="array" ref="AN33">SUM(IF(AN3:AN31="R",1,0))</f>
        <v>1</v>
      </c>
      <c r="AO33" s="11">
        <f t="array" ref="AO33">SUM(IF(AO3:AO31="R",1,0))</f>
        <v>1</v>
      </c>
      <c r="AP33" s="11">
        <f t="array" ref="AP33">SUM(IF(AP3:AP31="R",1,0))</f>
        <v>1</v>
      </c>
      <c r="AQ33" s="11">
        <f t="array" ref="AQ33">SUM(IF(AQ3:AQ31="R",1,0))</f>
        <v>1</v>
      </c>
      <c r="AR33" s="11">
        <f t="array" ref="AR33">SUM(IF(AR3:AR31="R",1,0))</f>
        <v>1</v>
      </c>
      <c r="AS33" s="11">
        <f t="array" ref="AS33">SUM(IF(AS3:AS31="R",1,0))</f>
        <v>1</v>
      </c>
      <c r="AT33" s="11">
        <f t="array" ref="AT33">SUM(IF(AT3:AT31="R",1,0))</f>
        <v>1</v>
      </c>
      <c r="AU33" s="11"/>
      <c r="AV33" s="11"/>
      <c r="AW33" s="11"/>
    </row>
    <row r="34">
      <c r="A34" s="17" t="s">
        <v>70</v>
      </c>
      <c r="B34" s="28">
        <f t="shared" si="7"/>
        <v>41</v>
      </c>
      <c r="C34" s="10">
        <f t="shared" si="2"/>
        <v>41</v>
      </c>
      <c r="F34" s="11">
        <f t="array" ref="F34">SUM(IF(F3:F31="R2",1,0))</f>
        <v>1</v>
      </c>
      <c r="G34" s="11">
        <f t="array" ref="G34">SUM(IF(G3:G31="R2",1,0))</f>
        <v>1</v>
      </c>
      <c r="H34" s="11">
        <f t="array" ref="H34">SUM(IF(H3:H31="R2",1,0))</f>
        <v>1</v>
      </c>
      <c r="I34" s="11">
        <f t="array" ref="I34">SUM(IF(I3:I31="R2",1,0))</f>
        <v>1</v>
      </c>
      <c r="J34" s="11">
        <f t="array" ref="J34">SUM(IF(J3:J31="R2",1,0))</f>
        <v>1</v>
      </c>
      <c r="K34" s="11">
        <f t="array" ref="K34">SUM(IF(K3:K31="R2",1,0))</f>
        <v>1</v>
      </c>
      <c r="L34" s="11">
        <f t="array" ref="L34">SUM(IF(L3:L31="R2",1,0))</f>
        <v>1</v>
      </c>
      <c r="M34" s="11">
        <f t="array" ref="M34">SUM(IF(M3:M31="R2",1,0))</f>
        <v>1</v>
      </c>
      <c r="N34" s="11">
        <f t="array" ref="N34">SUM(IF(N3:N31="R2",1,0))</f>
        <v>1</v>
      </c>
      <c r="O34" s="11">
        <f t="array" ref="O34">SUM(IF(O3:O31="R2",1,0))</f>
        <v>1</v>
      </c>
      <c r="P34" s="11">
        <f t="array" ref="P34">SUM(IF(P3:P31="R2",1,0))</f>
        <v>1</v>
      </c>
      <c r="Q34" s="11">
        <f t="array" ref="Q34">SUM(IF(Q3:Q31="R2",1,0))</f>
        <v>1</v>
      </c>
      <c r="R34" s="11">
        <f t="array" ref="R34">SUM(IF(R3:R31="R2",1,0))</f>
        <v>1</v>
      </c>
      <c r="S34" s="11">
        <f t="array" ref="S34">SUM(IF(S3:S31="R2",1,0))</f>
        <v>1</v>
      </c>
      <c r="T34" s="11">
        <f t="array" ref="T34">SUM(IF(T3:T31="R2",1,0))</f>
        <v>1</v>
      </c>
      <c r="U34" s="11">
        <f t="array" ref="U34">SUM(IF(U3:U31="R2",1,0))</f>
        <v>1</v>
      </c>
      <c r="V34" s="11">
        <f t="array" ref="V34">SUM(IF(V3:V31="R2",1,0))</f>
        <v>1</v>
      </c>
      <c r="W34" s="11">
        <f t="array" ref="W34">SUM(IF(W3:W31="R2",1,0))</f>
        <v>1</v>
      </c>
      <c r="X34" s="11">
        <f t="array" ref="X34">SUM(IF(X3:X31="R2",1,0))</f>
        <v>1</v>
      </c>
      <c r="Y34" s="11">
        <f t="array" ref="Y34">SUM(IF(Y3:Y31="R2",1,0))</f>
        <v>1</v>
      </c>
      <c r="Z34" s="11">
        <f t="array" ref="Z34">SUM(IF(Z3:Z31="R2",1,0))</f>
        <v>1</v>
      </c>
      <c r="AA34" s="11">
        <f t="array" ref="AA34">SUM(IF(AA3:AA31="R2",1,0))</f>
        <v>1</v>
      </c>
      <c r="AB34" s="11">
        <f t="array" ref="AB34">SUM(IF(AB3:AB31="R2",1,0))</f>
        <v>1</v>
      </c>
      <c r="AC34" s="11">
        <f t="array" ref="AC34">SUM(IF(AC3:AC31="R2",1,0))</f>
        <v>1</v>
      </c>
      <c r="AD34" s="11">
        <f t="array" ref="AD34">SUM(IF(AD3:AD31="R2",1,0))</f>
        <v>1</v>
      </c>
      <c r="AE34" s="11">
        <f t="array" ref="AE34">SUM(IF(AE3:AE31="R2",1,0))</f>
        <v>1</v>
      </c>
      <c r="AF34" s="11">
        <f t="array" ref="AF34">SUM(IF(AF3:AF31="R2",1,0))</f>
        <v>1</v>
      </c>
      <c r="AG34" s="11">
        <f t="array" ref="AG34">SUM(IF(AG3:AG31="R2",1,0))</f>
        <v>1</v>
      </c>
      <c r="AH34" s="11">
        <f t="array" ref="AH34">SUM(IF(AH3:AH31="R2",1,0))</f>
        <v>1</v>
      </c>
      <c r="AI34" s="11">
        <f t="array" ref="AI34">SUM(IF(AI3:AI31="R2",1,0))</f>
        <v>1</v>
      </c>
      <c r="AJ34" s="11">
        <f t="array" ref="AJ34">SUM(IF(AJ3:AJ31="R2",1,0))</f>
        <v>1</v>
      </c>
      <c r="AK34" s="11">
        <f t="array" ref="AK34">SUM(IF(AK3:AK31="R2",1,0))</f>
        <v>1</v>
      </c>
      <c r="AL34" s="11">
        <f t="array" ref="AL34">SUM(IF(AL3:AL31="R2",1,0))</f>
        <v>1</v>
      </c>
      <c r="AM34" s="11">
        <f t="array" ref="AM34">SUM(IF(AM3:AM31="R2",1,0))</f>
        <v>1</v>
      </c>
      <c r="AN34" s="11">
        <f t="array" ref="AN34">SUM(IF(AN3:AN31="R2",1,0))</f>
        <v>1</v>
      </c>
      <c r="AO34" s="11">
        <f t="array" ref="AO34">SUM(IF(AO3:AO31="R2",1,0))</f>
        <v>1</v>
      </c>
      <c r="AP34" s="11">
        <f t="array" ref="AP34">SUM(IF(AP3:AP31="R2",1,0))</f>
        <v>1</v>
      </c>
      <c r="AQ34" s="11">
        <f t="array" ref="AQ34">SUM(IF(AQ3:AQ31="R2",1,0))</f>
        <v>1</v>
      </c>
      <c r="AR34" s="11">
        <f t="array" ref="AR34">SUM(IF(AR3:AR31="R2",1,0))</f>
        <v>1</v>
      </c>
      <c r="AS34" s="11">
        <f t="array" ref="AS34">SUM(IF(AS3:AS31="R2",1,0))</f>
        <v>1</v>
      </c>
      <c r="AT34" s="11">
        <f t="array" ref="AT34">SUM(IF(AT3:AT31="R2",1,0))</f>
        <v>1</v>
      </c>
      <c r="AU34" s="11"/>
      <c r="AV34" s="11"/>
      <c r="AW34" s="11"/>
    </row>
    <row r="35">
      <c r="E35" s="17" t="s">
        <v>71</v>
      </c>
      <c r="F35" s="29" t="str">
        <f t="shared" ref="F35:AT35" si="8">IFERROR(INDEX($A$3:$A$31, MATCH(1, INDEX($F$3:$AW$31, 0, MATCH(F2, $F$2:$AW$2, 0)), 0)), INDEX($A$3:$A$31, MATCH(1, INDEX($F$3:$AW$31, 0, MATCH(F2&amp;" AM", $F$2:$AW$2, 0)), 0)))</f>
        <v>PTE LI HUI</v>
      </c>
      <c r="G35" s="29" t="str">
        <f t="shared" si="8"/>
        <v>PTE DARREN</v>
      </c>
      <c r="H35" s="29" t="str">
        <f t="shared" si="8"/>
        <v>PTE SAMEER</v>
      </c>
      <c r="I35" s="29" t="str">
        <f t="shared" si="8"/>
        <v>PTE SAMEER</v>
      </c>
      <c r="J35" s="29" t="str">
        <f t="shared" si="8"/>
        <v>PTE DAVID</v>
      </c>
      <c r="K35" s="29" t="str">
        <f t="shared" si="8"/>
        <v>LCP AMIRUL</v>
      </c>
      <c r="L35" s="29" t="str">
        <f t="shared" si="8"/>
        <v>PTE ANGELO</v>
      </c>
      <c r="M35" s="29" t="str">
        <f t="shared" si="8"/>
        <v>CPL YUSUF</v>
      </c>
      <c r="N35" s="29" t="str">
        <f t="shared" si="8"/>
        <v>PTE EZRA</v>
      </c>
      <c r="O35" s="29" t="str">
        <f t="shared" si="8"/>
        <v>REC RUI FENG</v>
      </c>
      <c r="P35" s="29" t="str">
        <f t="shared" si="8"/>
        <v>PTE EZRA</v>
      </c>
      <c r="Q35" s="29" t="str">
        <f t="shared" si="8"/>
        <v>PTE DARREN</v>
      </c>
      <c r="R35" s="29" t="str">
        <f t="shared" si="8"/>
        <v>PTE DARREN</v>
      </c>
      <c r="S35" s="29" t="str">
        <f t="shared" si="8"/>
        <v>PTE ERNEST</v>
      </c>
      <c r="T35" s="29" t="str">
        <f t="shared" si="8"/>
        <v>PTE AFIF</v>
      </c>
      <c r="U35" s="29" t="str">
        <f t="shared" si="8"/>
        <v>REC ETHAN</v>
      </c>
      <c r="V35" s="29" t="str">
        <f t="shared" si="8"/>
        <v>PTE JIREH</v>
      </c>
      <c r="W35" s="29" t="str">
        <f t="shared" si="8"/>
        <v>PTE DANIEL</v>
      </c>
      <c r="X35" s="29" t="str">
        <f t="shared" si="8"/>
        <v>PTE SAMEER</v>
      </c>
      <c r="Y35" s="29" t="str">
        <f t="shared" si="8"/>
        <v>PTE SAMEER</v>
      </c>
      <c r="Z35" s="29" t="str">
        <f t="shared" si="8"/>
        <v>REC RUI FENG</v>
      </c>
      <c r="AA35" s="29" t="str">
        <f t="shared" si="8"/>
        <v>PTE FIRMAN</v>
      </c>
      <c r="AB35" s="29" t="str">
        <f t="shared" si="8"/>
        <v>PTE DARREN</v>
      </c>
      <c r="AC35" s="29" t="str">
        <f t="shared" si="8"/>
        <v>PTE ADAM</v>
      </c>
      <c r="AD35" s="29" t="str">
        <f t="shared" si="8"/>
        <v>PTE HAQIMI</v>
      </c>
      <c r="AE35" s="29" t="str">
        <f t="shared" si="8"/>
        <v>REC HAO QIAN</v>
      </c>
      <c r="AF35" s="29" t="str">
        <f t="shared" si="8"/>
        <v>PTE JIREH</v>
      </c>
      <c r="AG35" s="29" t="str">
        <f t="shared" si="8"/>
        <v>REC ETHAN</v>
      </c>
      <c r="AH35" s="29" t="str">
        <f t="shared" si="8"/>
        <v>REC RUI FENG</v>
      </c>
      <c r="AI35" s="29" t="str">
        <f t="shared" si="8"/>
        <v>PTE ANGELO</v>
      </c>
      <c r="AJ35" s="29" t="str">
        <f t="shared" si="8"/>
        <v>PTE RIFQI</v>
      </c>
      <c r="AK35" s="29" t="str">
        <f t="shared" si="8"/>
        <v>PTE MATTHEW</v>
      </c>
      <c r="AL35" s="29" t="str">
        <f t="shared" si="8"/>
        <v>PTE XIAO YU</v>
      </c>
      <c r="AM35" s="29" t="str">
        <f t="shared" si="8"/>
        <v>PTE SAMEER</v>
      </c>
      <c r="AN35" s="29" t="str">
        <f t="shared" si="8"/>
        <v>PTE MATTHEW</v>
      </c>
      <c r="AO35" s="29" t="str">
        <f t="shared" si="8"/>
        <v>PTE DARREN</v>
      </c>
      <c r="AP35" s="29" t="str">
        <f t="shared" si="8"/>
        <v>PTE DANIEL</v>
      </c>
      <c r="AQ35" s="29" t="str">
        <f t="shared" si="8"/>
        <v>PTE RIFQI</v>
      </c>
      <c r="AR35" s="29" t="str">
        <f t="shared" si="8"/>
        <v>PTE DAVID</v>
      </c>
      <c r="AS35" s="29" t="str">
        <f t="shared" si="8"/>
        <v>PTE REUVEN</v>
      </c>
      <c r="AT35" s="29" t="str">
        <f t="shared" si="8"/>
        <v>PTE LI HUI</v>
      </c>
      <c r="AU35" s="29"/>
      <c r="AV35" s="29"/>
      <c r="AW35" s="29"/>
    </row>
    <row r="36">
      <c r="E36" s="17" t="s">
        <v>72</v>
      </c>
      <c r="F36" s="28" t="str">
        <f t="shared" ref="F36:AT36" si="9">INDEX($A$3:$A$31, MATCH("R", INDEX($F$3:$AW$31, 0, MATCH(F2, $F$2:$AW$2, 0)), 0))</f>
        <v>PTE ERNEST</v>
      </c>
      <c r="G36" s="28" t="str">
        <f t="shared" si="9"/>
        <v>PTE HAQIMI</v>
      </c>
      <c r="H36" s="28" t="str">
        <f t="shared" si="9"/>
        <v>PTE DARREN</v>
      </c>
      <c r="I36" s="28" t="str">
        <f t="shared" si="9"/>
        <v>PTE XIAO YU</v>
      </c>
      <c r="J36" s="28" t="str">
        <f t="shared" si="9"/>
        <v>CPL YUSUF</v>
      </c>
      <c r="K36" s="28" t="str">
        <f t="shared" si="9"/>
        <v>PTE REUVEN</v>
      </c>
      <c r="L36" s="28" t="str">
        <f t="shared" si="9"/>
        <v>PTE DANIEL</v>
      </c>
      <c r="M36" s="28" t="str">
        <f t="shared" si="9"/>
        <v>PTE EZRA</v>
      </c>
      <c r="N36" s="28" t="str">
        <f t="shared" si="9"/>
        <v>REC HAO QIAN</v>
      </c>
      <c r="O36" s="28" t="str">
        <f t="shared" si="9"/>
        <v>PTE EZRA</v>
      </c>
      <c r="P36" s="28" t="str">
        <f t="shared" si="9"/>
        <v>CPL YUSUF</v>
      </c>
      <c r="Q36" s="28" t="str">
        <f t="shared" si="9"/>
        <v>REC RUI FENG</v>
      </c>
      <c r="R36" s="28" t="str">
        <f t="shared" si="9"/>
        <v>PTE ERNEST</v>
      </c>
      <c r="S36" s="28" t="str">
        <f t="shared" si="9"/>
        <v>PTE FIRMAN</v>
      </c>
      <c r="T36" s="28" t="str">
        <f t="shared" si="9"/>
        <v>PTE FIRMAN</v>
      </c>
      <c r="U36" s="28" t="str">
        <f t="shared" si="9"/>
        <v>PTE DANIEL</v>
      </c>
      <c r="V36" s="28" t="str">
        <f t="shared" si="9"/>
        <v>PTE HAQIMI</v>
      </c>
      <c r="W36" s="28" t="str">
        <f t="shared" si="9"/>
        <v>PTE ANGELO</v>
      </c>
      <c r="X36" s="28" t="str">
        <f t="shared" si="9"/>
        <v>PTE LI HUI</v>
      </c>
      <c r="Y36" s="28" t="str">
        <f t="shared" si="9"/>
        <v>PTE DAVID</v>
      </c>
      <c r="Z36" s="28" t="str">
        <f t="shared" si="9"/>
        <v>LCP AMIRUL</v>
      </c>
      <c r="AA36" s="28" t="str">
        <f t="shared" si="9"/>
        <v>PTE ADAM</v>
      </c>
      <c r="AB36" s="28" t="str">
        <f t="shared" si="9"/>
        <v>PTE XIAO YU</v>
      </c>
      <c r="AC36" s="28" t="str">
        <f t="shared" si="9"/>
        <v>LCP AMIRUL</v>
      </c>
      <c r="AD36" s="28" t="str">
        <f t="shared" si="9"/>
        <v>PTE DAVID</v>
      </c>
      <c r="AE36" s="28" t="str">
        <f t="shared" si="9"/>
        <v>PTE JIREH</v>
      </c>
      <c r="AF36" s="28" t="str">
        <f t="shared" si="9"/>
        <v>REC HAO QIAN</v>
      </c>
      <c r="AG36" s="28" t="str">
        <f t="shared" si="9"/>
        <v>PTE AFIF</v>
      </c>
      <c r="AH36" s="28" t="str">
        <f t="shared" si="9"/>
        <v>PTE RIFQI</v>
      </c>
      <c r="AI36" s="28" t="str">
        <f t="shared" si="9"/>
        <v>REC ETHAN</v>
      </c>
      <c r="AJ36" s="28" t="str">
        <f t="shared" si="9"/>
        <v>REC RUI FENG</v>
      </c>
      <c r="AK36" s="28" t="str">
        <f t="shared" si="9"/>
        <v>PTE DANIEL</v>
      </c>
      <c r="AL36" s="28" t="str">
        <f t="shared" si="9"/>
        <v>PTE SAMEER</v>
      </c>
      <c r="AM36" s="28" t="str">
        <f t="shared" si="9"/>
        <v>PTE XIAO YU</v>
      </c>
      <c r="AN36" s="28" t="str">
        <f t="shared" si="9"/>
        <v>PTE ANGELO</v>
      </c>
      <c r="AO36" s="28" t="str">
        <f t="shared" si="9"/>
        <v>PTE XIAO YU</v>
      </c>
      <c r="AP36" s="28" t="str">
        <f t="shared" si="9"/>
        <v>PTE MATTHEW</v>
      </c>
      <c r="AQ36" s="28" t="str">
        <f t="shared" si="9"/>
        <v>CPL YUSUF</v>
      </c>
      <c r="AR36" s="28" t="str">
        <f t="shared" si="9"/>
        <v>CPL YUSUF</v>
      </c>
      <c r="AS36" s="28" t="str">
        <f t="shared" si="9"/>
        <v>LCP AMIRUL</v>
      </c>
      <c r="AT36" s="28" t="str">
        <f t="shared" si="9"/>
        <v>PTE XIAO YU</v>
      </c>
    </row>
    <row r="37">
      <c r="E37" s="17" t="s">
        <v>70</v>
      </c>
      <c r="F37" s="30" t="str">
        <f t="shared" ref="F37:AT37" si="10">INDEX($A$3:$A$31, MATCH("R2", INDEX($F$3:$AW$31, 0, MATCH(F2, $F$2:$AW$2, 0)), 0))</f>
        <v>REC RUI FENG</v>
      </c>
      <c r="G37" s="30" t="str">
        <f t="shared" si="10"/>
        <v>PTE XIAO YU</v>
      </c>
      <c r="H37" s="30" t="str">
        <f t="shared" si="10"/>
        <v>PTE XIAO YU</v>
      </c>
      <c r="I37" s="30" t="str">
        <f t="shared" si="10"/>
        <v>PTE DARREN</v>
      </c>
      <c r="J37" s="30" t="str">
        <f t="shared" si="10"/>
        <v>PTE HAQIMI</v>
      </c>
      <c r="K37" s="30" t="str">
        <f t="shared" si="10"/>
        <v>PTE ADAM</v>
      </c>
      <c r="L37" s="30" t="str">
        <f t="shared" si="10"/>
        <v>PTE MATTHEW</v>
      </c>
      <c r="M37" s="30" t="str">
        <f t="shared" si="10"/>
        <v>PTE DAVID</v>
      </c>
      <c r="N37" s="30" t="str">
        <f t="shared" si="10"/>
        <v>CPL YUSUF</v>
      </c>
      <c r="O37" s="30" t="str">
        <f t="shared" si="10"/>
        <v>PTE ANGELO</v>
      </c>
      <c r="P37" s="30" t="str">
        <f t="shared" si="10"/>
        <v>PTE JIREH</v>
      </c>
      <c r="Q37" s="30" t="str">
        <f t="shared" si="10"/>
        <v>LCP AMIRUL</v>
      </c>
      <c r="R37" s="30" t="str">
        <f t="shared" si="10"/>
        <v>PTE FIRMAN</v>
      </c>
      <c r="S37" s="30" t="str">
        <f t="shared" si="10"/>
        <v>PTE AFIF</v>
      </c>
      <c r="T37" s="30" t="str">
        <f t="shared" si="10"/>
        <v>PTE ERNEST</v>
      </c>
      <c r="U37" s="30" t="str">
        <f t="shared" si="10"/>
        <v>PTE ANGELO</v>
      </c>
      <c r="V37" s="30" t="str">
        <f t="shared" si="10"/>
        <v>REC HAO QIAN</v>
      </c>
      <c r="W37" s="30" t="str">
        <f t="shared" si="10"/>
        <v>REC ETHAN</v>
      </c>
      <c r="X37" s="30" t="str">
        <f t="shared" si="10"/>
        <v>PTE DAVID</v>
      </c>
      <c r="Y37" s="30" t="str">
        <f t="shared" si="10"/>
        <v>PTE HAQIMI</v>
      </c>
      <c r="Z37" s="30" t="str">
        <f t="shared" si="10"/>
        <v>PTE RIFQI</v>
      </c>
      <c r="AA37" s="30" t="str">
        <f t="shared" si="10"/>
        <v>PTE ERNEST</v>
      </c>
      <c r="AB37" s="30" t="str">
        <f t="shared" si="10"/>
        <v>PTE DAVID</v>
      </c>
      <c r="AC37" s="30" t="str">
        <f t="shared" si="10"/>
        <v>PTE REUVEN</v>
      </c>
      <c r="AD37" s="30" t="str">
        <f t="shared" si="10"/>
        <v>CPL YUSUF</v>
      </c>
      <c r="AE37" s="30" t="str">
        <f t="shared" si="10"/>
        <v>PTE EZRA</v>
      </c>
      <c r="AF37" s="30" t="str">
        <f t="shared" si="10"/>
        <v>PTE EZRA</v>
      </c>
      <c r="AG37" s="30" t="str">
        <f t="shared" si="10"/>
        <v>PTE LI HUI</v>
      </c>
      <c r="AH37" s="30" t="str">
        <f t="shared" si="10"/>
        <v>PTE DANIEL</v>
      </c>
      <c r="AI37" s="30" t="str">
        <f t="shared" si="10"/>
        <v>PTE DANIEL</v>
      </c>
      <c r="AJ37" s="30" t="str">
        <f t="shared" si="10"/>
        <v>CPL YUSUF</v>
      </c>
      <c r="AK37" s="30" t="str">
        <f t="shared" si="10"/>
        <v>PTE ANGELO</v>
      </c>
      <c r="AL37" s="30" t="str">
        <f t="shared" si="10"/>
        <v>PTE DARREN</v>
      </c>
      <c r="AM37" s="30" t="str">
        <f t="shared" si="10"/>
        <v>PTE DARREN</v>
      </c>
      <c r="AN37" s="30" t="str">
        <f t="shared" si="10"/>
        <v>PTE DANIEL</v>
      </c>
      <c r="AO37" s="30" t="str">
        <f t="shared" si="10"/>
        <v>PTE SAMEER</v>
      </c>
      <c r="AP37" s="30" t="str">
        <f t="shared" si="10"/>
        <v>REC ETHAN</v>
      </c>
      <c r="AQ37" s="30" t="str">
        <f t="shared" si="10"/>
        <v>PTE DAVID</v>
      </c>
      <c r="AR37" s="30" t="str">
        <f t="shared" si="10"/>
        <v>PTE HAQIMI</v>
      </c>
      <c r="AS37" s="30" t="str">
        <f t="shared" si="10"/>
        <v>PTE ADAM</v>
      </c>
      <c r="AT37" s="30" t="str">
        <f t="shared" si="10"/>
        <v>PTE SAMEER</v>
      </c>
      <c r="AU37" s="30"/>
      <c r="AV37" s="30"/>
      <c r="AW37" s="30"/>
    </row>
    <row r="38">
      <c r="G38" s="31"/>
    </row>
    <row r="39">
      <c r="G39" s="31"/>
    </row>
    <row r="40">
      <c r="G40" s="31"/>
    </row>
    <row r="41">
      <c r="G41" s="31"/>
    </row>
    <row r="42">
      <c r="G42" s="31"/>
    </row>
    <row r="43">
      <c r="G43" s="31"/>
    </row>
    <row r="44">
      <c r="G44" s="31"/>
    </row>
    <row r="45">
      <c r="G45" s="31"/>
    </row>
    <row r="46">
      <c r="G46" s="31"/>
    </row>
    <row r="47">
      <c r="G47" s="31"/>
    </row>
    <row r="48">
      <c r="A48" s="31"/>
      <c r="C48" s="31"/>
      <c r="G48" s="31"/>
    </row>
    <row r="49">
      <c r="G49" s="31"/>
    </row>
    <row r="50">
      <c r="G50" s="31"/>
    </row>
    <row r="51">
      <c r="G51" s="31"/>
    </row>
    <row r="52">
      <c r="G52" s="31"/>
    </row>
    <row r="53">
      <c r="G53" s="31"/>
    </row>
    <row r="54">
      <c r="G54" s="31"/>
    </row>
    <row r="55">
      <c r="G55" s="31"/>
    </row>
    <row r="56">
      <c r="G56" s="31"/>
    </row>
    <row r="57">
      <c r="G57" s="31"/>
    </row>
    <row r="58">
      <c r="G58" s="31"/>
    </row>
    <row r="59">
      <c r="G59" s="31"/>
    </row>
    <row r="60">
      <c r="G60" s="31"/>
    </row>
    <row r="61">
      <c r="G61" s="31"/>
    </row>
    <row r="62">
      <c r="G62" s="31"/>
    </row>
    <row r="63">
      <c r="G63" s="31"/>
    </row>
    <row r="64">
      <c r="G64" s="31"/>
    </row>
    <row r="65">
      <c r="G65" s="31"/>
    </row>
    <row r="66">
      <c r="G66" s="31"/>
    </row>
    <row r="67">
      <c r="G67" s="31"/>
    </row>
    <row r="68">
      <c r="G68" s="31"/>
    </row>
    <row r="69">
      <c r="G69" s="31"/>
    </row>
    <row r="70">
      <c r="G70" s="31"/>
    </row>
    <row r="71">
      <c r="G71" s="31"/>
    </row>
    <row r="72">
      <c r="G72" s="31"/>
    </row>
    <row r="73">
      <c r="G73" s="31"/>
    </row>
    <row r="74">
      <c r="G74" s="31"/>
    </row>
    <row r="75">
      <c r="G75" s="31"/>
    </row>
    <row r="76">
      <c r="G76" s="31"/>
    </row>
    <row r="77">
      <c r="G77" s="31"/>
    </row>
    <row r="78">
      <c r="G78" s="31"/>
    </row>
    <row r="79">
      <c r="G79" s="31"/>
    </row>
    <row r="80">
      <c r="G80" s="31"/>
    </row>
    <row r="81">
      <c r="G81" s="31"/>
    </row>
    <row r="82">
      <c r="G82" s="31"/>
    </row>
    <row r="83">
      <c r="G83" s="31"/>
    </row>
    <row r="84">
      <c r="G84" s="31"/>
    </row>
    <row r="85">
      <c r="G85" s="31"/>
    </row>
    <row r="86">
      <c r="G86" s="31"/>
    </row>
    <row r="87">
      <c r="G87" s="31"/>
    </row>
    <row r="88">
      <c r="G88" s="31"/>
    </row>
    <row r="89">
      <c r="G89" s="31"/>
    </row>
    <row r="90">
      <c r="G90" s="31"/>
    </row>
    <row r="91">
      <c r="G91" s="31"/>
    </row>
    <row r="92">
      <c r="G92" s="31"/>
    </row>
    <row r="93">
      <c r="G93" s="31"/>
    </row>
    <row r="94">
      <c r="G94" s="31"/>
    </row>
    <row r="95">
      <c r="G95" s="31"/>
    </row>
    <row r="96">
      <c r="G96" s="31"/>
    </row>
    <row r="97">
      <c r="G97" s="31"/>
    </row>
    <row r="98">
      <c r="G98" s="31"/>
    </row>
    <row r="99">
      <c r="G99" s="31"/>
    </row>
    <row r="100">
      <c r="G100" s="31"/>
    </row>
    <row r="101">
      <c r="G101" s="31"/>
    </row>
    <row r="102">
      <c r="G102" s="31"/>
    </row>
    <row r="103">
      <c r="G103" s="31"/>
    </row>
    <row r="104">
      <c r="G104" s="31"/>
    </row>
    <row r="105">
      <c r="G105" s="31"/>
    </row>
    <row r="106">
      <c r="G106" s="31"/>
    </row>
    <row r="107">
      <c r="G107" s="31"/>
    </row>
    <row r="108">
      <c r="G108" s="31"/>
    </row>
    <row r="109">
      <c r="G109" s="31"/>
    </row>
    <row r="110">
      <c r="G110" s="31"/>
    </row>
    <row r="111">
      <c r="G111" s="31"/>
    </row>
    <row r="112">
      <c r="G112" s="31"/>
    </row>
    <row r="113">
      <c r="G113" s="31"/>
    </row>
    <row r="114">
      <c r="G114" s="31"/>
    </row>
    <row r="115">
      <c r="G115" s="31"/>
    </row>
    <row r="116">
      <c r="G116" s="31"/>
    </row>
    <row r="117">
      <c r="G117" s="31"/>
    </row>
    <row r="118">
      <c r="G118" s="31"/>
    </row>
    <row r="119">
      <c r="G119" s="31"/>
    </row>
    <row r="120">
      <c r="G120" s="31"/>
    </row>
    <row r="121">
      <c r="G121" s="31"/>
    </row>
    <row r="122">
      <c r="G122" s="31"/>
    </row>
    <row r="123">
      <c r="G123" s="31"/>
    </row>
    <row r="124">
      <c r="G124" s="31"/>
    </row>
    <row r="125">
      <c r="G125" s="31"/>
    </row>
    <row r="126">
      <c r="G126" s="31"/>
    </row>
    <row r="127">
      <c r="G127" s="31"/>
    </row>
    <row r="128">
      <c r="G128" s="31"/>
    </row>
    <row r="129">
      <c r="G129" s="31"/>
    </row>
    <row r="130">
      <c r="G130" s="31"/>
    </row>
    <row r="131">
      <c r="G131" s="31"/>
    </row>
    <row r="132">
      <c r="G132" s="31"/>
    </row>
    <row r="133">
      <c r="G133" s="31"/>
    </row>
    <row r="134">
      <c r="G134" s="31"/>
    </row>
    <row r="135">
      <c r="G135" s="31"/>
    </row>
    <row r="136">
      <c r="G136" s="31"/>
    </row>
    <row r="137">
      <c r="G137" s="31"/>
    </row>
    <row r="138">
      <c r="G138" s="31"/>
    </row>
    <row r="139">
      <c r="G139" s="31"/>
    </row>
    <row r="140">
      <c r="G140" s="31"/>
    </row>
    <row r="141">
      <c r="G141" s="31"/>
    </row>
    <row r="142">
      <c r="G142" s="31"/>
    </row>
    <row r="143">
      <c r="G143" s="31"/>
    </row>
    <row r="144">
      <c r="G144" s="31"/>
    </row>
    <row r="145">
      <c r="G145" s="31"/>
    </row>
    <row r="146">
      <c r="G146" s="31"/>
    </row>
    <row r="147">
      <c r="G147" s="31"/>
    </row>
    <row r="148">
      <c r="G148" s="31"/>
    </row>
    <row r="149">
      <c r="G149" s="31"/>
    </row>
    <row r="150">
      <c r="G150" s="31"/>
    </row>
    <row r="151">
      <c r="G151" s="31"/>
    </row>
    <row r="152">
      <c r="G152" s="31"/>
    </row>
    <row r="153">
      <c r="G153" s="31"/>
    </row>
    <row r="154">
      <c r="G154" s="31"/>
    </row>
    <row r="155">
      <c r="G155" s="31"/>
    </row>
    <row r="156">
      <c r="G156" s="31"/>
    </row>
    <row r="157">
      <c r="G157" s="31"/>
    </row>
    <row r="158">
      <c r="G158" s="31"/>
    </row>
    <row r="159">
      <c r="G159" s="31"/>
    </row>
    <row r="160">
      <c r="G160" s="31"/>
    </row>
    <row r="161">
      <c r="G161" s="31"/>
    </row>
    <row r="162">
      <c r="G162" s="31"/>
    </row>
    <row r="163">
      <c r="G163" s="31"/>
    </row>
    <row r="164">
      <c r="G164" s="31"/>
    </row>
    <row r="165">
      <c r="G165" s="31"/>
    </row>
    <row r="166">
      <c r="G166" s="31"/>
    </row>
    <row r="167">
      <c r="G167" s="31"/>
    </row>
    <row r="168">
      <c r="G168" s="31"/>
    </row>
    <row r="169">
      <c r="G169" s="31"/>
    </row>
    <row r="170">
      <c r="G170" s="31"/>
    </row>
    <row r="171">
      <c r="G171" s="31"/>
    </row>
    <row r="172">
      <c r="G172" s="31"/>
    </row>
    <row r="173">
      <c r="G173" s="31"/>
    </row>
    <row r="174">
      <c r="G174" s="31"/>
    </row>
    <row r="175">
      <c r="G175" s="31"/>
    </row>
    <row r="176">
      <c r="G176" s="31"/>
    </row>
    <row r="177">
      <c r="G177" s="31"/>
    </row>
    <row r="178">
      <c r="G178" s="31"/>
    </row>
    <row r="179">
      <c r="G179" s="31"/>
    </row>
    <row r="180">
      <c r="G180" s="31"/>
    </row>
    <row r="181">
      <c r="G181" s="31"/>
    </row>
    <row r="182">
      <c r="G182" s="31"/>
    </row>
    <row r="183">
      <c r="G183" s="31"/>
    </row>
    <row r="184">
      <c r="G184" s="31"/>
    </row>
    <row r="185">
      <c r="G185" s="31"/>
    </row>
    <row r="186">
      <c r="G186" s="31"/>
    </row>
    <row r="187">
      <c r="G187" s="31"/>
    </row>
    <row r="188">
      <c r="G188" s="31"/>
    </row>
    <row r="189">
      <c r="G189" s="31"/>
    </row>
    <row r="190">
      <c r="G190" s="31"/>
    </row>
    <row r="191">
      <c r="G191" s="31"/>
    </row>
    <row r="192">
      <c r="G192" s="31"/>
    </row>
    <row r="193">
      <c r="G193" s="31"/>
    </row>
    <row r="194">
      <c r="G194" s="31"/>
    </row>
    <row r="195">
      <c r="G195" s="31"/>
    </row>
    <row r="196">
      <c r="G196" s="31"/>
    </row>
    <row r="197">
      <c r="G197" s="31"/>
    </row>
    <row r="198">
      <c r="G198" s="31"/>
    </row>
    <row r="199">
      <c r="G199" s="31"/>
    </row>
    <row r="200">
      <c r="G200" s="31"/>
    </row>
    <row r="201">
      <c r="G201" s="31"/>
    </row>
    <row r="202">
      <c r="G202" s="31"/>
    </row>
    <row r="203">
      <c r="G203" s="31"/>
    </row>
    <row r="204">
      <c r="G204" s="31"/>
    </row>
    <row r="205">
      <c r="G205" s="31"/>
    </row>
    <row r="206">
      <c r="G206" s="31"/>
    </row>
    <row r="207">
      <c r="G207" s="31"/>
    </row>
    <row r="208">
      <c r="G208" s="31"/>
    </row>
    <row r="209">
      <c r="G209" s="31"/>
    </row>
    <row r="210">
      <c r="G210" s="31"/>
    </row>
    <row r="211">
      <c r="G211" s="31"/>
    </row>
    <row r="212">
      <c r="G212" s="31"/>
    </row>
    <row r="213">
      <c r="G213" s="31"/>
    </row>
    <row r="214">
      <c r="G214" s="31"/>
    </row>
    <row r="215">
      <c r="G215" s="31"/>
    </row>
    <row r="216">
      <c r="G216" s="31"/>
    </row>
    <row r="217">
      <c r="G217" s="31"/>
    </row>
    <row r="218">
      <c r="G218" s="31"/>
    </row>
    <row r="219">
      <c r="G219" s="31"/>
    </row>
    <row r="220">
      <c r="G220" s="31"/>
    </row>
    <row r="221">
      <c r="G221" s="31"/>
    </row>
    <row r="222">
      <c r="G222" s="31"/>
    </row>
    <row r="223">
      <c r="G223" s="31"/>
    </row>
    <row r="224">
      <c r="G224" s="31"/>
    </row>
    <row r="225">
      <c r="G225" s="31"/>
    </row>
    <row r="226">
      <c r="G226" s="31"/>
    </row>
    <row r="227">
      <c r="G227" s="31"/>
    </row>
    <row r="228">
      <c r="G228" s="31"/>
    </row>
    <row r="229">
      <c r="G229" s="31"/>
    </row>
    <row r="230">
      <c r="G230" s="31"/>
    </row>
    <row r="231">
      <c r="G231" s="31"/>
    </row>
    <row r="232">
      <c r="G232" s="31"/>
    </row>
    <row r="233">
      <c r="G233" s="31"/>
    </row>
    <row r="234">
      <c r="G234" s="31"/>
    </row>
    <row r="235">
      <c r="G235" s="31"/>
    </row>
    <row r="236">
      <c r="G236" s="31"/>
    </row>
    <row r="237">
      <c r="G237" s="31"/>
    </row>
    <row r="238">
      <c r="G238" s="31"/>
    </row>
    <row r="239">
      <c r="G239" s="31"/>
    </row>
    <row r="240">
      <c r="G240" s="31"/>
    </row>
    <row r="241">
      <c r="G241" s="31"/>
    </row>
    <row r="242">
      <c r="G242" s="31"/>
    </row>
    <row r="243">
      <c r="G243" s="31"/>
    </row>
    <row r="244">
      <c r="G244" s="31"/>
    </row>
    <row r="245">
      <c r="G245" s="31"/>
    </row>
    <row r="246">
      <c r="G246" s="31"/>
    </row>
    <row r="247">
      <c r="G247" s="31"/>
    </row>
    <row r="248">
      <c r="G248" s="31"/>
    </row>
    <row r="249">
      <c r="G249" s="31"/>
    </row>
    <row r="250">
      <c r="G250" s="31"/>
    </row>
    <row r="251">
      <c r="G251" s="31"/>
    </row>
    <row r="252">
      <c r="G252" s="31"/>
    </row>
    <row r="253">
      <c r="G253" s="31"/>
    </row>
    <row r="254">
      <c r="G254" s="31"/>
    </row>
    <row r="255">
      <c r="G255" s="31"/>
    </row>
    <row r="256">
      <c r="G256" s="31"/>
    </row>
    <row r="257">
      <c r="G257" s="31"/>
    </row>
    <row r="258">
      <c r="G258" s="31"/>
    </row>
    <row r="259">
      <c r="G259" s="31"/>
    </row>
    <row r="260">
      <c r="G260" s="31"/>
    </row>
    <row r="261">
      <c r="G261" s="31"/>
    </row>
    <row r="262">
      <c r="G262" s="31"/>
    </row>
    <row r="263">
      <c r="G263" s="31"/>
    </row>
    <row r="264">
      <c r="G264" s="31"/>
    </row>
    <row r="265">
      <c r="G265" s="31"/>
    </row>
    <row r="266">
      <c r="G266" s="31"/>
    </row>
    <row r="267">
      <c r="G267" s="31"/>
    </row>
    <row r="268">
      <c r="G268" s="31"/>
    </row>
    <row r="269">
      <c r="G269" s="31"/>
    </row>
    <row r="270">
      <c r="G270" s="31"/>
    </row>
    <row r="271">
      <c r="G271" s="31"/>
    </row>
    <row r="272">
      <c r="G272" s="31"/>
    </row>
    <row r="273">
      <c r="G273" s="31"/>
    </row>
    <row r="274">
      <c r="G274" s="31"/>
    </row>
    <row r="275">
      <c r="G275" s="31"/>
    </row>
    <row r="276">
      <c r="G276" s="31"/>
    </row>
    <row r="277">
      <c r="G277" s="31"/>
    </row>
    <row r="278">
      <c r="G278" s="31"/>
    </row>
    <row r="279">
      <c r="G279" s="31"/>
    </row>
    <row r="280">
      <c r="G280" s="31"/>
    </row>
    <row r="281">
      <c r="G281" s="31"/>
    </row>
    <row r="282">
      <c r="G282" s="31"/>
    </row>
    <row r="283">
      <c r="G283" s="31"/>
    </row>
    <row r="284">
      <c r="G284" s="31"/>
    </row>
    <row r="285">
      <c r="G285" s="31"/>
    </row>
    <row r="286">
      <c r="G286" s="31"/>
    </row>
    <row r="287">
      <c r="G287" s="31"/>
    </row>
    <row r="288">
      <c r="G288" s="31"/>
    </row>
    <row r="289">
      <c r="G289" s="31"/>
    </row>
    <row r="290">
      <c r="G290" s="31"/>
    </row>
    <row r="291">
      <c r="G291" s="31"/>
    </row>
    <row r="292">
      <c r="G292" s="31"/>
    </row>
    <row r="293">
      <c r="G293" s="31"/>
    </row>
    <row r="294">
      <c r="G294" s="31"/>
    </row>
    <row r="295">
      <c r="G295" s="31"/>
    </row>
    <row r="296">
      <c r="G296" s="31"/>
    </row>
    <row r="297">
      <c r="G297" s="31"/>
    </row>
    <row r="298">
      <c r="G298" s="31"/>
    </row>
    <row r="299">
      <c r="G299" s="31"/>
    </row>
    <row r="300">
      <c r="G300" s="31"/>
    </row>
    <row r="301">
      <c r="G301" s="31"/>
    </row>
    <row r="302">
      <c r="G302" s="31"/>
    </row>
    <row r="303">
      <c r="G303" s="31"/>
    </row>
    <row r="304">
      <c r="G304" s="31"/>
    </row>
    <row r="305">
      <c r="G305" s="31"/>
    </row>
    <row r="306">
      <c r="G306" s="31"/>
    </row>
    <row r="307">
      <c r="G307" s="31"/>
    </row>
    <row r="308">
      <c r="G308" s="31"/>
    </row>
    <row r="309">
      <c r="G309" s="31"/>
    </row>
    <row r="310">
      <c r="G310" s="31"/>
    </row>
    <row r="311">
      <c r="G311" s="31"/>
    </row>
    <row r="312">
      <c r="G312" s="31"/>
    </row>
    <row r="313">
      <c r="G313" s="31"/>
    </row>
    <row r="314">
      <c r="G314" s="31"/>
    </row>
    <row r="315">
      <c r="G315" s="31"/>
    </row>
    <row r="316">
      <c r="G316" s="31"/>
    </row>
    <row r="317">
      <c r="G317" s="31"/>
    </row>
    <row r="318">
      <c r="G318" s="31"/>
    </row>
    <row r="319">
      <c r="G319" s="31"/>
    </row>
    <row r="320">
      <c r="G320" s="31"/>
    </row>
    <row r="321">
      <c r="G321" s="31"/>
    </row>
    <row r="322">
      <c r="G322" s="31"/>
    </row>
    <row r="323">
      <c r="G323" s="31"/>
    </row>
    <row r="324">
      <c r="G324" s="31"/>
    </row>
    <row r="325">
      <c r="G325" s="31"/>
    </row>
    <row r="326">
      <c r="G326" s="31"/>
    </row>
    <row r="327">
      <c r="G327" s="31"/>
    </row>
    <row r="328">
      <c r="G328" s="31"/>
    </row>
    <row r="329">
      <c r="G329" s="31"/>
    </row>
    <row r="330">
      <c r="G330" s="31"/>
    </row>
    <row r="331">
      <c r="G331" s="31"/>
    </row>
    <row r="332">
      <c r="G332" s="31"/>
    </row>
    <row r="333">
      <c r="G333" s="31"/>
    </row>
    <row r="334">
      <c r="G334" s="31"/>
    </row>
    <row r="335">
      <c r="G335" s="31"/>
    </row>
    <row r="336">
      <c r="G336" s="31"/>
    </row>
    <row r="337">
      <c r="G337" s="31"/>
    </row>
    <row r="338">
      <c r="G338" s="31"/>
    </row>
    <row r="339">
      <c r="G339" s="31"/>
    </row>
    <row r="340">
      <c r="G340" s="31"/>
    </row>
    <row r="341">
      <c r="G341" s="31"/>
    </row>
    <row r="342">
      <c r="G342" s="31"/>
    </row>
    <row r="343">
      <c r="G343" s="31"/>
    </row>
    <row r="344">
      <c r="G344" s="31"/>
    </row>
    <row r="345">
      <c r="G345" s="31"/>
    </row>
    <row r="346">
      <c r="G346" s="31"/>
    </row>
    <row r="347">
      <c r="G347" s="31"/>
    </row>
    <row r="348">
      <c r="G348" s="31"/>
    </row>
    <row r="349">
      <c r="G349" s="31"/>
    </row>
    <row r="350">
      <c r="G350" s="31"/>
    </row>
    <row r="351">
      <c r="G351" s="31"/>
    </row>
    <row r="352">
      <c r="G352" s="31"/>
    </row>
    <row r="353">
      <c r="G353" s="31"/>
    </row>
    <row r="354">
      <c r="G354" s="31"/>
    </row>
    <row r="355">
      <c r="G355" s="31"/>
    </row>
    <row r="356">
      <c r="G356" s="31"/>
    </row>
    <row r="357">
      <c r="G357" s="31"/>
    </row>
    <row r="358">
      <c r="G358" s="31"/>
    </row>
    <row r="359">
      <c r="G359" s="31"/>
    </row>
    <row r="360">
      <c r="G360" s="31"/>
    </row>
    <row r="361">
      <c r="G361" s="31"/>
    </row>
    <row r="362">
      <c r="G362" s="31"/>
    </row>
    <row r="363">
      <c r="G363" s="31"/>
    </row>
    <row r="364">
      <c r="G364" s="31"/>
    </row>
    <row r="365">
      <c r="G365" s="31"/>
    </row>
    <row r="366">
      <c r="G366" s="31"/>
    </row>
    <row r="367">
      <c r="G367" s="31"/>
    </row>
    <row r="368">
      <c r="G368" s="31"/>
    </row>
    <row r="369">
      <c r="G369" s="31"/>
    </row>
    <row r="370">
      <c r="G370" s="31"/>
    </row>
    <row r="371">
      <c r="G371" s="31"/>
    </row>
    <row r="372">
      <c r="G372" s="31"/>
    </row>
    <row r="373">
      <c r="G373" s="31"/>
    </row>
    <row r="374">
      <c r="G374" s="31"/>
    </row>
    <row r="375">
      <c r="G375" s="31"/>
    </row>
    <row r="376">
      <c r="G376" s="31"/>
    </row>
    <row r="377">
      <c r="G377" s="31"/>
    </row>
    <row r="378">
      <c r="G378" s="31"/>
    </row>
    <row r="379">
      <c r="G379" s="31"/>
    </row>
    <row r="380">
      <c r="G380" s="31"/>
    </row>
    <row r="381">
      <c r="G381" s="31"/>
    </row>
    <row r="382">
      <c r="G382" s="31"/>
    </row>
    <row r="383">
      <c r="G383" s="31"/>
    </row>
    <row r="384">
      <c r="G384" s="31"/>
    </row>
    <row r="385">
      <c r="G385" s="31"/>
    </row>
    <row r="386">
      <c r="G386" s="31"/>
    </row>
    <row r="387">
      <c r="G387" s="31"/>
    </row>
    <row r="388">
      <c r="G388" s="31"/>
    </row>
    <row r="389">
      <c r="G389" s="31"/>
    </row>
    <row r="390">
      <c r="G390" s="31"/>
    </row>
    <row r="391">
      <c r="G391" s="31"/>
    </row>
    <row r="392">
      <c r="G392" s="31"/>
    </row>
    <row r="393">
      <c r="G393" s="31"/>
    </row>
    <row r="394">
      <c r="G394" s="31"/>
    </row>
    <row r="395">
      <c r="G395" s="31"/>
    </row>
    <row r="396">
      <c r="G396" s="31"/>
    </row>
    <row r="397">
      <c r="G397" s="31"/>
    </row>
    <row r="398">
      <c r="G398" s="31"/>
    </row>
    <row r="399">
      <c r="G399" s="31"/>
    </row>
    <row r="400">
      <c r="G400" s="31"/>
    </row>
    <row r="401">
      <c r="G401" s="31"/>
    </row>
    <row r="402">
      <c r="G402" s="31"/>
    </row>
    <row r="403">
      <c r="G403" s="31"/>
    </row>
    <row r="404">
      <c r="G404" s="31"/>
    </row>
    <row r="405">
      <c r="G405" s="31"/>
    </row>
    <row r="406">
      <c r="G406" s="31"/>
    </row>
    <row r="407">
      <c r="G407" s="31"/>
    </row>
    <row r="408">
      <c r="G408" s="31"/>
    </row>
    <row r="409">
      <c r="G409" s="31"/>
    </row>
    <row r="410">
      <c r="G410" s="31"/>
    </row>
    <row r="411">
      <c r="G411" s="31"/>
    </row>
    <row r="412">
      <c r="G412" s="31"/>
    </row>
    <row r="413">
      <c r="G413" s="31"/>
    </row>
    <row r="414">
      <c r="G414" s="31"/>
    </row>
    <row r="415">
      <c r="G415" s="31"/>
    </row>
    <row r="416">
      <c r="G416" s="31"/>
    </row>
    <row r="417">
      <c r="G417" s="31"/>
    </row>
    <row r="418">
      <c r="G418" s="31"/>
    </row>
    <row r="419">
      <c r="G419" s="31"/>
    </row>
    <row r="420">
      <c r="G420" s="31"/>
    </row>
    <row r="421">
      <c r="G421" s="31"/>
    </row>
    <row r="422">
      <c r="G422" s="31"/>
    </row>
    <row r="423">
      <c r="G423" s="31"/>
    </row>
    <row r="424">
      <c r="G424" s="31"/>
    </row>
    <row r="425">
      <c r="G425" s="31"/>
    </row>
    <row r="426">
      <c r="G426" s="31"/>
    </row>
    <row r="427">
      <c r="G427" s="31"/>
    </row>
    <row r="428">
      <c r="G428" s="31"/>
    </row>
    <row r="429">
      <c r="G429" s="31"/>
    </row>
    <row r="430">
      <c r="G430" s="31"/>
    </row>
    <row r="431">
      <c r="G431" s="31"/>
    </row>
    <row r="432">
      <c r="G432" s="31"/>
    </row>
    <row r="433">
      <c r="G433" s="31"/>
    </row>
    <row r="434">
      <c r="G434" s="31"/>
    </row>
    <row r="435">
      <c r="G435" s="31"/>
    </row>
    <row r="436">
      <c r="G436" s="31"/>
    </row>
    <row r="437">
      <c r="G437" s="31"/>
    </row>
    <row r="438">
      <c r="G438" s="31"/>
    </row>
    <row r="439">
      <c r="G439" s="31"/>
    </row>
    <row r="440">
      <c r="G440" s="31"/>
    </row>
    <row r="441">
      <c r="G441" s="31"/>
    </row>
    <row r="442">
      <c r="G442" s="31"/>
    </row>
    <row r="443">
      <c r="G443" s="31"/>
    </row>
    <row r="444">
      <c r="G444" s="31"/>
    </row>
    <row r="445">
      <c r="G445" s="31"/>
    </row>
    <row r="446">
      <c r="G446" s="31"/>
    </row>
    <row r="447">
      <c r="G447" s="31"/>
    </row>
    <row r="448">
      <c r="G448" s="31"/>
    </row>
    <row r="449">
      <c r="G449" s="31"/>
    </row>
    <row r="450">
      <c r="G450" s="31"/>
    </row>
    <row r="451">
      <c r="G451" s="31"/>
    </row>
    <row r="452">
      <c r="G452" s="31"/>
    </row>
    <row r="453">
      <c r="G453" s="31"/>
    </row>
    <row r="454">
      <c r="G454" s="31"/>
    </row>
    <row r="455">
      <c r="G455" s="31"/>
    </row>
    <row r="456">
      <c r="G456" s="31"/>
    </row>
    <row r="457">
      <c r="G457" s="31"/>
    </row>
    <row r="458">
      <c r="G458" s="31"/>
    </row>
    <row r="459">
      <c r="G459" s="31"/>
    </row>
    <row r="460">
      <c r="G460" s="31"/>
    </row>
    <row r="461">
      <c r="G461" s="31"/>
    </row>
    <row r="462">
      <c r="G462" s="31"/>
    </row>
    <row r="463">
      <c r="G463" s="31"/>
    </row>
    <row r="464">
      <c r="G464" s="31"/>
    </row>
    <row r="465">
      <c r="G465" s="31"/>
    </row>
    <row r="466">
      <c r="G466" s="31"/>
    </row>
    <row r="467">
      <c r="G467" s="31"/>
    </row>
    <row r="468">
      <c r="G468" s="31"/>
    </row>
    <row r="469">
      <c r="G469" s="31"/>
    </row>
    <row r="470">
      <c r="G470" s="31"/>
    </row>
    <row r="471">
      <c r="G471" s="31"/>
    </row>
    <row r="472">
      <c r="G472" s="31"/>
    </row>
    <row r="473">
      <c r="G473" s="31"/>
    </row>
    <row r="474">
      <c r="G474" s="31"/>
    </row>
    <row r="475">
      <c r="G475" s="31"/>
    </row>
    <row r="476">
      <c r="G476" s="31"/>
    </row>
    <row r="477">
      <c r="G477" s="31"/>
    </row>
    <row r="478">
      <c r="G478" s="31"/>
    </row>
    <row r="479">
      <c r="G479" s="31"/>
    </row>
    <row r="480">
      <c r="G480" s="31"/>
    </row>
    <row r="481">
      <c r="G481" s="31"/>
    </row>
    <row r="482">
      <c r="G482" s="31"/>
    </row>
    <row r="483">
      <c r="G483" s="31"/>
    </row>
    <row r="484">
      <c r="G484" s="31"/>
    </row>
    <row r="485">
      <c r="G485" s="31"/>
    </row>
    <row r="486">
      <c r="G486" s="31"/>
    </row>
    <row r="487">
      <c r="G487" s="31"/>
    </row>
    <row r="488">
      <c r="G488" s="31"/>
    </row>
    <row r="489">
      <c r="G489" s="31"/>
    </row>
    <row r="490">
      <c r="G490" s="31"/>
    </row>
    <row r="491">
      <c r="G491" s="31"/>
    </row>
    <row r="492">
      <c r="G492" s="31"/>
    </row>
    <row r="493">
      <c r="G493" s="31"/>
    </row>
    <row r="494">
      <c r="G494" s="31"/>
    </row>
    <row r="495">
      <c r="G495" s="31"/>
    </row>
    <row r="496">
      <c r="G496" s="31"/>
    </row>
    <row r="497">
      <c r="G497" s="31"/>
    </row>
    <row r="498">
      <c r="G498" s="31"/>
    </row>
    <row r="499">
      <c r="G499" s="31"/>
    </row>
    <row r="500">
      <c r="G500" s="31"/>
    </row>
    <row r="501">
      <c r="G501" s="31"/>
    </row>
    <row r="502">
      <c r="G502" s="31"/>
    </row>
    <row r="503">
      <c r="G503" s="31"/>
    </row>
    <row r="504">
      <c r="G504" s="31"/>
    </row>
    <row r="505">
      <c r="G505" s="31"/>
    </row>
    <row r="506">
      <c r="G506" s="31"/>
    </row>
    <row r="507">
      <c r="G507" s="31"/>
    </row>
    <row r="508">
      <c r="G508" s="31"/>
    </row>
    <row r="509">
      <c r="G509" s="31"/>
    </row>
    <row r="510">
      <c r="G510" s="31"/>
    </row>
    <row r="511">
      <c r="G511" s="31"/>
    </row>
    <row r="512">
      <c r="G512" s="31"/>
    </row>
    <row r="513">
      <c r="G513" s="31"/>
    </row>
    <row r="514">
      <c r="G514" s="31"/>
    </row>
    <row r="515">
      <c r="G515" s="31"/>
    </row>
    <row r="516">
      <c r="G516" s="31"/>
    </row>
    <row r="517">
      <c r="G517" s="31"/>
    </row>
    <row r="518">
      <c r="G518" s="31"/>
    </row>
    <row r="519">
      <c r="G519" s="31"/>
    </row>
    <row r="520">
      <c r="G520" s="31"/>
    </row>
    <row r="521">
      <c r="G521" s="31"/>
    </row>
    <row r="522">
      <c r="G522" s="31"/>
    </row>
    <row r="523">
      <c r="G523" s="31"/>
    </row>
    <row r="524">
      <c r="G524" s="31"/>
    </row>
    <row r="525">
      <c r="G525" s="31"/>
    </row>
    <row r="526">
      <c r="G526" s="31"/>
    </row>
    <row r="527">
      <c r="G527" s="31"/>
    </row>
    <row r="528">
      <c r="G528" s="31"/>
    </row>
    <row r="529">
      <c r="G529" s="31"/>
    </row>
    <row r="530">
      <c r="G530" s="31"/>
    </row>
    <row r="531">
      <c r="G531" s="31"/>
    </row>
    <row r="532">
      <c r="G532" s="31"/>
    </row>
    <row r="533">
      <c r="G533" s="31"/>
    </row>
    <row r="534">
      <c r="G534" s="31"/>
    </row>
    <row r="535">
      <c r="G535" s="31"/>
    </row>
    <row r="536">
      <c r="G536" s="31"/>
    </row>
    <row r="537">
      <c r="G537" s="31"/>
    </row>
    <row r="538">
      <c r="G538" s="31"/>
    </row>
    <row r="539">
      <c r="G539" s="31"/>
    </row>
    <row r="540">
      <c r="G540" s="31"/>
    </row>
    <row r="541">
      <c r="G541" s="31"/>
    </row>
    <row r="542">
      <c r="G542" s="31"/>
    </row>
    <row r="543">
      <c r="G543" s="31"/>
    </row>
    <row r="544">
      <c r="G544" s="31"/>
    </row>
    <row r="545">
      <c r="G545" s="31"/>
    </row>
    <row r="546">
      <c r="G546" s="31"/>
    </row>
    <row r="547">
      <c r="G547" s="31"/>
    </row>
    <row r="548">
      <c r="G548" s="31"/>
    </row>
    <row r="549">
      <c r="G549" s="31"/>
    </row>
    <row r="550">
      <c r="G550" s="31"/>
    </row>
    <row r="551">
      <c r="G551" s="31"/>
    </row>
    <row r="552">
      <c r="G552" s="31"/>
    </row>
    <row r="553">
      <c r="G553" s="31"/>
    </row>
    <row r="554">
      <c r="G554" s="31"/>
    </row>
    <row r="555">
      <c r="G555" s="31"/>
    </row>
    <row r="556">
      <c r="G556" s="31"/>
    </row>
    <row r="557">
      <c r="G557" s="31"/>
    </row>
    <row r="558">
      <c r="G558" s="31"/>
    </row>
    <row r="559">
      <c r="G559" s="31"/>
    </row>
    <row r="560">
      <c r="G560" s="31"/>
    </row>
    <row r="561">
      <c r="G561" s="31"/>
    </row>
    <row r="562">
      <c r="G562" s="31"/>
    </row>
    <row r="563">
      <c r="G563" s="31"/>
    </row>
    <row r="564">
      <c r="G564" s="31"/>
    </row>
    <row r="565">
      <c r="G565" s="31"/>
    </row>
    <row r="566">
      <c r="G566" s="31"/>
    </row>
    <row r="567">
      <c r="G567" s="31"/>
    </row>
    <row r="568">
      <c r="G568" s="31"/>
    </row>
    <row r="569">
      <c r="G569" s="31"/>
    </row>
    <row r="570">
      <c r="G570" s="31"/>
    </row>
    <row r="571">
      <c r="G571" s="31"/>
    </row>
    <row r="572">
      <c r="G572" s="31"/>
    </row>
    <row r="573">
      <c r="G573" s="31"/>
    </row>
    <row r="574">
      <c r="G574" s="31"/>
    </row>
    <row r="575">
      <c r="G575" s="31"/>
    </row>
    <row r="576">
      <c r="G576" s="31"/>
    </row>
    <row r="577">
      <c r="G577" s="31"/>
    </row>
    <row r="578">
      <c r="G578" s="31"/>
    </row>
    <row r="579">
      <c r="G579" s="31"/>
    </row>
    <row r="580">
      <c r="G580" s="31"/>
    </row>
    <row r="581">
      <c r="G581" s="31"/>
    </row>
    <row r="582">
      <c r="G582" s="31"/>
    </row>
    <row r="583">
      <c r="G583" s="31"/>
    </row>
    <row r="584">
      <c r="G584" s="31"/>
    </row>
    <row r="585">
      <c r="G585" s="31"/>
    </row>
    <row r="586">
      <c r="G586" s="31"/>
    </row>
    <row r="587">
      <c r="G587" s="31"/>
    </row>
    <row r="588">
      <c r="G588" s="31"/>
    </row>
    <row r="589">
      <c r="G589" s="31"/>
    </row>
    <row r="590">
      <c r="G590" s="31"/>
    </row>
    <row r="591">
      <c r="G591" s="31"/>
    </row>
    <row r="592">
      <c r="G592" s="31"/>
    </row>
    <row r="593">
      <c r="G593" s="31"/>
    </row>
    <row r="594">
      <c r="G594" s="31"/>
    </row>
    <row r="595">
      <c r="G595" s="31"/>
    </row>
    <row r="596">
      <c r="G596" s="31"/>
    </row>
    <row r="597">
      <c r="G597" s="31"/>
    </row>
    <row r="598">
      <c r="G598" s="31"/>
    </row>
    <row r="599">
      <c r="G599" s="31"/>
    </row>
    <row r="600">
      <c r="G600" s="31"/>
    </row>
    <row r="601">
      <c r="G601" s="31"/>
    </row>
    <row r="602">
      <c r="G602" s="31"/>
    </row>
    <row r="603">
      <c r="G603" s="31"/>
    </row>
    <row r="604">
      <c r="G604" s="31"/>
    </row>
    <row r="605">
      <c r="G605" s="31"/>
    </row>
    <row r="606">
      <c r="G606" s="31"/>
    </row>
    <row r="607">
      <c r="G607" s="31"/>
    </row>
    <row r="608">
      <c r="G608" s="31"/>
    </row>
    <row r="609">
      <c r="G609" s="31"/>
    </row>
    <row r="610">
      <c r="G610" s="31"/>
    </row>
    <row r="611">
      <c r="G611" s="31"/>
    </row>
    <row r="612">
      <c r="G612" s="31"/>
    </row>
    <row r="613">
      <c r="G613" s="31"/>
    </row>
    <row r="614">
      <c r="G614" s="31"/>
    </row>
    <row r="615">
      <c r="G615" s="31"/>
    </row>
    <row r="616">
      <c r="G616" s="31"/>
    </row>
    <row r="617">
      <c r="G617" s="31"/>
    </row>
    <row r="618">
      <c r="G618" s="31"/>
    </row>
    <row r="619">
      <c r="G619" s="31"/>
    </row>
    <row r="620">
      <c r="G620" s="31"/>
    </row>
    <row r="621">
      <c r="G621" s="31"/>
    </row>
    <row r="622">
      <c r="G622" s="31"/>
    </row>
    <row r="623">
      <c r="G623" s="31"/>
    </row>
    <row r="624">
      <c r="G624" s="31"/>
    </row>
    <row r="625">
      <c r="G625" s="31"/>
    </row>
    <row r="626">
      <c r="G626" s="31"/>
    </row>
    <row r="627">
      <c r="G627" s="31"/>
    </row>
    <row r="628">
      <c r="G628" s="31"/>
    </row>
    <row r="629">
      <c r="G629" s="31"/>
    </row>
    <row r="630">
      <c r="G630" s="31"/>
    </row>
    <row r="631">
      <c r="G631" s="31"/>
    </row>
    <row r="632">
      <c r="G632" s="31"/>
    </row>
    <row r="633">
      <c r="G633" s="31"/>
    </row>
    <row r="634">
      <c r="G634" s="31"/>
    </row>
    <row r="635">
      <c r="G635" s="31"/>
    </row>
    <row r="636">
      <c r="G636" s="31"/>
    </row>
    <row r="637">
      <c r="G637" s="31"/>
    </row>
    <row r="638">
      <c r="G638" s="31"/>
    </row>
    <row r="639">
      <c r="G639" s="31"/>
    </row>
    <row r="640">
      <c r="G640" s="31"/>
    </row>
    <row r="641">
      <c r="G641" s="31"/>
    </row>
    <row r="642">
      <c r="G642" s="31"/>
    </row>
    <row r="643">
      <c r="G643" s="31"/>
    </row>
    <row r="644">
      <c r="G644" s="31"/>
    </row>
    <row r="645">
      <c r="G645" s="31"/>
    </row>
    <row r="646">
      <c r="G646" s="31"/>
    </row>
    <row r="647">
      <c r="G647" s="31"/>
    </row>
    <row r="648">
      <c r="G648" s="31"/>
    </row>
    <row r="649">
      <c r="G649" s="31"/>
    </row>
    <row r="650">
      <c r="G650" s="31"/>
    </row>
    <row r="651">
      <c r="G651" s="31"/>
    </row>
    <row r="652">
      <c r="G652" s="31"/>
    </row>
    <row r="653">
      <c r="G653" s="31"/>
    </row>
    <row r="654">
      <c r="G654" s="31"/>
    </row>
    <row r="655">
      <c r="G655" s="31"/>
    </row>
    <row r="656">
      <c r="G656" s="31"/>
    </row>
    <row r="657">
      <c r="G657" s="31"/>
    </row>
    <row r="658">
      <c r="G658" s="31"/>
    </row>
    <row r="659">
      <c r="G659" s="31"/>
    </row>
    <row r="660">
      <c r="G660" s="31"/>
    </row>
    <row r="661">
      <c r="G661" s="31"/>
    </row>
    <row r="662">
      <c r="G662" s="31"/>
    </row>
    <row r="663">
      <c r="G663" s="31"/>
    </row>
    <row r="664">
      <c r="G664" s="31"/>
    </row>
    <row r="665">
      <c r="G665" s="31"/>
    </row>
    <row r="666">
      <c r="G666" s="31"/>
    </row>
    <row r="667">
      <c r="G667" s="31"/>
    </row>
    <row r="668">
      <c r="G668" s="31"/>
    </row>
    <row r="669">
      <c r="G669" s="31"/>
    </row>
    <row r="670">
      <c r="G670" s="31"/>
    </row>
    <row r="671">
      <c r="G671" s="31"/>
    </row>
    <row r="672">
      <c r="G672" s="31"/>
    </row>
    <row r="673">
      <c r="G673" s="31"/>
    </row>
    <row r="674">
      <c r="G674" s="31"/>
    </row>
    <row r="675">
      <c r="G675" s="31"/>
    </row>
    <row r="676">
      <c r="G676" s="31"/>
    </row>
    <row r="677">
      <c r="G677" s="31"/>
    </row>
    <row r="678">
      <c r="G678" s="31"/>
    </row>
    <row r="679">
      <c r="G679" s="31"/>
    </row>
    <row r="680">
      <c r="G680" s="31"/>
    </row>
    <row r="681">
      <c r="G681" s="31"/>
    </row>
    <row r="682">
      <c r="G682" s="31"/>
    </row>
    <row r="683">
      <c r="G683" s="31"/>
    </row>
    <row r="684">
      <c r="G684" s="31"/>
    </row>
    <row r="685">
      <c r="G685" s="31"/>
    </row>
    <row r="686">
      <c r="G686" s="31"/>
    </row>
    <row r="687">
      <c r="G687" s="31"/>
    </row>
    <row r="688">
      <c r="G688" s="31"/>
    </row>
    <row r="689">
      <c r="G689" s="31"/>
    </row>
    <row r="690">
      <c r="G690" s="31"/>
    </row>
    <row r="691">
      <c r="G691" s="31"/>
    </row>
    <row r="692">
      <c r="G692" s="31"/>
    </row>
    <row r="693">
      <c r="G693" s="31"/>
    </row>
    <row r="694">
      <c r="G694" s="31"/>
    </row>
    <row r="695">
      <c r="G695" s="31"/>
    </row>
    <row r="696">
      <c r="G696" s="31"/>
    </row>
    <row r="697">
      <c r="G697" s="31"/>
    </row>
    <row r="698">
      <c r="G698" s="31"/>
    </row>
    <row r="699">
      <c r="G699" s="31"/>
    </row>
    <row r="700">
      <c r="G700" s="31"/>
    </row>
    <row r="701">
      <c r="G701" s="31"/>
    </row>
    <row r="702">
      <c r="G702" s="31"/>
    </row>
    <row r="703">
      <c r="G703" s="31"/>
    </row>
    <row r="704">
      <c r="G704" s="31"/>
    </row>
    <row r="705">
      <c r="G705" s="31"/>
    </row>
    <row r="706">
      <c r="G706" s="31"/>
    </row>
    <row r="707">
      <c r="G707" s="31"/>
    </row>
    <row r="708">
      <c r="G708" s="31"/>
    </row>
    <row r="709">
      <c r="G709" s="31"/>
    </row>
    <row r="710">
      <c r="G710" s="31"/>
    </row>
    <row r="711">
      <c r="G711" s="31"/>
    </row>
    <row r="712">
      <c r="G712" s="31"/>
    </row>
    <row r="713">
      <c r="G713" s="31"/>
    </row>
    <row r="714">
      <c r="G714" s="31"/>
    </row>
    <row r="715">
      <c r="G715" s="31"/>
    </row>
    <row r="716">
      <c r="G716" s="31"/>
    </row>
    <row r="717">
      <c r="G717" s="31"/>
    </row>
    <row r="718">
      <c r="G718" s="31"/>
    </row>
    <row r="719">
      <c r="G719" s="31"/>
    </row>
    <row r="720">
      <c r="G720" s="31"/>
    </row>
    <row r="721">
      <c r="G721" s="31"/>
    </row>
    <row r="722">
      <c r="G722" s="31"/>
    </row>
    <row r="723">
      <c r="G723" s="31"/>
    </row>
    <row r="724">
      <c r="G724" s="31"/>
    </row>
    <row r="725">
      <c r="G725" s="31"/>
    </row>
    <row r="726">
      <c r="G726" s="31"/>
    </row>
    <row r="727">
      <c r="G727" s="31"/>
    </row>
    <row r="728">
      <c r="G728" s="31"/>
    </row>
    <row r="729">
      <c r="G729" s="31"/>
    </row>
    <row r="730">
      <c r="G730" s="31"/>
    </row>
    <row r="731">
      <c r="G731" s="31"/>
    </row>
    <row r="732">
      <c r="G732" s="31"/>
    </row>
    <row r="733">
      <c r="G733" s="31"/>
    </row>
    <row r="734">
      <c r="G734" s="31"/>
    </row>
    <row r="735">
      <c r="G735" s="31"/>
    </row>
    <row r="736">
      <c r="G736" s="31"/>
    </row>
    <row r="737">
      <c r="G737" s="31"/>
    </row>
    <row r="738">
      <c r="G738" s="31"/>
    </row>
    <row r="739">
      <c r="G739" s="31"/>
    </row>
    <row r="740">
      <c r="G740" s="31"/>
    </row>
    <row r="741">
      <c r="G741" s="31"/>
    </row>
    <row r="742">
      <c r="G742" s="31"/>
    </row>
    <row r="743">
      <c r="G743" s="31"/>
    </row>
    <row r="744">
      <c r="G744" s="31"/>
    </row>
    <row r="745">
      <c r="G745" s="31"/>
    </row>
    <row r="746">
      <c r="G746" s="31"/>
    </row>
    <row r="747">
      <c r="G747" s="31"/>
    </row>
    <row r="748">
      <c r="G748" s="31"/>
    </row>
    <row r="749">
      <c r="G749" s="31"/>
    </row>
    <row r="750">
      <c r="G750" s="31"/>
    </row>
    <row r="751">
      <c r="G751" s="31"/>
    </row>
    <row r="752">
      <c r="G752" s="31"/>
    </row>
    <row r="753">
      <c r="G753" s="31"/>
    </row>
    <row r="754">
      <c r="G754" s="31"/>
    </row>
    <row r="755">
      <c r="G755" s="31"/>
    </row>
    <row r="756">
      <c r="G756" s="31"/>
    </row>
    <row r="757">
      <c r="G757" s="31"/>
    </row>
    <row r="758">
      <c r="G758" s="31"/>
    </row>
    <row r="759">
      <c r="G759" s="31"/>
    </row>
    <row r="760">
      <c r="G760" s="31"/>
    </row>
    <row r="761">
      <c r="G761" s="31"/>
    </row>
    <row r="762">
      <c r="G762" s="31"/>
    </row>
    <row r="763">
      <c r="G763" s="31"/>
    </row>
    <row r="764">
      <c r="G764" s="31"/>
    </row>
    <row r="765">
      <c r="G765" s="31"/>
    </row>
    <row r="766">
      <c r="G766" s="31"/>
    </row>
    <row r="767">
      <c r="G767" s="31"/>
    </row>
    <row r="768">
      <c r="G768" s="31"/>
    </row>
    <row r="769">
      <c r="G769" s="31"/>
    </row>
    <row r="770">
      <c r="G770" s="31"/>
    </row>
    <row r="771">
      <c r="G771" s="31"/>
    </row>
    <row r="772">
      <c r="G772" s="31"/>
    </row>
    <row r="773">
      <c r="G773" s="31"/>
    </row>
    <row r="774">
      <c r="G774" s="31"/>
    </row>
    <row r="775">
      <c r="G775" s="31"/>
    </row>
    <row r="776">
      <c r="G776" s="31"/>
    </row>
    <row r="777">
      <c r="G777" s="31"/>
    </row>
    <row r="778">
      <c r="G778" s="31"/>
    </row>
    <row r="779">
      <c r="G779" s="31"/>
    </row>
    <row r="780">
      <c r="G780" s="31"/>
    </row>
    <row r="781">
      <c r="G781" s="31"/>
    </row>
    <row r="782">
      <c r="G782" s="31"/>
    </row>
    <row r="783">
      <c r="G783" s="31"/>
    </row>
    <row r="784">
      <c r="G784" s="31"/>
    </row>
    <row r="785">
      <c r="G785" s="31"/>
    </row>
    <row r="786">
      <c r="G786" s="31"/>
    </row>
    <row r="787">
      <c r="G787" s="31"/>
    </row>
    <row r="788">
      <c r="G788" s="31"/>
    </row>
    <row r="789">
      <c r="G789" s="31"/>
    </row>
    <row r="790">
      <c r="G790" s="31"/>
    </row>
    <row r="791">
      <c r="G791" s="31"/>
    </row>
    <row r="792">
      <c r="G792" s="31"/>
    </row>
    <row r="793">
      <c r="G793" s="31"/>
    </row>
    <row r="794">
      <c r="G794" s="31"/>
    </row>
    <row r="795">
      <c r="G795" s="31"/>
    </row>
    <row r="796">
      <c r="G796" s="31"/>
    </row>
    <row r="797">
      <c r="G797" s="31"/>
    </row>
    <row r="798">
      <c r="G798" s="31"/>
    </row>
    <row r="799">
      <c r="G799" s="31"/>
    </row>
    <row r="800">
      <c r="G800" s="31"/>
    </row>
    <row r="801">
      <c r="G801" s="31"/>
    </row>
    <row r="802">
      <c r="G802" s="31"/>
    </row>
    <row r="803">
      <c r="G803" s="31"/>
    </row>
    <row r="804">
      <c r="G804" s="31"/>
    </row>
    <row r="805">
      <c r="G805" s="31"/>
    </row>
    <row r="806">
      <c r="G806" s="31"/>
    </row>
    <row r="807">
      <c r="G807" s="31"/>
    </row>
    <row r="808">
      <c r="G808" s="31"/>
    </row>
    <row r="809">
      <c r="G809" s="31"/>
    </row>
    <row r="810">
      <c r="G810" s="31"/>
    </row>
    <row r="811">
      <c r="G811" s="31"/>
    </row>
    <row r="812">
      <c r="G812" s="31"/>
    </row>
    <row r="813">
      <c r="G813" s="31"/>
    </row>
    <row r="814">
      <c r="G814" s="31"/>
    </row>
    <row r="815">
      <c r="G815" s="31"/>
    </row>
    <row r="816">
      <c r="G816" s="31"/>
    </row>
    <row r="817">
      <c r="G817" s="31"/>
    </row>
    <row r="818">
      <c r="G818" s="31"/>
    </row>
    <row r="819">
      <c r="G819" s="31"/>
    </row>
    <row r="820">
      <c r="G820" s="31"/>
    </row>
    <row r="821">
      <c r="G821" s="31"/>
    </row>
    <row r="822">
      <c r="G822" s="31"/>
    </row>
    <row r="823">
      <c r="G823" s="31"/>
    </row>
    <row r="824">
      <c r="G824" s="31"/>
    </row>
    <row r="825">
      <c r="G825" s="31"/>
    </row>
    <row r="826">
      <c r="G826" s="31"/>
    </row>
    <row r="827">
      <c r="G827" s="31"/>
    </row>
    <row r="828">
      <c r="G828" s="31"/>
    </row>
    <row r="829">
      <c r="G829" s="31"/>
    </row>
    <row r="830">
      <c r="G830" s="31"/>
    </row>
    <row r="831">
      <c r="G831" s="31"/>
    </row>
    <row r="832">
      <c r="G832" s="31"/>
    </row>
    <row r="833">
      <c r="G833" s="31"/>
    </row>
    <row r="834">
      <c r="G834" s="31"/>
    </row>
    <row r="835">
      <c r="G835" s="31"/>
    </row>
    <row r="836">
      <c r="G836" s="31"/>
    </row>
    <row r="837">
      <c r="G837" s="31"/>
    </row>
    <row r="838">
      <c r="G838" s="31"/>
    </row>
    <row r="839">
      <c r="G839" s="31"/>
    </row>
    <row r="840">
      <c r="G840" s="31"/>
    </row>
    <row r="841">
      <c r="G841" s="31"/>
    </row>
    <row r="842">
      <c r="G842" s="31"/>
    </row>
    <row r="843">
      <c r="G843" s="31"/>
    </row>
    <row r="844">
      <c r="G844" s="31"/>
    </row>
    <row r="845">
      <c r="G845" s="31"/>
    </row>
    <row r="846">
      <c r="G846" s="31"/>
    </row>
    <row r="847">
      <c r="G847" s="31"/>
    </row>
    <row r="848">
      <c r="G848" s="31"/>
    </row>
    <row r="849">
      <c r="G849" s="31"/>
    </row>
    <row r="850">
      <c r="G850" s="31"/>
    </row>
    <row r="851">
      <c r="G851" s="31"/>
    </row>
    <row r="852">
      <c r="G852" s="31"/>
    </row>
    <row r="853">
      <c r="G853" s="31"/>
    </row>
    <row r="854">
      <c r="G854" s="31"/>
    </row>
    <row r="855">
      <c r="G855" s="31"/>
    </row>
    <row r="856">
      <c r="G856" s="31"/>
    </row>
    <row r="857">
      <c r="G857" s="31"/>
    </row>
    <row r="858">
      <c r="G858" s="31"/>
    </row>
    <row r="859">
      <c r="G859" s="31"/>
    </row>
    <row r="860">
      <c r="G860" s="31"/>
    </row>
    <row r="861">
      <c r="G861" s="31"/>
    </row>
    <row r="862">
      <c r="G862" s="31"/>
    </row>
    <row r="863">
      <c r="G863" s="31"/>
    </row>
    <row r="864">
      <c r="G864" s="31"/>
    </row>
    <row r="865">
      <c r="G865" s="31"/>
    </row>
    <row r="866">
      <c r="G866" s="31"/>
    </row>
    <row r="867">
      <c r="G867" s="31"/>
    </row>
    <row r="868">
      <c r="G868" s="31"/>
    </row>
    <row r="869">
      <c r="G869" s="31"/>
    </row>
    <row r="870">
      <c r="G870" s="31"/>
    </row>
    <row r="871">
      <c r="G871" s="31"/>
    </row>
    <row r="872">
      <c r="G872" s="31"/>
    </row>
    <row r="873">
      <c r="G873" s="31"/>
    </row>
    <row r="874">
      <c r="G874" s="31"/>
    </row>
    <row r="875">
      <c r="G875" s="31"/>
    </row>
    <row r="876">
      <c r="G876" s="31"/>
    </row>
    <row r="877">
      <c r="G877" s="31"/>
    </row>
    <row r="878">
      <c r="G878" s="31"/>
    </row>
    <row r="879">
      <c r="G879" s="31"/>
    </row>
    <row r="880">
      <c r="G880" s="31"/>
    </row>
    <row r="881">
      <c r="G881" s="31"/>
    </row>
    <row r="882">
      <c r="G882" s="31"/>
    </row>
    <row r="883">
      <c r="G883" s="31"/>
    </row>
    <row r="884">
      <c r="G884" s="31"/>
    </row>
    <row r="885">
      <c r="G885" s="31"/>
    </row>
    <row r="886">
      <c r="G886" s="31"/>
    </row>
    <row r="887">
      <c r="G887" s="31"/>
    </row>
    <row r="888">
      <c r="G888" s="31"/>
    </row>
    <row r="889">
      <c r="G889" s="31"/>
    </row>
    <row r="890">
      <c r="G890" s="31"/>
    </row>
    <row r="891">
      <c r="G891" s="31"/>
    </row>
    <row r="892">
      <c r="G892" s="31"/>
    </row>
    <row r="893">
      <c r="G893" s="31"/>
    </row>
    <row r="894">
      <c r="G894" s="31"/>
    </row>
    <row r="895">
      <c r="G895" s="31"/>
    </row>
    <row r="896">
      <c r="G896" s="31"/>
    </row>
    <row r="897">
      <c r="G897" s="31"/>
    </row>
    <row r="898">
      <c r="G898" s="31"/>
    </row>
    <row r="899">
      <c r="G899" s="31"/>
    </row>
    <row r="900">
      <c r="G900" s="31"/>
    </row>
    <row r="901">
      <c r="G901" s="31"/>
    </row>
    <row r="902">
      <c r="G902" s="31"/>
    </row>
    <row r="903">
      <c r="G903" s="31"/>
    </row>
    <row r="904">
      <c r="G904" s="31"/>
    </row>
    <row r="905">
      <c r="G905" s="31"/>
    </row>
    <row r="906">
      <c r="G906" s="31"/>
    </row>
    <row r="907">
      <c r="G907" s="31"/>
    </row>
    <row r="908">
      <c r="G908" s="31"/>
    </row>
    <row r="909">
      <c r="G909" s="31"/>
    </row>
    <row r="910">
      <c r="G910" s="31"/>
    </row>
    <row r="911">
      <c r="G911" s="31"/>
    </row>
    <row r="912">
      <c r="G912" s="31"/>
    </row>
    <row r="913">
      <c r="G913" s="31"/>
    </row>
    <row r="914">
      <c r="G914" s="31"/>
    </row>
    <row r="915">
      <c r="G915" s="31"/>
    </row>
    <row r="916">
      <c r="G916" s="31"/>
    </row>
    <row r="917">
      <c r="G917" s="31"/>
    </row>
    <row r="918">
      <c r="G918" s="31"/>
    </row>
    <row r="919">
      <c r="G919" s="31"/>
    </row>
    <row r="920">
      <c r="G920" s="31"/>
    </row>
    <row r="921">
      <c r="G921" s="31"/>
    </row>
    <row r="922">
      <c r="G922" s="31"/>
    </row>
    <row r="923">
      <c r="G923" s="31"/>
    </row>
    <row r="924">
      <c r="G924" s="31"/>
    </row>
    <row r="925">
      <c r="G925" s="31"/>
    </row>
    <row r="926">
      <c r="G926" s="31"/>
    </row>
    <row r="927">
      <c r="G927" s="31"/>
    </row>
    <row r="928">
      <c r="G928" s="31"/>
    </row>
    <row r="929">
      <c r="G929" s="31"/>
    </row>
    <row r="930">
      <c r="G930" s="31"/>
    </row>
    <row r="931">
      <c r="G931" s="31"/>
    </row>
    <row r="932">
      <c r="G932" s="31"/>
    </row>
    <row r="933">
      <c r="G933" s="31"/>
    </row>
    <row r="934">
      <c r="G934" s="31"/>
    </row>
    <row r="935">
      <c r="G935" s="31"/>
    </row>
    <row r="936">
      <c r="G936" s="31"/>
    </row>
    <row r="937">
      <c r="G937" s="31"/>
    </row>
    <row r="938">
      <c r="G938" s="31"/>
    </row>
    <row r="939">
      <c r="G939" s="31"/>
    </row>
    <row r="940">
      <c r="G940" s="31"/>
    </row>
    <row r="941">
      <c r="G941" s="31"/>
    </row>
    <row r="942">
      <c r="G942" s="31"/>
    </row>
    <row r="943">
      <c r="G943" s="31"/>
    </row>
    <row r="944">
      <c r="G944" s="31"/>
    </row>
    <row r="945">
      <c r="G945" s="31"/>
    </row>
    <row r="946">
      <c r="G946" s="31"/>
    </row>
    <row r="947">
      <c r="G947" s="31"/>
    </row>
    <row r="948">
      <c r="G948" s="31"/>
    </row>
    <row r="949">
      <c r="G949" s="31"/>
    </row>
    <row r="950">
      <c r="G950" s="31"/>
    </row>
    <row r="951">
      <c r="G951" s="31"/>
    </row>
    <row r="952">
      <c r="G952" s="31"/>
    </row>
    <row r="953">
      <c r="G953" s="31"/>
    </row>
    <row r="954">
      <c r="G954" s="31"/>
    </row>
    <row r="955">
      <c r="G955" s="31"/>
    </row>
    <row r="956">
      <c r="G956" s="31"/>
    </row>
    <row r="957">
      <c r="G957" s="31"/>
    </row>
    <row r="958">
      <c r="G958" s="31"/>
    </row>
    <row r="959">
      <c r="G959" s="31"/>
    </row>
    <row r="960">
      <c r="G960" s="31"/>
    </row>
    <row r="961">
      <c r="G961" s="31"/>
    </row>
    <row r="962">
      <c r="G962" s="31"/>
    </row>
    <row r="963">
      <c r="G963" s="31"/>
    </row>
    <row r="964">
      <c r="G964" s="31"/>
    </row>
    <row r="965">
      <c r="G965" s="31"/>
    </row>
    <row r="966">
      <c r="G966" s="31"/>
    </row>
    <row r="967">
      <c r="G967" s="31"/>
    </row>
    <row r="968">
      <c r="G968" s="31"/>
    </row>
    <row r="969">
      <c r="G969" s="31"/>
    </row>
    <row r="970">
      <c r="G970" s="31"/>
    </row>
    <row r="971">
      <c r="G971" s="31"/>
    </row>
    <row r="972">
      <c r="G972" s="31"/>
    </row>
    <row r="973">
      <c r="G973" s="31"/>
    </row>
    <row r="974">
      <c r="G974" s="31"/>
    </row>
    <row r="975">
      <c r="G975" s="31"/>
    </row>
    <row r="976">
      <c r="G976" s="31"/>
    </row>
    <row r="977">
      <c r="G977" s="31"/>
    </row>
    <row r="978">
      <c r="G978" s="31"/>
    </row>
    <row r="979">
      <c r="G979" s="31"/>
    </row>
    <row r="980">
      <c r="G980" s="31"/>
    </row>
    <row r="981">
      <c r="G981" s="31"/>
    </row>
    <row r="982">
      <c r="G982" s="31"/>
    </row>
    <row r="983">
      <c r="G983" s="31"/>
    </row>
    <row r="984">
      <c r="G984" s="31"/>
    </row>
    <row r="985">
      <c r="G985" s="31"/>
    </row>
    <row r="986">
      <c r="G986" s="31"/>
    </row>
    <row r="987">
      <c r="G987" s="31"/>
    </row>
    <row r="988">
      <c r="G988" s="31"/>
    </row>
    <row r="989">
      <c r="G989" s="31"/>
    </row>
    <row r="990">
      <c r="G990" s="31"/>
    </row>
    <row r="991">
      <c r="G991" s="31"/>
    </row>
    <row r="992">
      <c r="G992" s="31"/>
    </row>
  </sheetData>
  <mergeCells count="5">
    <mergeCell ref="A1:A2"/>
    <mergeCell ref="B1:B2"/>
    <mergeCell ref="C1:C2"/>
    <mergeCell ref="D1:D2"/>
    <mergeCell ref="E1:E2"/>
  </mergeCells>
  <conditionalFormatting sqref="F3:AW31">
    <cfRule type="cellIs" dxfId="3" priority="1" operator="equal">
      <formula>1</formula>
    </cfRule>
  </conditionalFormatting>
  <conditionalFormatting sqref="F3:AW31">
    <cfRule type="cellIs" dxfId="4" priority="2" operator="equal">
      <formula>"R"</formula>
    </cfRule>
  </conditionalFormatting>
  <conditionalFormatting sqref="B3:C31">
    <cfRule type="cellIs" dxfId="5" priority="3" operator="greaterThanOrEqual">
      <formula>3</formula>
    </cfRule>
  </conditionalFormatting>
  <conditionalFormatting sqref="B3:B31">
    <cfRule type="cellIs" dxfId="6" priority="4" operator="lessThan">
      <formula>1</formula>
    </cfRule>
  </conditionalFormatting>
  <conditionalFormatting sqref="B3:B32 C3:C34">
    <cfRule type="cellIs" dxfId="7" priority="5" operator="equal">
      <formula>0</formula>
    </cfRule>
  </conditionalFormatting>
  <conditionalFormatting sqref="B3:C31">
    <cfRule type="cellIs" dxfId="8" priority="6" operator="lessThan">
      <formula>2</formula>
    </cfRule>
  </conditionalFormatting>
  <conditionalFormatting sqref="B3:C31">
    <cfRule type="cellIs" dxfId="9" priority="7" operator="lessThan">
      <formula>3</formula>
    </cfRule>
  </conditionalFormatting>
  <conditionalFormatting sqref="B3:B32 C3:C34">
    <cfRule type="containsBlanks" dxfId="6" priority="8">
      <formula>LEN(TRIM(B3))=0</formula>
    </cfRule>
  </conditionalFormatting>
  <conditionalFormatting sqref="F3:AW31">
    <cfRule type="cellIs" dxfId="10" priority="9" operator="equal">
      <formula>"R2"</formula>
    </cfRule>
  </conditionalFormatting>
  <conditionalFormatting sqref="F32:AW32">
    <cfRule type="cellIs" dxfId="7" priority="10" operator="lessThan">
      <formula>1</formula>
    </cfRule>
  </conditionalFormatting>
  <conditionalFormatting sqref="F32:AW32">
    <cfRule type="cellIs" dxfId="3" priority="11" operator="equal">
      <formula>1</formula>
    </cfRule>
  </conditionalFormatting>
  <conditionalFormatting sqref="F32:AW32">
    <cfRule type="cellIs" dxfId="11" priority="12" operator="greaterThan">
      <formula>1</formula>
    </cfRule>
  </conditionalFormatting>
  <conditionalFormatting sqref="D3:E32">
    <cfRule type="cellIs" dxfId="9" priority="13" operator="equal">
      <formula>1</formula>
    </cfRule>
  </conditionalFormatting>
  <conditionalFormatting sqref="F33:AW34">
    <cfRule type="cellIs" dxfId="7" priority="14" operator="lessThan">
      <formula>1</formula>
    </cfRule>
  </conditionalFormatting>
  <conditionalFormatting sqref="F33:AW34">
    <cfRule type="cellIs" dxfId="12" priority="15" operator="equal">
      <formula>1</formula>
    </cfRule>
  </conditionalFormatting>
  <conditionalFormatting sqref="F33:AW34">
    <cfRule type="cellIs" dxfId="11" priority="16" operator="greaterThan">
      <formula>1</formula>
    </cfRule>
  </conditionalFormatting>
  <conditionalFormatting sqref="D3:D31">
    <cfRule type="cellIs" dxfId="7" priority="17" operator="equal">
      <formula>0</formula>
    </cfRule>
  </conditionalFormatting>
  <conditionalFormatting sqref="D3:D31">
    <cfRule type="cellIs" dxfId="4" priority="18" operator="equal">
      <formula>2</formula>
    </cfRule>
  </conditionalFormatting>
  <conditionalFormatting sqref="E3:E31">
    <cfRule type="cellIs" dxfId="7" priority="19" operator="equal">
      <formula>0</formula>
    </cfRule>
  </conditionalFormatting>
  <conditionalFormatting sqref="E3:E31">
    <cfRule type="cellIs" dxfId="4" priority="20" operator="greaterThanOrEqual">
      <formula>2</formula>
    </cfRule>
  </conditionalFormatting>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14.63"/>
    <col customWidth="1" hidden="1" min="2" max="2" width="11.38"/>
    <col customWidth="1" min="4" max="4" width="14.13"/>
    <col customWidth="1" min="6" max="8" width="8.63"/>
    <col customWidth="1" min="9" max="9" width="8.38"/>
    <col customWidth="1" min="10" max="10" width="8.25"/>
    <col customWidth="1" min="11" max="43" width="8.63"/>
    <col customWidth="1" min="44" max="44" width="9.5"/>
  </cols>
  <sheetData>
    <row r="1">
      <c r="A1" s="1" t="s">
        <v>0</v>
      </c>
      <c r="B1" s="1" t="s">
        <v>1</v>
      </c>
      <c r="C1" s="1" t="s">
        <v>2</v>
      </c>
      <c r="D1" s="1" t="s">
        <v>3</v>
      </c>
      <c r="E1" s="1" t="s">
        <v>4</v>
      </c>
      <c r="F1" s="2" t="s">
        <v>9</v>
      </c>
      <c r="G1" s="2" t="s">
        <v>10</v>
      </c>
      <c r="H1" s="3" t="s">
        <v>11</v>
      </c>
      <c r="I1" s="4" t="s">
        <v>12</v>
      </c>
      <c r="J1" s="2" t="s">
        <v>13</v>
      </c>
      <c r="K1" s="2" t="s">
        <v>5</v>
      </c>
      <c r="L1" s="2" t="s">
        <v>6</v>
      </c>
      <c r="M1" s="3" t="s">
        <v>7</v>
      </c>
      <c r="N1" s="4" t="s">
        <v>8</v>
      </c>
      <c r="O1" s="2" t="s">
        <v>9</v>
      </c>
      <c r="P1" s="2" t="s">
        <v>10</v>
      </c>
      <c r="Q1" s="3" t="s">
        <v>11</v>
      </c>
      <c r="R1" s="4" t="s">
        <v>12</v>
      </c>
      <c r="S1" s="2" t="s">
        <v>13</v>
      </c>
      <c r="T1" s="2" t="s">
        <v>5</v>
      </c>
      <c r="U1" s="2" t="s">
        <v>6</v>
      </c>
      <c r="V1" s="3" t="s">
        <v>7</v>
      </c>
      <c r="W1" s="4" t="s">
        <v>8</v>
      </c>
      <c r="X1" s="2" t="s">
        <v>9</v>
      </c>
      <c r="Y1" s="2" t="s">
        <v>10</v>
      </c>
      <c r="Z1" s="3" t="s">
        <v>11</v>
      </c>
      <c r="AA1" s="4" t="s">
        <v>12</v>
      </c>
      <c r="AB1" s="2" t="s">
        <v>13</v>
      </c>
      <c r="AC1" s="2" t="s">
        <v>5</v>
      </c>
      <c r="AD1" s="2" t="s">
        <v>6</v>
      </c>
      <c r="AE1" s="3" t="s">
        <v>7</v>
      </c>
      <c r="AF1" s="4" t="s">
        <v>8</v>
      </c>
      <c r="AG1" s="2" t="s">
        <v>9</v>
      </c>
      <c r="AH1" s="2" t="s">
        <v>10</v>
      </c>
      <c r="AI1" s="3" t="s">
        <v>11</v>
      </c>
      <c r="AJ1" s="4" t="s">
        <v>12</v>
      </c>
      <c r="AK1" s="2" t="s">
        <v>13</v>
      </c>
      <c r="AL1" s="2" t="s">
        <v>5</v>
      </c>
      <c r="AM1" s="2" t="s">
        <v>6</v>
      </c>
      <c r="AN1" s="3" t="s">
        <v>7</v>
      </c>
      <c r="AO1" s="4" t="s">
        <v>8</v>
      </c>
      <c r="AP1" s="2" t="s">
        <v>9</v>
      </c>
      <c r="AQ1" s="2" t="s">
        <v>10</v>
      </c>
      <c r="AR1" s="3" t="s">
        <v>11</v>
      </c>
    </row>
    <row r="2">
      <c r="F2" s="6">
        <v>45474.0</v>
      </c>
      <c r="G2" s="6">
        <v>45475.0</v>
      </c>
      <c r="H2" s="6">
        <v>45476.0</v>
      </c>
      <c r="I2" s="6">
        <v>45477.0</v>
      </c>
      <c r="J2" s="6">
        <v>45478.0</v>
      </c>
      <c r="K2" s="5" t="s">
        <v>73</v>
      </c>
      <c r="L2" s="5" t="s">
        <v>74</v>
      </c>
      <c r="M2" s="5" t="s">
        <v>75</v>
      </c>
      <c r="N2" s="5" t="s">
        <v>76</v>
      </c>
      <c r="O2" s="6">
        <v>45481.0</v>
      </c>
      <c r="P2" s="6">
        <v>45482.0</v>
      </c>
      <c r="Q2" s="6">
        <v>45483.0</v>
      </c>
      <c r="R2" s="6">
        <v>45484.0</v>
      </c>
      <c r="S2" s="6">
        <v>45485.0</v>
      </c>
      <c r="T2" s="5" t="s">
        <v>77</v>
      </c>
      <c r="U2" s="5" t="s">
        <v>78</v>
      </c>
      <c r="V2" s="5" t="s">
        <v>79</v>
      </c>
      <c r="W2" s="5" t="s">
        <v>80</v>
      </c>
      <c r="X2" s="6">
        <v>45488.0</v>
      </c>
      <c r="Y2" s="6">
        <v>45489.0</v>
      </c>
      <c r="Z2" s="6">
        <v>45490.0</v>
      </c>
      <c r="AA2" s="6">
        <v>45491.0</v>
      </c>
      <c r="AB2" s="6">
        <v>45492.0</v>
      </c>
      <c r="AC2" s="5" t="s">
        <v>81</v>
      </c>
      <c r="AD2" s="5" t="s">
        <v>82</v>
      </c>
      <c r="AE2" s="5" t="s">
        <v>83</v>
      </c>
      <c r="AF2" s="5" t="s">
        <v>84</v>
      </c>
      <c r="AG2" s="6">
        <v>45495.0</v>
      </c>
      <c r="AH2" s="6">
        <v>45496.0</v>
      </c>
      <c r="AI2" s="6">
        <v>45497.0</v>
      </c>
      <c r="AJ2" s="6">
        <v>45498.0</v>
      </c>
      <c r="AK2" s="6">
        <v>45499.0</v>
      </c>
      <c r="AL2" s="5" t="s">
        <v>85</v>
      </c>
      <c r="AM2" s="5" t="s">
        <v>86</v>
      </c>
      <c r="AN2" s="5" t="s">
        <v>87</v>
      </c>
      <c r="AO2" s="5" t="s">
        <v>88</v>
      </c>
      <c r="AP2" s="6">
        <v>45502.0</v>
      </c>
      <c r="AQ2" s="6">
        <v>45503.0</v>
      </c>
      <c r="AR2" s="6">
        <v>45504.0</v>
      </c>
    </row>
    <row r="3">
      <c r="A3" s="9" t="s">
        <v>38</v>
      </c>
      <c r="B3" s="10">
        <f t="shared" ref="B3:B7" si="1">SUM(C3:D3)</f>
        <v>3</v>
      </c>
      <c r="C3" s="10">
        <f t="shared" ref="C3:C35" si="2">SUM(F3:AR3)</f>
        <v>2</v>
      </c>
      <c r="D3" s="11">
        <f t="array" ref="D3">SUM(IF(F3:AR3="R",1,0))</f>
        <v>1</v>
      </c>
      <c r="E3" s="11">
        <f t="array" ref="E3">SUM(IF(F3:AR3="R2",1,0))</f>
        <v>2</v>
      </c>
      <c r="F3" s="12"/>
      <c r="G3" s="13"/>
      <c r="H3" s="12"/>
      <c r="J3" s="12" t="s">
        <v>40</v>
      </c>
      <c r="K3" s="13"/>
      <c r="L3" s="13"/>
      <c r="M3" s="12">
        <v>1.0</v>
      </c>
      <c r="N3" s="12"/>
      <c r="O3" s="12"/>
      <c r="P3" s="12" t="s">
        <v>40</v>
      </c>
      <c r="Q3" s="12"/>
      <c r="R3" s="12"/>
      <c r="S3" s="12"/>
      <c r="T3" s="12"/>
      <c r="U3" s="12"/>
      <c r="V3" s="13"/>
      <c r="W3" s="13"/>
      <c r="X3" s="13"/>
      <c r="Y3" s="12"/>
      <c r="Z3" s="13"/>
      <c r="AA3" s="13"/>
      <c r="AB3" s="13"/>
      <c r="AC3" s="13"/>
      <c r="AD3" s="12"/>
      <c r="AE3" s="12"/>
      <c r="AF3" s="12"/>
      <c r="AG3" s="13"/>
      <c r="AH3" s="13"/>
      <c r="AI3" s="13"/>
      <c r="AJ3" s="13"/>
      <c r="AL3" s="13"/>
      <c r="AM3" s="12">
        <v>1.0</v>
      </c>
      <c r="AN3" s="13"/>
      <c r="AO3" s="13"/>
      <c r="AP3" s="13"/>
      <c r="AQ3" s="13"/>
      <c r="AR3" s="12" t="s">
        <v>39</v>
      </c>
    </row>
    <row r="4">
      <c r="A4" s="14" t="s">
        <v>41</v>
      </c>
      <c r="B4" s="10">
        <f t="shared" si="1"/>
        <v>3</v>
      </c>
      <c r="C4" s="10">
        <f t="shared" si="2"/>
        <v>2</v>
      </c>
      <c r="D4" s="11">
        <f t="array" ref="D4">SUM(IF(F4:AR4="R",1,0))</f>
        <v>1</v>
      </c>
      <c r="E4" s="11">
        <f t="array" ref="E4">SUM(IF(F4:AR4="R2",1,0))</f>
        <v>2</v>
      </c>
      <c r="F4" s="32"/>
      <c r="G4" s="16"/>
      <c r="H4" s="16"/>
      <c r="I4" s="16"/>
      <c r="J4" s="16"/>
      <c r="K4" s="17" t="s">
        <v>39</v>
      </c>
      <c r="L4" s="17">
        <v>1.0</v>
      </c>
      <c r="T4" s="17">
        <v>1.0</v>
      </c>
      <c r="X4" s="16"/>
      <c r="Y4" s="16"/>
      <c r="AB4" s="16"/>
      <c r="AC4" s="17" t="s">
        <v>40</v>
      </c>
      <c r="AF4" s="17" t="s">
        <v>40</v>
      </c>
      <c r="AG4" s="16"/>
      <c r="AH4" s="16"/>
      <c r="AI4" s="16"/>
      <c r="AJ4" s="16"/>
      <c r="AK4" s="16"/>
      <c r="AL4" s="16"/>
      <c r="AM4" s="16"/>
      <c r="AN4" s="16"/>
      <c r="AO4" s="16"/>
      <c r="AP4" s="16"/>
      <c r="AQ4" s="16"/>
      <c r="AR4" s="16"/>
    </row>
    <row r="5">
      <c r="A5" s="14" t="s">
        <v>42</v>
      </c>
      <c r="B5" s="10">
        <f t="shared" si="1"/>
        <v>4</v>
      </c>
      <c r="C5" s="10">
        <f t="shared" si="2"/>
        <v>2</v>
      </c>
      <c r="D5" s="11">
        <f t="array" ref="D5">SUM(IF(F5:AR5="R",1,0))</f>
        <v>2</v>
      </c>
      <c r="E5" s="11">
        <f t="array" ref="E5">SUM(IF(F5:AR5="R2",1,0))</f>
        <v>2</v>
      </c>
      <c r="F5" s="33"/>
      <c r="H5" s="17">
        <v>1.0</v>
      </c>
      <c r="I5" s="17" t="s">
        <v>39</v>
      </c>
      <c r="T5" s="17" t="s">
        <v>39</v>
      </c>
      <c r="V5" s="17" t="s">
        <v>40</v>
      </c>
      <c r="AD5" s="17" t="s">
        <v>40</v>
      </c>
      <c r="AI5" s="17">
        <v>1.0</v>
      </c>
    </row>
    <row r="6">
      <c r="A6" s="14" t="s">
        <v>43</v>
      </c>
      <c r="B6" s="10">
        <f t="shared" si="1"/>
        <v>3</v>
      </c>
      <c r="C6" s="10">
        <f t="shared" si="2"/>
        <v>2</v>
      </c>
      <c r="D6" s="11">
        <f t="array" ref="D6">SUM(IF(F6:AR6="R",1,0))</f>
        <v>1</v>
      </c>
      <c r="E6" s="11">
        <f t="array" ref="E6">SUM(IF(F6:AR6="R2",1,0))</f>
        <v>2</v>
      </c>
      <c r="F6" s="33"/>
      <c r="G6" s="16"/>
      <c r="H6" s="16"/>
      <c r="I6" s="16"/>
      <c r="J6" s="16"/>
      <c r="L6" s="17" t="s">
        <v>40</v>
      </c>
      <c r="T6" s="17" t="s">
        <v>40</v>
      </c>
      <c r="AB6" s="16"/>
      <c r="AD6" s="17">
        <v>1.0</v>
      </c>
      <c r="AJ6" s="16"/>
      <c r="AO6" s="17">
        <v>1.0</v>
      </c>
      <c r="AQ6" s="17" t="s">
        <v>39</v>
      </c>
    </row>
    <row r="7">
      <c r="A7" s="14" t="s">
        <v>44</v>
      </c>
      <c r="B7" s="10">
        <f t="shared" si="1"/>
        <v>4</v>
      </c>
      <c r="C7" s="10">
        <f t="shared" si="2"/>
        <v>2</v>
      </c>
      <c r="D7" s="11">
        <f t="array" ref="D7">SUM(IF(F7:AR7="R",1,0))</f>
        <v>2</v>
      </c>
      <c r="E7" s="11">
        <f t="array" ref="E7">SUM(IF(F7:AR7="R2",1,0))</f>
        <v>1</v>
      </c>
      <c r="F7" s="16"/>
      <c r="G7" s="16"/>
      <c r="H7" s="16"/>
      <c r="I7" s="16"/>
      <c r="J7" s="16"/>
      <c r="K7" s="16"/>
      <c r="L7" s="16"/>
      <c r="M7" s="16"/>
      <c r="N7" s="16"/>
      <c r="O7" s="16"/>
      <c r="P7" s="16"/>
      <c r="Q7" s="16"/>
      <c r="R7" s="16"/>
      <c r="Y7" s="17" t="s">
        <v>39</v>
      </c>
      <c r="AB7" s="16"/>
      <c r="AC7" s="17">
        <v>1.0</v>
      </c>
      <c r="AI7" s="17" t="s">
        <v>40</v>
      </c>
      <c r="AL7" s="17" t="s">
        <v>39</v>
      </c>
      <c r="AQ7" s="17">
        <v>1.0</v>
      </c>
    </row>
    <row r="8">
      <c r="A8" s="26" t="s">
        <v>89</v>
      </c>
      <c r="B8" s="10"/>
      <c r="C8" s="10">
        <f t="shared" si="2"/>
        <v>1</v>
      </c>
      <c r="D8" s="11">
        <f t="array" ref="D8">SUM(IF(F8:AR8="R",1,0))</f>
        <v>1</v>
      </c>
      <c r="E8" s="11">
        <f t="array" ref="E8">SUM(IF(F8:AR8="R2",1,0))</f>
        <v>1</v>
      </c>
      <c r="AB8" s="16"/>
      <c r="AC8" s="17" t="s">
        <v>39</v>
      </c>
      <c r="AD8" s="17"/>
      <c r="AE8" s="17" t="s">
        <v>40</v>
      </c>
      <c r="AN8" s="17">
        <v>1.0</v>
      </c>
    </row>
    <row r="9">
      <c r="A9" s="20" t="s">
        <v>45</v>
      </c>
      <c r="B9" s="10">
        <f t="shared" ref="B9:B17" si="3">SUM(C9:D9)</f>
        <v>4</v>
      </c>
      <c r="C9" s="10">
        <f t="shared" si="2"/>
        <v>2</v>
      </c>
      <c r="D9" s="11">
        <f t="array" ref="D9">SUM(IF(F9:AR9="R",1,0))</f>
        <v>2</v>
      </c>
      <c r="E9" s="11">
        <f t="array" ref="E9">SUM(IF(F9:AR9="R2",1,0))</f>
        <v>2</v>
      </c>
      <c r="G9" s="16"/>
      <c r="H9" s="16"/>
      <c r="I9" s="16"/>
      <c r="J9" s="16"/>
      <c r="L9" s="17" t="s">
        <v>39</v>
      </c>
      <c r="O9" s="16"/>
      <c r="P9" s="16"/>
      <c r="R9" s="17" t="s">
        <v>40</v>
      </c>
      <c r="W9" s="17">
        <v>1.0</v>
      </c>
      <c r="Z9" s="17" t="s">
        <v>39</v>
      </c>
      <c r="AH9" s="17">
        <v>1.0</v>
      </c>
      <c r="AJ9" s="17" t="s">
        <v>40</v>
      </c>
    </row>
    <row r="10">
      <c r="A10" s="20" t="s">
        <v>46</v>
      </c>
      <c r="B10" s="10">
        <f t="shared" si="3"/>
        <v>3</v>
      </c>
      <c r="C10" s="10">
        <f t="shared" si="2"/>
        <v>2</v>
      </c>
      <c r="D10" s="11">
        <f t="array" ref="D10">SUM(IF(F10:AR10="R",1,0))</f>
        <v>1</v>
      </c>
      <c r="E10" s="11">
        <f t="array" ref="E10">SUM(IF(F10:AR10="R2",1,0))</f>
        <v>2</v>
      </c>
      <c r="G10" s="17" t="s">
        <v>40</v>
      </c>
      <c r="I10" s="12"/>
      <c r="J10" s="12"/>
      <c r="K10" s="12"/>
      <c r="L10" s="12"/>
      <c r="M10" s="17"/>
      <c r="N10" s="17">
        <v>1.0</v>
      </c>
      <c r="O10" s="17"/>
      <c r="Q10" s="12"/>
      <c r="R10" s="12"/>
      <c r="S10" s="17"/>
      <c r="T10" s="17"/>
      <c r="U10" s="12" t="s">
        <v>40</v>
      </c>
      <c r="V10" s="12"/>
      <c r="W10" s="12" t="s">
        <v>39</v>
      </c>
      <c r="X10" s="12"/>
      <c r="Y10" s="12"/>
      <c r="Z10" s="12"/>
      <c r="AA10" s="12"/>
      <c r="AB10" s="12"/>
      <c r="AC10" s="12"/>
      <c r="AD10" s="12"/>
      <c r="AE10" s="12"/>
      <c r="AF10" s="12"/>
      <c r="AG10" s="12"/>
      <c r="AH10" s="12"/>
      <c r="AK10" s="12">
        <v>1.0</v>
      </c>
      <c r="AL10" s="12"/>
      <c r="AM10" s="12"/>
      <c r="AN10" s="12"/>
      <c r="AO10" s="12"/>
      <c r="AP10" s="12"/>
      <c r="AQ10" s="12"/>
      <c r="AR10" s="12"/>
    </row>
    <row r="11" hidden="1">
      <c r="A11" s="20" t="s">
        <v>47</v>
      </c>
      <c r="B11" s="10">
        <f t="shared" si="3"/>
        <v>0</v>
      </c>
      <c r="C11" s="10">
        <f t="shared" si="2"/>
        <v>0</v>
      </c>
      <c r="D11" s="11">
        <f t="array" ref="D11">SUM(IF(F11:AR11="R",1,0))</f>
        <v>0</v>
      </c>
      <c r="E11" s="11">
        <f t="array" ref="E11">SUM(IF(F11:AR11="R2",1,0))</f>
        <v>0</v>
      </c>
      <c r="G11" s="16"/>
      <c r="H11" s="16"/>
      <c r="I11" s="16"/>
    </row>
    <row r="12">
      <c r="A12" s="22" t="s">
        <v>50</v>
      </c>
      <c r="B12" s="10">
        <f t="shared" si="3"/>
        <v>4</v>
      </c>
      <c r="C12" s="10">
        <f t="shared" si="2"/>
        <v>2</v>
      </c>
      <c r="D12" s="11">
        <f t="array" ref="D12">SUM(IF(F12:AR12="R",1,0))</f>
        <v>2</v>
      </c>
      <c r="E12" s="11">
        <f t="array" ref="E12">SUM(IF(F12:AR12="R2",1,0))</f>
        <v>2</v>
      </c>
      <c r="G12" s="16"/>
      <c r="H12" s="16"/>
      <c r="I12" s="16"/>
      <c r="J12" s="16"/>
      <c r="S12" s="17">
        <v>1.0</v>
      </c>
      <c r="Y12" s="17" t="s">
        <v>40</v>
      </c>
      <c r="AA12" s="17" t="s">
        <v>39</v>
      </c>
      <c r="AB12" s="17">
        <v>1.0</v>
      </c>
      <c r="AF12" s="17" t="s">
        <v>39</v>
      </c>
      <c r="AK12" s="16"/>
      <c r="AP12" s="16"/>
      <c r="AQ12" s="21" t="s">
        <v>40</v>
      </c>
      <c r="AR12" s="16"/>
    </row>
    <row r="13" hidden="1">
      <c r="A13" s="22"/>
      <c r="B13" s="10">
        <f t="shared" si="3"/>
        <v>0</v>
      </c>
      <c r="C13" s="10">
        <f t="shared" si="2"/>
        <v>0</v>
      </c>
      <c r="D13" s="11">
        <f t="array" ref="D13">SUM(IF(F13:AR13="R",1,0))</f>
        <v>0</v>
      </c>
      <c r="E13" s="11">
        <f t="array" ref="E13">SUM(IF(F13:AR13="R2",1,0))</f>
        <v>0</v>
      </c>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row>
    <row r="14">
      <c r="A14" s="22" t="s">
        <v>51</v>
      </c>
      <c r="B14" s="10">
        <f t="shared" si="3"/>
        <v>3</v>
      </c>
      <c r="C14" s="10">
        <f t="shared" si="2"/>
        <v>1</v>
      </c>
      <c r="D14" s="11">
        <f t="array" ref="D14">SUM(IF(F14:AR14="R",1,0))</f>
        <v>2</v>
      </c>
      <c r="E14" s="11">
        <f t="array" ref="E14">SUM(IF(F14:AR14="R2",1,0))</f>
        <v>2</v>
      </c>
      <c r="F14" s="16"/>
      <c r="G14" s="16"/>
      <c r="H14" s="16"/>
      <c r="I14" s="16"/>
      <c r="J14" s="16"/>
      <c r="O14" s="17"/>
      <c r="S14" s="17" t="s">
        <v>39</v>
      </c>
      <c r="Y14" s="17">
        <v>1.0</v>
      </c>
      <c r="AA14" s="17" t="s">
        <v>40</v>
      </c>
      <c r="AJ14" s="17" t="s">
        <v>39</v>
      </c>
      <c r="AP14" s="17" t="s">
        <v>40</v>
      </c>
    </row>
    <row r="15">
      <c r="A15" s="26" t="s">
        <v>55</v>
      </c>
      <c r="B15" s="10">
        <f t="shared" si="3"/>
        <v>2</v>
      </c>
      <c r="C15" s="10">
        <f t="shared" si="2"/>
        <v>1</v>
      </c>
      <c r="D15" s="11">
        <f t="array" ref="D15">SUM(IF(F15:AR15="R",1,0))</f>
        <v>1</v>
      </c>
      <c r="E15" s="11">
        <f t="array" ref="E15">SUM(IF(F15:AR15="R2",1,0))</f>
        <v>1</v>
      </c>
      <c r="I15" s="13"/>
      <c r="J15" s="12"/>
      <c r="K15" s="21"/>
      <c r="L15" s="21"/>
      <c r="M15" s="16"/>
      <c r="N15" s="16"/>
      <c r="O15" s="21"/>
      <c r="P15" s="16"/>
      <c r="Q15" s="21"/>
      <c r="R15" s="16"/>
      <c r="S15" s="21"/>
      <c r="T15" s="21"/>
      <c r="U15" s="21"/>
      <c r="V15" s="21"/>
      <c r="W15" s="21"/>
      <c r="X15" s="21"/>
      <c r="Y15" s="16"/>
      <c r="Z15" s="21"/>
      <c r="AA15" s="13"/>
      <c r="AB15" s="13"/>
      <c r="AC15" s="12"/>
      <c r="AD15" s="16"/>
      <c r="AE15" s="12" t="s">
        <v>39</v>
      </c>
      <c r="AF15" s="16"/>
      <c r="AH15" s="12"/>
      <c r="AI15" s="13"/>
      <c r="AJ15" s="12"/>
      <c r="AK15" s="13"/>
      <c r="AL15" s="12">
        <v>1.0</v>
      </c>
      <c r="AM15" s="16"/>
      <c r="AN15" s="12" t="s">
        <v>40</v>
      </c>
      <c r="AO15" s="21"/>
      <c r="AP15" s="13"/>
      <c r="AQ15" s="13"/>
      <c r="AR15" s="13"/>
    </row>
    <row r="16">
      <c r="A16" s="23" t="s">
        <v>52</v>
      </c>
      <c r="B16" s="10">
        <f t="shared" si="3"/>
        <v>4</v>
      </c>
      <c r="C16" s="10">
        <f t="shared" si="2"/>
        <v>2</v>
      </c>
      <c r="D16" s="11">
        <f t="array" ref="D16">SUM(IF(F16:AR16="R",1,0))</f>
        <v>2</v>
      </c>
      <c r="E16" s="11">
        <f t="array" ref="E16">SUM(IF(F16:AR16="R2",1,0))</f>
        <v>1</v>
      </c>
      <c r="G16" s="16"/>
      <c r="H16" s="16"/>
      <c r="I16" s="16"/>
      <c r="O16" s="17" t="s">
        <v>39</v>
      </c>
      <c r="P16" s="17">
        <v>1.0</v>
      </c>
      <c r="S16" s="17" t="s">
        <v>40</v>
      </c>
      <c r="Z16" s="16"/>
      <c r="AA16" s="17">
        <v>1.0</v>
      </c>
      <c r="AH16" s="17" t="s">
        <v>39</v>
      </c>
    </row>
    <row r="17">
      <c r="A17" s="24" t="s">
        <v>53</v>
      </c>
      <c r="B17" s="10">
        <f t="shared" si="3"/>
        <v>4</v>
      </c>
      <c r="C17" s="10">
        <f t="shared" si="2"/>
        <v>2</v>
      </c>
      <c r="D17" s="11">
        <f t="array" ref="D17">SUM(IF(F17:AR17="R",1,0))</f>
        <v>2</v>
      </c>
      <c r="E17" s="11">
        <f t="array" ref="E17">SUM(IF(F17:AR17="R2",1,0))</f>
        <v>2</v>
      </c>
      <c r="H17" s="17" t="s">
        <v>40</v>
      </c>
      <c r="I17" s="12"/>
      <c r="J17" s="12" t="s">
        <v>39</v>
      </c>
      <c r="K17" s="17"/>
      <c r="L17" s="17"/>
      <c r="N17" s="17" t="s">
        <v>40</v>
      </c>
      <c r="P17" s="17" t="s">
        <v>39</v>
      </c>
      <c r="Q17" s="12"/>
      <c r="R17" s="12"/>
      <c r="S17" s="12"/>
      <c r="T17" s="12"/>
      <c r="U17" s="12">
        <v>1.0</v>
      </c>
      <c r="V17" s="12"/>
      <c r="W17" s="12"/>
      <c r="X17" s="12"/>
      <c r="Y17" s="12"/>
      <c r="Z17" s="12"/>
      <c r="AA17" s="12"/>
      <c r="AB17" s="12"/>
      <c r="AC17" s="12"/>
      <c r="AD17" s="12"/>
      <c r="AE17" s="12"/>
      <c r="AF17" s="12"/>
      <c r="AG17" s="12"/>
      <c r="AH17" s="12"/>
      <c r="AI17" s="12"/>
      <c r="AJ17" s="12">
        <v>1.0</v>
      </c>
      <c r="AK17" s="12"/>
      <c r="AL17" s="12"/>
      <c r="AM17" s="12"/>
      <c r="AN17" s="12"/>
      <c r="AO17" s="12"/>
      <c r="AP17" s="12"/>
      <c r="AQ17" s="12"/>
      <c r="AR17" s="12"/>
    </row>
    <row r="18" hidden="1">
      <c r="A18" s="24"/>
      <c r="B18" s="10"/>
      <c r="C18" s="10">
        <f t="shared" si="2"/>
        <v>0</v>
      </c>
      <c r="D18" s="11">
        <f t="array" ref="D18">SUM(IF(F18:AR18="R",1,0))</f>
        <v>0</v>
      </c>
      <c r="E18" s="11">
        <f t="array" ref="E18">SUM(IF(F18:AR18="R2",1,0))</f>
        <v>0</v>
      </c>
    </row>
    <row r="19" hidden="1">
      <c r="A19" s="9"/>
      <c r="B19" s="10">
        <f>SUM(C19:D19)</f>
        <v>0</v>
      </c>
      <c r="C19" s="10">
        <f t="shared" si="2"/>
        <v>0</v>
      </c>
      <c r="D19" s="11">
        <f t="array" ref="D19">SUM(IF(F19:AR19="R",1,0))</f>
        <v>0</v>
      </c>
      <c r="E19" s="11">
        <f t="array" ref="E19">SUM(IF(F19:AR19="R2",1,0))</f>
        <v>0</v>
      </c>
    </row>
    <row r="20">
      <c r="A20" s="9" t="s">
        <v>90</v>
      </c>
      <c r="B20" s="10"/>
      <c r="C20" s="10">
        <f t="shared" si="2"/>
        <v>2</v>
      </c>
      <c r="D20" s="11">
        <f t="array" ref="D20">SUM(IF(F20:AR20="R",1,0))</f>
        <v>2</v>
      </c>
      <c r="E20" s="11">
        <f t="array" ref="E20">SUM(IF(F20:AR20="R2",1,0))</f>
        <v>2</v>
      </c>
      <c r="G20" s="17" t="s">
        <v>39</v>
      </c>
      <c r="J20" s="17">
        <v>1.0</v>
      </c>
      <c r="Q20" s="17">
        <v>1.0</v>
      </c>
      <c r="U20" s="17" t="s">
        <v>39</v>
      </c>
      <c r="AG20" s="17" t="s">
        <v>40</v>
      </c>
      <c r="AH20" s="17" t="s">
        <v>40</v>
      </c>
    </row>
    <row r="21" hidden="1">
      <c r="A21" s="9" t="s">
        <v>56</v>
      </c>
      <c r="B21" s="10">
        <f>SUM(C21:D21)</f>
        <v>0</v>
      </c>
      <c r="C21" s="10">
        <f t="shared" si="2"/>
        <v>0</v>
      </c>
      <c r="D21" s="11">
        <f t="array" ref="D21">SUM(IF(F21:AR21="R",1,0))</f>
        <v>0</v>
      </c>
      <c r="E21" s="11">
        <f t="array" ref="E21">SUM(IF(F21:AR21="R2",1,0))</f>
        <v>0</v>
      </c>
      <c r="F21" s="12"/>
      <c r="G21" s="13"/>
      <c r="H21" s="12"/>
      <c r="I21" s="13"/>
      <c r="J21" s="12"/>
      <c r="K21" s="13"/>
      <c r="L21" s="13"/>
      <c r="M21" s="12"/>
      <c r="N21" s="13"/>
      <c r="O21" s="12"/>
      <c r="P21" s="13"/>
      <c r="Q21" s="13"/>
      <c r="R21" s="13"/>
      <c r="S21" s="13"/>
      <c r="T21" s="13"/>
      <c r="U21" s="12"/>
      <c r="V21" s="12"/>
      <c r="W21" s="13"/>
      <c r="X21" s="13"/>
      <c r="Y21" s="13"/>
      <c r="Z21" s="13"/>
      <c r="AA21" s="13"/>
      <c r="AB21" s="13"/>
      <c r="AC21" s="13"/>
      <c r="AD21" s="13"/>
      <c r="AE21" s="13"/>
      <c r="AF21" s="13"/>
      <c r="AG21" s="13"/>
      <c r="AH21" s="12"/>
      <c r="AI21" s="13"/>
      <c r="AJ21" s="13"/>
      <c r="AK21" s="13"/>
      <c r="AL21" s="13"/>
      <c r="AM21" s="13"/>
      <c r="AN21" s="13"/>
      <c r="AO21" s="13"/>
      <c r="AP21" s="13"/>
      <c r="AQ21" s="13"/>
      <c r="AR21" s="13"/>
    </row>
    <row r="22">
      <c r="A22" s="26" t="s">
        <v>91</v>
      </c>
      <c r="B22" s="10"/>
      <c r="C22" s="10">
        <f t="shared" si="2"/>
        <v>1</v>
      </c>
      <c r="D22" s="11">
        <f t="array" ref="D22">SUM(IF(F22:AR22="R",1,0))</f>
        <v>2</v>
      </c>
      <c r="E22" s="11">
        <f t="array" ref="E22">SUM(IF(F22:AR22="R2",1,0))</f>
        <v>1</v>
      </c>
      <c r="J22" s="12"/>
      <c r="K22" s="12"/>
      <c r="L22" s="21"/>
      <c r="M22" s="17" t="s">
        <v>39</v>
      </c>
      <c r="N22" s="16"/>
      <c r="S22" s="12"/>
      <c r="T22" s="12"/>
      <c r="U22" s="21"/>
      <c r="V22" s="12">
        <v>1.0</v>
      </c>
      <c r="W22" s="21"/>
      <c r="X22" s="12"/>
      <c r="Y22" s="13"/>
      <c r="Z22" s="12"/>
      <c r="AA22" s="13"/>
      <c r="AB22" s="13"/>
      <c r="AC22" s="13"/>
      <c r="AD22" s="16"/>
      <c r="AE22" s="12"/>
      <c r="AF22" s="16"/>
      <c r="AG22" s="12"/>
      <c r="AH22" s="12"/>
      <c r="AI22" s="13"/>
      <c r="AJ22" s="12"/>
      <c r="AK22" s="13"/>
      <c r="AL22" s="12" t="s">
        <v>40</v>
      </c>
      <c r="AM22" s="16"/>
      <c r="AN22" s="12" t="s">
        <v>39</v>
      </c>
      <c r="AO22" s="21"/>
      <c r="AP22" s="13"/>
      <c r="AQ22" s="12"/>
      <c r="AR22" s="12"/>
    </row>
    <row r="23">
      <c r="A23" s="26" t="s">
        <v>57</v>
      </c>
      <c r="B23" s="10">
        <f t="shared" ref="B23:B28" si="4">SUM(C23:D23)</f>
        <v>2</v>
      </c>
      <c r="C23" s="10">
        <f t="shared" si="2"/>
        <v>1</v>
      </c>
      <c r="D23" s="11">
        <f t="array" ref="D23">SUM(IF(F23:AR23="R",1,0))</f>
        <v>1</v>
      </c>
      <c r="E23" s="11">
        <f t="array" ref="E23">SUM(IF(F23:AR23="R2",1,0))</f>
        <v>1</v>
      </c>
      <c r="J23" s="12"/>
      <c r="K23" s="12">
        <v>1.0</v>
      </c>
      <c r="L23" s="21"/>
      <c r="M23" s="17" t="s">
        <v>40</v>
      </c>
      <c r="N23" s="16"/>
      <c r="S23" s="12"/>
      <c r="T23" s="12"/>
      <c r="U23" s="21"/>
      <c r="V23" s="12" t="s">
        <v>39</v>
      </c>
      <c r="W23" s="21"/>
      <c r="X23" s="12"/>
      <c r="Y23" s="13"/>
      <c r="Z23" s="12"/>
      <c r="AA23" s="13"/>
      <c r="AB23" s="13"/>
      <c r="AC23" s="13"/>
      <c r="AD23" s="16"/>
      <c r="AE23" s="12"/>
      <c r="AF23" s="16"/>
      <c r="AG23" s="12"/>
      <c r="AH23" s="12"/>
      <c r="AI23" s="13"/>
      <c r="AJ23" s="12"/>
      <c r="AK23" s="13"/>
      <c r="AL23" s="13"/>
      <c r="AM23" s="16"/>
      <c r="AN23" s="12"/>
      <c r="AO23" s="21"/>
      <c r="AP23" s="13"/>
      <c r="AQ23" s="12"/>
      <c r="AR23" s="12"/>
    </row>
    <row r="24">
      <c r="A24" s="27" t="s">
        <v>58</v>
      </c>
      <c r="B24" s="10">
        <f t="shared" si="4"/>
        <v>3</v>
      </c>
      <c r="C24" s="10">
        <f t="shared" si="2"/>
        <v>1</v>
      </c>
      <c r="D24" s="11">
        <f t="array" ref="D24">SUM(IF(F24:AR24="R",1,0))</f>
        <v>2</v>
      </c>
      <c r="E24" s="11">
        <f t="array" ref="E24">SUM(IF(F24:AR24="R2",1,0))</f>
        <v>2</v>
      </c>
      <c r="I24" s="17">
        <v>1.0</v>
      </c>
      <c r="K24" s="17" t="s">
        <v>40</v>
      </c>
      <c r="Q24" s="17" t="s">
        <v>39</v>
      </c>
      <c r="AI24" s="17" t="s">
        <v>39</v>
      </c>
      <c r="AK24" s="17" t="s">
        <v>40</v>
      </c>
    </row>
    <row r="25">
      <c r="A25" s="27" t="s">
        <v>59</v>
      </c>
      <c r="B25" s="10">
        <f t="shared" si="4"/>
        <v>4</v>
      </c>
      <c r="C25" s="10">
        <f t="shared" si="2"/>
        <v>2</v>
      </c>
      <c r="D25" s="11">
        <f t="array" ref="D25">SUM(IF(F25:AR25="R",1,0))</f>
        <v>2</v>
      </c>
      <c r="E25" s="11">
        <f t="array" ref="E25">SUM(IF(F25:AR25="R2",1,0))</f>
        <v>2</v>
      </c>
      <c r="F25" s="12">
        <v>1.0</v>
      </c>
      <c r="G25" s="12"/>
      <c r="H25" s="12" t="s">
        <v>39</v>
      </c>
      <c r="I25" s="12"/>
      <c r="J25" s="17"/>
      <c r="K25" s="13"/>
      <c r="L25" s="12"/>
      <c r="O25" s="21"/>
      <c r="P25" s="17"/>
      <c r="Q25" s="12"/>
      <c r="R25" s="12"/>
      <c r="S25" s="12"/>
      <c r="T25" s="12"/>
      <c r="U25" s="13"/>
      <c r="V25" s="12"/>
      <c r="Z25" s="12"/>
      <c r="AA25" s="13"/>
      <c r="AB25" s="17" t="s">
        <v>39</v>
      </c>
      <c r="AE25" s="17">
        <v>1.0</v>
      </c>
      <c r="AK25" s="13"/>
      <c r="AL25" s="12"/>
      <c r="AM25" s="12"/>
      <c r="AN25" s="12"/>
      <c r="AO25" s="12" t="s">
        <v>40</v>
      </c>
      <c r="AP25" s="13"/>
      <c r="AQ25" s="13"/>
      <c r="AR25" s="12" t="s">
        <v>40</v>
      </c>
    </row>
    <row r="26" hidden="1">
      <c r="A26" s="27" t="s">
        <v>60</v>
      </c>
      <c r="B26" s="10">
        <f t="shared" si="4"/>
        <v>0</v>
      </c>
      <c r="C26" s="10">
        <f t="shared" si="2"/>
        <v>0</v>
      </c>
      <c r="D26" s="11">
        <f t="array" ref="D26">SUM(IF(F26:AR26="R",1,0))</f>
        <v>0</v>
      </c>
      <c r="E26" s="11">
        <f t="array" ref="E26">SUM(IF(F26:AR26="R2",1,0))</f>
        <v>0</v>
      </c>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row>
    <row r="27">
      <c r="A27" s="27" t="s">
        <v>61</v>
      </c>
      <c r="B27" s="10">
        <f t="shared" si="4"/>
        <v>4</v>
      </c>
      <c r="C27" s="10">
        <f t="shared" si="2"/>
        <v>2</v>
      </c>
      <c r="D27" s="11">
        <f t="array" ref="D27">SUM(IF(F27:AR27="R",1,0))</f>
        <v>2</v>
      </c>
      <c r="E27" s="11">
        <f t="array" ref="E27">SUM(IF(F27:AR27="R2",1,0))</f>
        <v>2</v>
      </c>
      <c r="F27" s="17" t="s">
        <v>39</v>
      </c>
      <c r="G27" s="16"/>
      <c r="H27" s="21"/>
      <c r="I27" s="21"/>
      <c r="J27" s="12"/>
      <c r="L27" s="17"/>
      <c r="O27" s="21"/>
      <c r="P27" s="16"/>
      <c r="Q27" s="21"/>
      <c r="R27" s="16"/>
      <c r="S27" s="16"/>
      <c r="T27" s="12"/>
      <c r="U27" s="12"/>
      <c r="V27" s="12"/>
      <c r="X27" s="17" t="s">
        <v>40</v>
      </c>
      <c r="Z27" s="12">
        <v>1.0</v>
      </c>
      <c r="AA27" s="13"/>
      <c r="AB27" s="17" t="s">
        <v>40</v>
      </c>
      <c r="AF27" s="17">
        <v>1.0</v>
      </c>
      <c r="AI27" s="13"/>
      <c r="AJ27" s="13"/>
      <c r="AK27" s="12"/>
      <c r="AL27" s="12"/>
      <c r="AM27" s="12"/>
      <c r="AN27" s="12"/>
      <c r="AO27" s="12"/>
      <c r="AP27" s="12" t="s">
        <v>39</v>
      </c>
      <c r="AQ27" s="12"/>
      <c r="AR27" s="12"/>
    </row>
    <row r="28" hidden="1">
      <c r="A28" s="27" t="s">
        <v>64</v>
      </c>
      <c r="B28" s="10">
        <f t="shared" si="4"/>
        <v>0</v>
      </c>
      <c r="C28" s="10">
        <f t="shared" si="2"/>
        <v>0</v>
      </c>
      <c r="D28" s="11">
        <f t="array" ref="D28">SUM(IF(F28:AR28="R",1,0))</f>
        <v>0</v>
      </c>
      <c r="E28" s="11">
        <f t="array" ref="E28">SUM(IF(F28:AR28="R2",1,0))</f>
        <v>0</v>
      </c>
      <c r="G28" s="16"/>
      <c r="H28" s="16"/>
      <c r="I28" s="16"/>
      <c r="AB28" s="16"/>
      <c r="AK28" s="16"/>
      <c r="AP28" s="16"/>
      <c r="AQ28" s="16"/>
      <c r="AR28" s="16"/>
    </row>
    <row r="29">
      <c r="A29" s="27" t="s">
        <v>65</v>
      </c>
      <c r="B29" s="10"/>
      <c r="C29" s="10">
        <f t="shared" si="2"/>
        <v>2</v>
      </c>
      <c r="D29" s="11">
        <f t="array" ref="D29">SUM(IF(F29:AR29="R",1,0))</f>
        <v>2</v>
      </c>
      <c r="E29" s="11">
        <f t="array" ref="E29">SUM(IF(F29:AR29="R2",1,0))</f>
        <v>1</v>
      </c>
      <c r="F29" s="17" t="s">
        <v>40</v>
      </c>
      <c r="G29" s="16"/>
      <c r="H29" s="16"/>
      <c r="I29" s="16"/>
      <c r="N29" s="17" t="s">
        <v>39</v>
      </c>
      <c r="R29" s="17">
        <v>1.0</v>
      </c>
      <c r="X29" s="17" t="s">
        <v>39</v>
      </c>
      <c r="AP29" s="17">
        <v>1.0</v>
      </c>
    </row>
    <row r="30">
      <c r="A30" s="27" t="s">
        <v>49</v>
      </c>
      <c r="B30" s="10"/>
      <c r="C30" s="10">
        <f t="shared" si="2"/>
        <v>2</v>
      </c>
      <c r="D30" s="11">
        <f t="array" ref="D30">SUM(IF(F30:AR30="R",1,0))</f>
        <v>2</v>
      </c>
      <c r="E30" s="11">
        <f t="array" ref="E30">SUM(IF(F30:AR30="R2",1,0))</f>
        <v>2</v>
      </c>
      <c r="R30" s="17" t="s">
        <v>39</v>
      </c>
      <c r="X30" s="17">
        <v>1.0</v>
      </c>
      <c r="Z30" s="17" t="s">
        <v>40</v>
      </c>
      <c r="AM30" s="17" t="s">
        <v>40</v>
      </c>
      <c r="AO30" s="17" t="s">
        <v>39</v>
      </c>
      <c r="AR30" s="17">
        <v>1.0</v>
      </c>
    </row>
    <row r="31">
      <c r="A31" s="17" t="s">
        <v>66</v>
      </c>
      <c r="B31" s="10">
        <f t="shared" ref="B31:B32" si="5">SUM(C31:D31)</f>
        <v>4</v>
      </c>
      <c r="C31" s="10">
        <f t="shared" si="2"/>
        <v>2</v>
      </c>
      <c r="D31" s="11">
        <f t="array" ref="D31">SUM(IF(F31:AR31="R",1,0))</f>
        <v>2</v>
      </c>
      <c r="E31" s="11">
        <f t="array" ref="E31">SUM(IF(F31:AR31="R2",1,0))</f>
        <v>2</v>
      </c>
      <c r="F31" s="34"/>
      <c r="G31" s="35"/>
      <c r="H31" s="16"/>
      <c r="I31" s="16"/>
      <c r="K31" s="17"/>
      <c r="N31" s="17"/>
      <c r="O31" s="17">
        <v>1.0</v>
      </c>
      <c r="P31" s="21"/>
      <c r="Q31" s="12" t="s">
        <v>40</v>
      </c>
      <c r="R31" s="16"/>
      <c r="S31" s="12"/>
      <c r="T31" s="12"/>
      <c r="U31" s="13"/>
      <c r="V31" s="12"/>
      <c r="W31" s="12" t="s">
        <v>40</v>
      </c>
      <c r="X31" s="21"/>
      <c r="Y31" s="16"/>
      <c r="Z31" s="13"/>
      <c r="AA31" s="21"/>
      <c r="AB31" s="16"/>
      <c r="AC31" s="13"/>
      <c r="AE31" s="12"/>
      <c r="AF31" s="12"/>
      <c r="AG31" s="17">
        <v>1.0</v>
      </c>
      <c r="AH31" s="16"/>
      <c r="AI31" s="12"/>
      <c r="AJ31" s="21"/>
      <c r="AK31" s="12" t="s">
        <v>39</v>
      </c>
      <c r="AL31" s="13"/>
      <c r="AM31" s="17" t="s">
        <v>39</v>
      </c>
      <c r="AO31" s="13"/>
      <c r="AP31" s="13"/>
      <c r="AQ31" s="16"/>
      <c r="AR31" s="13"/>
    </row>
    <row r="32">
      <c r="A32" s="17" t="s">
        <v>67</v>
      </c>
      <c r="B32" s="10">
        <f t="shared" si="5"/>
        <v>3</v>
      </c>
      <c r="C32" s="10">
        <f t="shared" si="2"/>
        <v>1</v>
      </c>
      <c r="D32" s="11">
        <f t="array" ref="D32">SUM(IF(F32:AR32="R",1,0))</f>
        <v>2</v>
      </c>
      <c r="E32" s="11">
        <f t="array" ref="E32">SUM(IF(F32:AR32="R2",1,0))</f>
        <v>2</v>
      </c>
      <c r="G32" s="17">
        <v>1.0</v>
      </c>
      <c r="I32" s="17" t="s">
        <v>40</v>
      </c>
      <c r="N32" s="17"/>
      <c r="O32" s="17" t="s">
        <v>40</v>
      </c>
      <c r="X32" s="16"/>
      <c r="Y32" s="16"/>
      <c r="AB32" s="16"/>
      <c r="AD32" s="17" t="s">
        <v>39</v>
      </c>
      <c r="AG32" s="17" t="s">
        <v>39</v>
      </c>
      <c r="AR32" s="16"/>
    </row>
    <row r="33">
      <c r="A33" s="17" t="s">
        <v>68</v>
      </c>
      <c r="B33" s="10">
        <f>SUM(B4:B19)</f>
        <v>38</v>
      </c>
      <c r="C33" s="10">
        <f t="shared" si="2"/>
        <v>39</v>
      </c>
      <c r="D33" s="11"/>
      <c r="E33" s="11"/>
      <c r="F33" s="28">
        <f t="shared" ref="F33:AR33" si="6">SUM(F3:F32)</f>
        <v>1</v>
      </c>
      <c r="G33" s="28">
        <f t="shared" si="6"/>
        <v>1</v>
      </c>
      <c r="H33" s="28">
        <f t="shared" si="6"/>
        <v>1</v>
      </c>
      <c r="I33" s="28">
        <f t="shared" si="6"/>
        <v>1</v>
      </c>
      <c r="J33" s="28">
        <f t="shared" si="6"/>
        <v>1</v>
      </c>
      <c r="K33" s="28">
        <f t="shared" si="6"/>
        <v>1</v>
      </c>
      <c r="L33" s="28">
        <f t="shared" si="6"/>
        <v>1</v>
      </c>
      <c r="M33" s="28">
        <f t="shared" si="6"/>
        <v>1</v>
      </c>
      <c r="N33" s="28">
        <f t="shared" si="6"/>
        <v>1</v>
      </c>
      <c r="O33" s="28">
        <f t="shared" si="6"/>
        <v>1</v>
      </c>
      <c r="P33" s="28">
        <f t="shared" si="6"/>
        <v>1</v>
      </c>
      <c r="Q33" s="28">
        <f t="shared" si="6"/>
        <v>1</v>
      </c>
      <c r="R33" s="28">
        <f t="shared" si="6"/>
        <v>1</v>
      </c>
      <c r="S33" s="28">
        <f t="shared" si="6"/>
        <v>1</v>
      </c>
      <c r="T33" s="28">
        <f t="shared" si="6"/>
        <v>1</v>
      </c>
      <c r="U33" s="28">
        <f t="shared" si="6"/>
        <v>1</v>
      </c>
      <c r="V33" s="28">
        <f t="shared" si="6"/>
        <v>1</v>
      </c>
      <c r="W33" s="28">
        <f t="shared" si="6"/>
        <v>1</v>
      </c>
      <c r="X33" s="28">
        <f t="shared" si="6"/>
        <v>1</v>
      </c>
      <c r="Y33" s="28">
        <f t="shared" si="6"/>
        <v>1</v>
      </c>
      <c r="Z33" s="28">
        <f t="shared" si="6"/>
        <v>1</v>
      </c>
      <c r="AA33" s="28">
        <f t="shared" si="6"/>
        <v>1</v>
      </c>
      <c r="AB33" s="28">
        <f t="shared" si="6"/>
        <v>1</v>
      </c>
      <c r="AC33" s="28">
        <f t="shared" si="6"/>
        <v>1</v>
      </c>
      <c r="AD33" s="28">
        <f t="shared" si="6"/>
        <v>1</v>
      </c>
      <c r="AE33" s="28">
        <f t="shared" si="6"/>
        <v>1</v>
      </c>
      <c r="AF33" s="28">
        <f t="shared" si="6"/>
        <v>1</v>
      </c>
      <c r="AG33" s="28">
        <f t="shared" si="6"/>
        <v>1</v>
      </c>
      <c r="AH33" s="28">
        <f t="shared" si="6"/>
        <v>1</v>
      </c>
      <c r="AI33" s="28">
        <f t="shared" si="6"/>
        <v>1</v>
      </c>
      <c r="AJ33" s="28">
        <f t="shared" si="6"/>
        <v>1</v>
      </c>
      <c r="AK33" s="28">
        <f t="shared" si="6"/>
        <v>1</v>
      </c>
      <c r="AL33" s="28">
        <f t="shared" si="6"/>
        <v>1</v>
      </c>
      <c r="AM33" s="28">
        <f t="shared" si="6"/>
        <v>1</v>
      </c>
      <c r="AN33" s="28">
        <f t="shared" si="6"/>
        <v>1</v>
      </c>
      <c r="AO33" s="28">
        <f t="shared" si="6"/>
        <v>1</v>
      </c>
      <c r="AP33" s="28">
        <f t="shared" si="6"/>
        <v>1</v>
      </c>
      <c r="AQ33" s="28">
        <f t="shared" si="6"/>
        <v>1</v>
      </c>
      <c r="AR33" s="28">
        <f t="shared" si="6"/>
        <v>1</v>
      </c>
    </row>
    <row r="34">
      <c r="A34" s="17" t="s">
        <v>69</v>
      </c>
      <c r="B34" s="28">
        <f t="shared" ref="B34:B35" si="7">SUM(F34:AR34)</f>
        <v>39</v>
      </c>
      <c r="C34" s="10">
        <f t="shared" si="2"/>
        <v>39</v>
      </c>
      <c r="F34" s="11">
        <f t="array" ref="F34">SUM(IF(F3:F32="R",1,0))</f>
        <v>1</v>
      </c>
      <c r="G34" s="11">
        <f t="array" ref="G34">SUM(IF(G3:G32="R",1,0))</f>
        <v>1</v>
      </c>
      <c r="H34" s="11">
        <f t="array" ref="H34">SUM(IF(H3:H32="R",1,0))</f>
        <v>1</v>
      </c>
      <c r="I34" s="11">
        <f t="array" ref="I34">SUM(IF(I3:I32="R",1,0))</f>
        <v>1</v>
      </c>
      <c r="J34" s="11">
        <f t="array" ref="J34">SUM(IF(J3:J32="R",1,0))</f>
        <v>1</v>
      </c>
      <c r="K34" s="11">
        <f t="array" ref="K34">SUM(IF(K3:K32="R",1,0))</f>
        <v>1</v>
      </c>
      <c r="L34" s="11">
        <f t="array" ref="L34">SUM(IF(L3:L32="R",1,0))</f>
        <v>1</v>
      </c>
      <c r="M34" s="11">
        <f t="array" ref="M34">SUM(IF(M3:M32="R",1,0))</f>
        <v>1</v>
      </c>
      <c r="N34" s="11">
        <f t="array" ref="N34">SUM(IF(N3:N32="R",1,0))</f>
        <v>1</v>
      </c>
      <c r="O34" s="11">
        <f t="array" ref="O34">SUM(IF(O3:O32="R",1,0))</f>
        <v>1</v>
      </c>
      <c r="P34" s="11">
        <f t="array" ref="P34">SUM(IF(P3:P32="R",1,0))</f>
        <v>1</v>
      </c>
      <c r="Q34" s="11">
        <f t="array" ref="Q34">SUM(IF(Q3:Q32="R",1,0))</f>
        <v>1</v>
      </c>
      <c r="R34" s="11">
        <f t="array" ref="R34">SUM(IF(R3:R32="R",1,0))</f>
        <v>1</v>
      </c>
      <c r="S34" s="11">
        <f t="array" ref="S34">SUM(IF(S3:S32="R",1,0))</f>
        <v>1</v>
      </c>
      <c r="T34" s="11">
        <f t="array" ref="T34">SUM(IF(T3:T32="R",1,0))</f>
        <v>1</v>
      </c>
      <c r="U34" s="11">
        <f t="array" ref="U34">SUM(IF(U3:U32="R",1,0))</f>
        <v>1</v>
      </c>
      <c r="V34" s="11">
        <f t="array" ref="V34">SUM(IF(V3:V32="R",1,0))</f>
        <v>1</v>
      </c>
      <c r="W34" s="11">
        <f t="array" ref="W34">SUM(IF(W3:W32="R",1,0))</f>
        <v>1</v>
      </c>
      <c r="X34" s="11">
        <f t="array" ref="X34">SUM(IF(X3:X32="R",1,0))</f>
        <v>1</v>
      </c>
      <c r="Y34" s="11">
        <f t="array" ref="Y34">SUM(IF(Y3:Y32="R",1,0))</f>
        <v>1</v>
      </c>
      <c r="Z34" s="11">
        <f t="array" ref="Z34">SUM(IF(Z3:Z32="R",1,0))</f>
        <v>1</v>
      </c>
      <c r="AA34" s="11">
        <f t="array" ref="AA34">SUM(IF(AA3:AA32="R",1,0))</f>
        <v>1</v>
      </c>
      <c r="AB34" s="11">
        <f t="array" ref="AB34">SUM(IF(AB3:AB32="R",1,0))</f>
        <v>1</v>
      </c>
      <c r="AC34" s="11">
        <f t="array" ref="AC34">SUM(IF(AC3:AC32="R",1,0))</f>
        <v>1</v>
      </c>
      <c r="AD34" s="11">
        <f t="array" ref="AD34">SUM(IF(AD3:AD32="R",1,0))</f>
        <v>1</v>
      </c>
      <c r="AE34" s="11">
        <f t="array" ref="AE34">SUM(IF(AE3:AE32="R",1,0))</f>
        <v>1</v>
      </c>
      <c r="AF34" s="11">
        <f t="array" ref="AF34">SUM(IF(AF3:AF32="R",1,0))</f>
        <v>1</v>
      </c>
      <c r="AG34" s="11">
        <f t="array" ref="AG34">SUM(IF(AG3:AG32="R",1,0))</f>
        <v>1</v>
      </c>
      <c r="AH34" s="11">
        <f t="array" ref="AH34">SUM(IF(AH3:AH32="R",1,0))</f>
        <v>1</v>
      </c>
      <c r="AI34" s="11">
        <f t="array" ref="AI34">SUM(IF(AI3:AI32="R",1,0))</f>
        <v>1</v>
      </c>
      <c r="AJ34" s="11">
        <f t="array" ref="AJ34">SUM(IF(AJ3:AJ32="R",1,0))</f>
        <v>1</v>
      </c>
      <c r="AK34" s="11">
        <f t="array" ref="AK34">SUM(IF(AK3:AK32="R",1,0))</f>
        <v>1</v>
      </c>
      <c r="AL34" s="11">
        <f t="array" ref="AL34">SUM(IF(AL3:AL32="R",1,0))</f>
        <v>1</v>
      </c>
      <c r="AM34" s="11">
        <f t="array" ref="AM34">SUM(IF(AM3:AM32="R",1,0))</f>
        <v>1</v>
      </c>
      <c r="AN34" s="11">
        <f t="array" ref="AN34">SUM(IF(AN3:AN32="R",1,0))</f>
        <v>1</v>
      </c>
      <c r="AO34" s="11">
        <f t="array" ref="AO34">SUM(IF(AO3:AO32="R",1,0))</f>
        <v>1</v>
      </c>
      <c r="AP34" s="11">
        <f t="array" ref="AP34">SUM(IF(AP3:AP32="R",1,0))</f>
        <v>1</v>
      </c>
      <c r="AQ34" s="11">
        <f t="array" ref="AQ34">SUM(IF(AQ3:AQ32="R",1,0))</f>
        <v>1</v>
      </c>
      <c r="AR34" s="11">
        <f t="array" ref="AR34">SUM(IF(AR3:AR32="R",1,0))</f>
        <v>1</v>
      </c>
    </row>
    <row r="35">
      <c r="A35" s="17" t="s">
        <v>70</v>
      </c>
      <c r="B35" s="28">
        <f t="shared" si="7"/>
        <v>39</v>
      </c>
      <c r="C35" s="10">
        <f t="shared" si="2"/>
        <v>39</v>
      </c>
      <c r="F35" s="11">
        <f t="array" ref="F35">SUM(IF(F3:F32="R2",1,0))</f>
        <v>1</v>
      </c>
      <c r="G35" s="11">
        <f t="array" ref="G35">SUM(IF(G3:G32="R2",1,0))</f>
        <v>1</v>
      </c>
      <c r="H35" s="11">
        <f t="array" ref="H35">SUM(IF(H3:H32="R2",1,0))</f>
        <v>1</v>
      </c>
      <c r="I35" s="11">
        <f t="array" ref="I35">SUM(IF(I3:I32="R2",1,0))</f>
        <v>1</v>
      </c>
      <c r="J35" s="11">
        <f t="array" ref="J35">SUM(IF(J3:J32="R2",1,0))</f>
        <v>1</v>
      </c>
      <c r="K35" s="11">
        <f t="array" ref="K35">SUM(IF(K3:K32="R2",1,0))</f>
        <v>1</v>
      </c>
      <c r="L35" s="11">
        <f t="array" ref="L35">SUM(IF(L3:L32="R2",1,0))</f>
        <v>1</v>
      </c>
      <c r="M35" s="11">
        <f t="array" ref="M35">SUM(IF(M3:M32="R2",1,0))</f>
        <v>1</v>
      </c>
      <c r="N35" s="11">
        <f t="array" ref="N35">SUM(IF(N3:N32="R2",1,0))</f>
        <v>1</v>
      </c>
      <c r="O35" s="11">
        <f t="array" ref="O35">SUM(IF(O3:O32="R2",1,0))</f>
        <v>1</v>
      </c>
      <c r="P35" s="11">
        <f t="array" ref="P35">SUM(IF(P3:P32="R2",1,0))</f>
        <v>1</v>
      </c>
      <c r="Q35" s="11">
        <f t="array" ref="Q35">SUM(IF(Q3:Q32="R2",1,0))</f>
        <v>1</v>
      </c>
      <c r="R35" s="11">
        <f t="array" ref="R35">SUM(IF(R3:R32="R2",1,0))</f>
        <v>1</v>
      </c>
      <c r="S35" s="11">
        <f t="array" ref="S35">SUM(IF(S3:S32="R2",1,0))</f>
        <v>1</v>
      </c>
      <c r="T35" s="11">
        <f t="array" ref="T35">SUM(IF(T3:T32="R2",1,0))</f>
        <v>1</v>
      </c>
      <c r="U35" s="11">
        <f t="array" ref="U35">SUM(IF(U3:U32="R2",1,0))</f>
        <v>1</v>
      </c>
      <c r="V35" s="11">
        <f t="array" ref="V35">SUM(IF(V3:V32="R2",1,0))</f>
        <v>1</v>
      </c>
      <c r="W35" s="11">
        <f t="array" ref="W35">SUM(IF(W3:W32="R2",1,0))</f>
        <v>1</v>
      </c>
      <c r="X35" s="11">
        <f t="array" ref="X35">SUM(IF(X3:X32="R2",1,0))</f>
        <v>1</v>
      </c>
      <c r="Y35" s="11">
        <f t="array" ref="Y35">SUM(IF(Y3:Y32="R2",1,0))</f>
        <v>1</v>
      </c>
      <c r="Z35" s="11">
        <f t="array" ref="Z35">SUM(IF(Z3:Z32="R2",1,0))</f>
        <v>1</v>
      </c>
      <c r="AA35" s="11">
        <f t="array" ref="AA35">SUM(IF(AA3:AA32="R2",1,0))</f>
        <v>1</v>
      </c>
      <c r="AB35" s="11">
        <f t="array" ref="AB35">SUM(IF(AB3:AB32="R2",1,0))</f>
        <v>1</v>
      </c>
      <c r="AC35" s="11">
        <f t="array" ref="AC35">SUM(IF(AC3:AC32="R2",1,0))</f>
        <v>1</v>
      </c>
      <c r="AD35" s="11">
        <f t="array" ref="AD35">SUM(IF(AD3:AD32="R2",1,0))</f>
        <v>1</v>
      </c>
      <c r="AE35" s="11">
        <f t="array" ref="AE35">SUM(IF(AE3:AE32="R2",1,0))</f>
        <v>1</v>
      </c>
      <c r="AF35" s="11">
        <f t="array" ref="AF35">SUM(IF(AF3:AF32="R2",1,0))</f>
        <v>1</v>
      </c>
      <c r="AG35" s="11">
        <f t="array" ref="AG35">SUM(IF(AG3:AG32="R2",1,0))</f>
        <v>1</v>
      </c>
      <c r="AH35" s="11">
        <f t="array" ref="AH35">SUM(IF(AH3:AH32="R2",1,0))</f>
        <v>1</v>
      </c>
      <c r="AI35" s="11">
        <f t="array" ref="AI35">SUM(IF(AI3:AI32="R2",1,0))</f>
        <v>1</v>
      </c>
      <c r="AJ35" s="11">
        <f t="array" ref="AJ35">SUM(IF(AJ3:AJ32="R2",1,0))</f>
        <v>1</v>
      </c>
      <c r="AK35" s="11">
        <f t="array" ref="AK35">SUM(IF(AK3:AK32="R2",1,0))</f>
        <v>1</v>
      </c>
      <c r="AL35" s="11">
        <f t="array" ref="AL35">SUM(IF(AL3:AL32="R2",1,0))</f>
        <v>1</v>
      </c>
      <c r="AM35" s="11">
        <f t="array" ref="AM35">SUM(IF(AM3:AM32="R2",1,0))</f>
        <v>1</v>
      </c>
      <c r="AN35" s="11">
        <f t="array" ref="AN35">SUM(IF(AN3:AN32="R2",1,0))</f>
        <v>1</v>
      </c>
      <c r="AO35" s="11">
        <f t="array" ref="AO35">SUM(IF(AO3:AO32="R2",1,0))</f>
        <v>1</v>
      </c>
      <c r="AP35" s="11">
        <f t="array" ref="AP35">SUM(IF(AP3:AP32="R2",1,0))</f>
        <v>1</v>
      </c>
      <c r="AQ35" s="11">
        <f t="array" ref="AQ35">SUM(IF(AQ3:AQ32="R2",1,0))</f>
        <v>1</v>
      </c>
      <c r="AR35" s="11">
        <f t="array" ref="AR35">SUM(IF(AR3:AR32="R2",1,0))</f>
        <v>1</v>
      </c>
    </row>
    <row r="36">
      <c r="E36" s="17" t="s">
        <v>71</v>
      </c>
      <c r="F36" s="29" t="str">
        <f t="shared" ref="F36:AR36" si="8">IFERROR(INDEX($A$3:$A$32, MATCH(1, INDEX($F$3:$AR$32, 0, MATCH(F2, $F$2:$AR$2, 0)), 0)), INDEX($A$3:$A$32, MATCH(1, INDEX($F$3:$AR$32, 0, MATCH(F2&amp;" AM", $F$2:$AR$2, 0)), 0)))</f>
        <v>PTE DARREN</v>
      </c>
      <c r="G36" s="29" t="str">
        <f t="shared" si="8"/>
        <v>PTE JIREH</v>
      </c>
      <c r="H36" s="29" t="str">
        <f t="shared" si="8"/>
        <v>PTE ERNEST</v>
      </c>
      <c r="I36" s="29" t="str">
        <f t="shared" si="8"/>
        <v>PTE HAQIMI</v>
      </c>
      <c r="J36" s="29" t="str">
        <f t="shared" si="8"/>
        <v>PTE AMIN</v>
      </c>
      <c r="K36" s="29" t="str">
        <f t="shared" si="8"/>
        <v>PTE RIFQI</v>
      </c>
      <c r="L36" s="29" t="str">
        <f t="shared" si="8"/>
        <v>PTE LI HUI</v>
      </c>
      <c r="M36" s="29" t="str">
        <f t="shared" si="8"/>
        <v>PTE EZRA</v>
      </c>
      <c r="N36" s="29" t="str">
        <f t="shared" si="8"/>
        <v>PTE REUVEN</v>
      </c>
      <c r="O36" s="29" t="str">
        <f t="shared" si="8"/>
        <v>REC HAO QIAN</v>
      </c>
      <c r="P36" s="29" t="str">
        <f t="shared" si="8"/>
        <v>PTE MATTHEW</v>
      </c>
      <c r="Q36" s="29" t="str">
        <f t="shared" si="8"/>
        <v>PTE AMIN</v>
      </c>
      <c r="R36" s="29" t="str">
        <f t="shared" si="8"/>
        <v>CPL YUSUF</v>
      </c>
      <c r="S36" s="29" t="str">
        <f t="shared" si="8"/>
        <v>PTE DANIEL</v>
      </c>
      <c r="T36" s="29" t="str">
        <f t="shared" si="8"/>
        <v>PTE LI HUI</v>
      </c>
      <c r="U36" s="29" t="str">
        <f t="shared" si="8"/>
        <v>REC ETHAN</v>
      </c>
      <c r="V36" s="29" t="str">
        <f t="shared" si="8"/>
        <v>REC PARAM</v>
      </c>
      <c r="W36" s="29" t="str">
        <f t="shared" si="8"/>
        <v>PTE ADAM</v>
      </c>
      <c r="X36" s="29" t="str">
        <f t="shared" si="8"/>
        <v>PTE HOI REI</v>
      </c>
      <c r="Y36" s="29" t="str">
        <f t="shared" si="8"/>
        <v>PTE ANGELO</v>
      </c>
      <c r="Z36" s="29" t="str">
        <f t="shared" si="8"/>
        <v>PTE XIAO YU</v>
      </c>
      <c r="AA36" s="29" t="str">
        <f t="shared" si="8"/>
        <v>PTE MATTHEW</v>
      </c>
      <c r="AB36" s="29" t="str">
        <f t="shared" si="8"/>
        <v>PTE DANIEL</v>
      </c>
      <c r="AC36" s="29" t="str">
        <f t="shared" si="8"/>
        <v>PTE AFIF</v>
      </c>
      <c r="AD36" s="29" t="str">
        <f t="shared" si="8"/>
        <v>PTE FIRMAN</v>
      </c>
      <c r="AE36" s="29" t="str">
        <f t="shared" si="8"/>
        <v>PTE DARREN</v>
      </c>
      <c r="AF36" s="29" t="str">
        <f t="shared" si="8"/>
        <v>PTE XIAO YU</v>
      </c>
      <c r="AG36" s="29" t="str">
        <f t="shared" si="8"/>
        <v>REC HAO QIAN</v>
      </c>
      <c r="AH36" s="29" t="str">
        <f t="shared" si="8"/>
        <v>PTE ADAM</v>
      </c>
      <c r="AI36" s="29" t="str">
        <f t="shared" si="8"/>
        <v>PTE ERNEST</v>
      </c>
      <c r="AJ36" s="29" t="str">
        <f t="shared" si="8"/>
        <v>REC ETHAN</v>
      </c>
      <c r="AK36" s="29" t="str">
        <f t="shared" si="8"/>
        <v>PTE REUVEN</v>
      </c>
      <c r="AL36" s="29" t="str">
        <f t="shared" si="8"/>
        <v>REC RUI FENG</v>
      </c>
      <c r="AM36" s="29" t="str">
        <f t="shared" si="8"/>
        <v>PTE EZRA</v>
      </c>
      <c r="AN36" s="29" t="str">
        <f t="shared" si="8"/>
        <v>PTE YORI</v>
      </c>
      <c r="AO36" s="29" t="str">
        <f t="shared" si="8"/>
        <v>PTE FIRMAN</v>
      </c>
      <c r="AP36" s="29" t="str">
        <f t="shared" si="8"/>
        <v>CPL YUSUF</v>
      </c>
      <c r="AQ36" s="29" t="str">
        <f t="shared" si="8"/>
        <v>PTE AFIF</v>
      </c>
      <c r="AR36" s="29" t="str">
        <f t="shared" si="8"/>
        <v>PTE HOI REI</v>
      </c>
    </row>
    <row r="37">
      <c r="E37" s="17" t="s">
        <v>72</v>
      </c>
      <c r="F37" s="28" t="str">
        <f t="shared" ref="F37:AR37" si="9">INDEX($A$3:$A$32, MATCH("R", INDEX($F$3:$AR$32, 0, MATCH(F2, $F$2:$AR$2, 0)), 0))</f>
        <v>PTE XIAO YU</v>
      </c>
      <c r="G37" s="28" t="str">
        <f t="shared" si="9"/>
        <v>PTE AMIN</v>
      </c>
      <c r="H37" s="28" t="str">
        <f t="shared" si="9"/>
        <v>PTE DARREN</v>
      </c>
      <c r="I37" s="28" t="str">
        <f t="shared" si="9"/>
        <v>PTE ERNEST</v>
      </c>
      <c r="J37" s="28" t="str">
        <f t="shared" si="9"/>
        <v>REC ETHAN</v>
      </c>
      <c r="K37" s="28" t="str">
        <f t="shared" si="9"/>
        <v>PTE LI HUI</v>
      </c>
      <c r="L37" s="28" t="str">
        <f t="shared" si="9"/>
        <v>PTE ADAM</v>
      </c>
      <c r="M37" s="28" t="str">
        <f t="shared" si="9"/>
        <v>REC PARAM</v>
      </c>
      <c r="N37" s="28" t="str">
        <f t="shared" si="9"/>
        <v>CPL YUSUF</v>
      </c>
      <c r="O37" s="28" t="str">
        <f t="shared" si="9"/>
        <v>PTE MATTHEW</v>
      </c>
      <c r="P37" s="28" t="str">
        <f t="shared" si="9"/>
        <v>REC ETHAN</v>
      </c>
      <c r="Q37" s="28" t="str">
        <f t="shared" si="9"/>
        <v>PTE HAQIMI</v>
      </c>
      <c r="R37" s="28" t="str">
        <f t="shared" si="9"/>
        <v>PTE HOI REI</v>
      </c>
      <c r="S37" s="28" t="str">
        <f t="shared" si="9"/>
        <v>PTE ANGELO</v>
      </c>
      <c r="T37" s="28" t="str">
        <f t="shared" si="9"/>
        <v>PTE ERNEST</v>
      </c>
      <c r="U37" s="28" t="str">
        <f t="shared" si="9"/>
        <v>PTE AMIN</v>
      </c>
      <c r="V37" s="28" t="str">
        <f t="shared" si="9"/>
        <v>PTE RIFQI</v>
      </c>
      <c r="W37" s="28" t="str">
        <f t="shared" si="9"/>
        <v>PTE REUVEN</v>
      </c>
      <c r="X37" s="28" t="str">
        <f t="shared" si="9"/>
        <v>CPL YUSUF</v>
      </c>
      <c r="Y37" s="28" t="str">
        <f t="shared" si="9"/>
        <v>PTE AFIF</v>
      </c>
      <c r="Z37" s="28" t="str">
        <f t="shared" si="9"/>
        <v>PTE ADAM</v>
      </c>
      <c r="AA37" s="28" t="str">
        <f t="shared" si="9"/>
        <v>PTE DANIEL</v>
      </c>
      <c r="AB37" s="28" t="str">
        <f t="shared" si="9"/>
        <v>PTE DARREN</v>
      </c>
      <c r="AC37" s="28" t="str">
        <f t="shared" si="9"/>
        <v>PTE YORI</v>
      </c>
      <c r="AD37" s="28" t="str">
        <f t="shared" si="9"/>
        <v>PTE JIREH</v>
      </c>
      <c r="AE37" s="28" t="str">
        <f t="shared" si="9"/>
        <v>REC RUI FENG</v>
      </c>
      <c r="AF37" s="28" t="str">
        <f t="shared" si="9"/>
        <v>PTE DANIEL</v>
      </c>
      <c r="AG37" s="28" t="str">
        <f t="shared" si="9"/>
        <v>PTE JIREH</v>
      </c>
      <c r="AH37" s="28" t="str">
        <f t="shared" si="9"/>
        <v>PTE MATTHEW</v>
      </c>
      <c r="AI37" s="28" t="str">
        <f t="shared" si="9"/>
        <v>PTE HAQIMI</v>
      </c>
      <c r="AJ37" s="28" t="str">
        <f t="shared" si="9"/>
        <v>PTE ANGELO</v>
      </c>
      <c r="AK37" s="28" t="str">
        <f t="shared" si="9"/>
        <v>REC HAO QIAN</v>
      </c>
      <c r="AL37" s="28" t="str">
        <f t="shared" si="9"/>
        <v>PTE AFIF</v>
      </c>
      <c r="AM37" s="28" t="str">
        <f t="shared" si="9"/>
        <v>REC HAO QIAN</v>
      </c>
      <c r="AN37" s="28" t="str">
        <f t="shared" si="9"/>
        <v>REC PARAM</v>
      </c>
      <c r="AO37" s="28" t="str">
        <f t="shared" si="9"/>
        <v>PTE HOI REI</v>
      </c>
      <c r="AP37" s="28" t="str">
        <f t="shared" si="9"/>
        <v>PTE XIAO YU</v>
      </c>
      <c r="AQ37" s="28" t="str">
        <f t="shared" si="9"/>
        <v>PTE FIRMAN</v>
      </c>
      <c r="AR37" s="28" t="str">
        <f t="shared" si="9"/>
        <v>PTE EZRA</v>
      </c>
    </row>
    <row r="38">
      <c r="E38" s="17" t="s">
        <v>70</v>
      </c>
      <c r="F38" s="30" t="str">
        <f t="shared" ref="F38:AR38" si="10">INDEX($A$3:$A$32, MATCH("R2", INDEX($F$3:$AR$32, 0, MATCH(F2, $F$2:$AR$2, 0)), 0))</f>
        <v>CPL YUSUF</v>
      </c>
      <c r="G38" s="30" t="str">
        <f t="shared" si="10"/>
        <v>PTE REUVEN</v>
      </c>
      <c r="H38" s="30" t="str">
        <f t="shared" si="10"/>
        <v>REC ETHAN</v>
      </c>
      <c r="I38" s="30" t="str">
        <f t="shared" si="10"/>
        <v>PTE JIREH</v>
      </c>
      <c r="J38" s="30" t="str">
        <f t="shared" si="10"/>
        <v>PTE EZRA</v>
      </c>
      <c r="K38" s="30" t="str">
        <f t="shared" si="10"/>
        <v>PTE HAQIMI</v>
      </c>
      <c r="L38" s="30" t="str">
        <f t="shared" si="10"/>
        <v>PTE FIRMAN</v>
      </c>
      <c r="M38" s="30" t="str">
        <f t="shared" si="10"/>
        <v>PTE RIFQI</v>
      </c>
      <c r="N38" s="30" t="str">
        <f t="shared" si="10"/>
        <v>REC ETHAN</v>
      </c>
      <c r="O38" s="30" t="str">
        <f t="shared" si="10"/>
        <v>PTE JIREH</v>
      </c>
      <c r="P38" s="30" t="str">
        <f t="shared" si="10"/>
        <v>PTE EZRA</v>
      </c>
      <c r="Q38" s="30" t="str">
        <f t="shared" si="10"/>
        <v>REC HAO QIAN</v>
      </c>
      <c r="R38" s="30" t="str">
        <f t="shared" si="10"/>
        <v>PTE ADAM</v>
      </c>
      <c r="S38" s="30" t="str">
        <f t="shared" si="10"/>
        <v>PTE MATTHEW</v>
      </c>
      <c r="T38" s="30" t="str">
        <f t="shared" si="10"/>
        <v>PTE FIRMAN</v>
      </c>
      <c r="U38" s="30" t="str">
        <f t="shared" si="10"/>
        <v>PTE REUVEN</v>
      </c>
      <c r="V38" s="30" t="str">
        <f t="shared" si="10"/>
        <v>PTE ERNEST</v>
      </c>
      <c r="W38" s="30" t="str">
        <f t="shared" si="10"/>
        <v>REC HAO QIAN</v>
      </c>
      <c r="X38" s="30" t="str">
        <f t="shared" si="10"/>
        <v>PTE XIAO YU</v>
      </c>
      <c r="Y38" s="30" t="str">
        <f t="shared" si="10"/>
        <v>PTE DANIEL</v>
      </c>
      <c r="Z38" s="30" t="str">
        <f t="shared" si="10"/>
        <v>PTE HOI REI</v>
      </c>
      <c r="AA38" s="30" t="str">
        <f t="shared" si="10"/>
        <v>PTE ANGELO</v>
      </c>
      <c r="AB38" s="30" t="str">
        <f t="shared" si="10"/>
        <v>PTE XIAO YU</v>
      </c>
      <c r="AC38" s="30" t="str">
        <f t="shared" si="10"/>
        <v>PTE LI HUI</v>
      </c>
      <c r="AD38" s="30" t="str">
        <f t="shared" si="10"/>
        <v>PTE ERNEST</v>
      </c>
      <c r="AE38" s="30" t="str">
        <f t="shared" si="10"/>
        <v>PTE YORI</v>
      </c>
      <c r="AF38" s="30" t="str">
        <f t="shared" si="10"/>
        <v>PTE LI HUI</v>
      </c>
      <c r="AG38" s="30" t="str">
        <f t="shared" si="10"/>
        <v>PTE AMIN</v>
      </c>
      <c r="AH38" s="30" t="str">
        <f t="shared" si="10"/>
        <v>PTE AMIN</v>
      </c>
      <c r="AI38" s="30" t="str">
        <f t="shared" si="10"/>
        <v>PTE AFIF</v>
      </c>
      <c r="AJ38" s="30" t="str">
        <f t="shared" si="10"/>
        <v>PTE ADAM</v>
      </c>
      <c r="AK38" s="30" t="str">
        <f t="shared" si="10"/>
        <v>PTE HAQIMI</v>
      </c>
      <c r="AL38" s="30" t="str">
        <f t="shared" si="10"/>
        <v>REC PARAM</v>
      </c>
      <c r="AM38" s="30" t="str">
        <f t="shared" si="10"/>
        <v>PTE HOI REI</v>
      </c>
      <c r="AN38" s="30" t="str">
        <f t="shared" si="10"/>
        <v>REC RUI FENG</v>
      </c>
      <c r="AO38" s="30" t="str">
        <f t="shared" si="10"/>
        <v>PTE DARREN</v>
      </c>
      <c r="AP38" s="30" t="str">
        <f t="shared" si="10"/>
        <v>PTE ANGELO</v>
      </c>
      <c r="AQ38" s="30" t="str">
        <f t="shared" si="10"/>
        <v>PTE DANIEL</v>
      </c>
      <c r="AR38" s="30" t="str">
        <f t="shared" si="10"/>
        <v>PTE DARREN</v>
      </c>
    </row>
    <row r="39">
      <c r="G39" s="31"/>
    </row>
    <row r="40">
      <c r="G40" s="31"/>
    </row>
    <row r="41">
      <c r="G41" s="31"/>
    </row>
    <row r="42">
      <c r="G42" s="31"/>
    </row>
    <row r="43">
      <c r="G43" s="31"/>
    </row>
    <row r="44">
      <c r="G44" s="31"/>
    </row>
    <row r="45">
      <c r="G45" s="31"/>
    </row>
    <row r="46">
      <c r="G46" s="31"/>
    </row>
    <row r="47">
      <c r="G47" s="31"/>
    </row>
    <row r="48">
      <c r="G48" s="31"/>
    </row>
    <row r="49">
      <c r="A49" s="31"/>
      <c r="C49" s="31"/>
      <c r="G49" s="31"/>
    </row>
    <row r="50">
      <c r="G50" s="31"/>
    </row>
    <row r="51">
      <c r="G51" s="31"/>
    </row>
    <row r="52">
      <c r="G52" s="31"/>
    </row>
    <row r="53">
      <c r="G53" s="31"/>
    </row>
    <row r="54">
      <c r="G54" s="31"/>
    </row>
    <row r="55">
      <c r="G55" s="31"/>
    </row>
    <row r="56">
      <c r="G56" s="31"/>
    </row>
    <row r="57">
      <c r="G57" s="31"/>
    </row>
    <row r="58">
      <c r="G58" s="31"/>
    </row>
    <row r="59">
      <c r="G59" s="31"/>
    </row>
    <row r="60">
      <c r="G60" s="31"/>
    </row>
    <row r="61">
      <c r="G61" s="31"/>
    </row>
    <row r="62">
      <c r="G62" s="31"/>
    </row>
    <row r="63">
      <c r="G63" s="31"/>
    </row>
    <row r="64">
      <c r="G64" s="31"/>
    </row>
    <row r="65">
      <c r="G65" s="31"/>
    </row>
    <row r="66">
      <c r="G66" s="31"/>
    </row>
    <row r="67">
      <c r="G67" s="31"/>
    </row>
    <row r="68">
      <c r="G68" s="31"/>
    </row>
    <row r="69">
      <c r="G69" s="31"/>
    </row>
    <row r="70">
      <c r="G70" s="31"/>
    </row>
    <row r="71">
      <c r="G71" s="31"/>
    </row>
    <row r="72">
      <c r="G72" s="31"/>
    </row>
    <row r="73">
      <c r="G73" s="31"/>
    </row>
    <row r="74">
      <c r="G74" s="31"/>
    </row>
    <row r="75">
      <c r="G75" s="31"/>
    </row>
    <row r="76">
      <c r="G76" s="31"/>
    </row>
    <row r="77">
      <c r="G77" s="31"/>
    </row>
    <row r="78">
      <c r="G78" s="31"/>
    </row>
    <row r="79">
      <c r="G79" s="31"/>
    </row>
    <row r="80">
      <c r="G80" s="31"/>
    </row>
    <row r="81">
      <c r="G81" s="31"/>
    </row>
    <row r="82">
      <c r="G82" s="31"/>
    </row>
    <row r="83">
      <c r="G83" s="31"/>
    </row>
    <row r="84">
      <c r="G84" s="31"/>
    </row>
    <row r="85">
      <c r="G85" s="31"/>
    </row>
    <row r="86">
      <c r="G86" s="31"/>
    </row>
    <row r="87">
      <c r="G87" s="31"/>
    </row>
    <row r="88">
      <c r="G88" s="31"/>
    </row>
    <row r="89">
      <c r="G89" s="31"/>
    </row>
    <row r="90">
      <c r="G90" s="31"/>
    </row>
    <row r="91">
      <c r="G91" s="31"/>
    </row>
    <row r="92">
      <c r="G92" s="31"/>
    </row>
    <row r="93">
      <c r="G93" s="31"/>
    </row>
    <row r="94">
      <c r="G94" s="31"/>
    </row>
    <row r="95">
      <c r="G95" s="31"/>
    </row>
    <row r="96">
      <c r="G96" s="31"/>
    </row>
    <row r="97">
      <c r="G97" s="31"/>
    </row>
    <row r="98">
      <c r="G98" s="31"/>
    </row>
    <row r="99">
      <c r="G99" s="31"/>
    </row>
    <row r="100">
      <c r="G100" s="31"/>
    </row>
    <row r="101">
      <c r="G101" s="31"/>
    </row>
    <row r="102">
      <c r="G102" s="31"/>
    </row>
    <row r="103">
      <c r="G103" s="31"/>
    </row>
    <row r="104">
      <c r="G104" s="31"/>
    </row>
    <row r="105">
      <c r="G105" s="31"/>
    </row>
    <row r="106">
      <c r="G106" s="31"/>
    </row>
    <row r="107">
      <c r="G107" s="31"/>
    </row>
    <row r="108">
      <c r="G108" s="31"/>
    </row>
    <row r="109">
      <c r="G109" s="31"/>
    </row>
    <row r="110">
      <c r="G110" s="31"/>
    </row>
    <row r="111">
      <c r="G111" s="31"/>
    </row>
    <row r="112">
      <c r="G112" s="31"/>
    </row>
    <row r="113">
      <c r="G113" s="31"/>
    </row>
    <row r="114">
      <c r="G114" s="31"/>
    </row>
    <row r="115">
      <c r="G115" s="31"/>
    </row>
    <row r="116">
      <c r="G116" s="31"/>
    </row>
    <row r="117">
      <c r="G117" s="31"/>
    </row>
    <row r="118">
      <c r="G118" s="31"/>
    </row>
    <row r="119">
      <c r="G119" s="31"/>
    </row>
    <row r="120">
      <c r="G120" s="31"/>
    </row>
    <row r="121">
      <c r="G121" s="31"/>
    </row>
    <row r="122">
      <c r="G122" s="31"/>
    </row>
    <row r="123">
      <c r="G123" s="31"/>
    </row>
    <row r="124">
      <c r="G124" s="31"/>
    </row>
    <row r="125">
      <c r="G125" s="31"/>
    </row>
    <row r="126">
      <c r="G126" s="31"/>
    </row>
    <row r="127">
      <c r="G127" s="31"/>
    </row>
    <row r="128">
      <c r="G128" s="31"/>
    </row>
    <row r="129">
      <c r="G129" s="31"/>
    </row>
    <row r="130">
      <c r="G130" s="31"/>
    </row>
    <row r="131">
      <c r="G131" s="31"/>
    </row>
    <row r="132">
      <c r="G132" s="31"/>
    </row>
    <row r="133">
      <c r="G133" s="31"/>
    </row>
    <row r="134">
      <c r="G134" s="31"/>
    </row>
    <row r="135">
      <c r="G135" s="31"/>
    </row>
    <row r="136">
      <c r="G136" s="31"/>
    </row>
    <row r="137">
      <c r="G137" s="31"/>
    </row>
    <row r="138">
      <c r="G138" s="31"/>
    </row>
    <row r="139">
      <c r="G139" s="31"/>
    </row>
    <row r="140">
      <c r="G140" s="31"/>
    </row>
    <row r="141">
      <c r="G141" s="31"/>
    </row>
    <row r="142">
      <c r="G142" s="31"/>
    </row>
    <row r="143">
      <c r="G143" s="31"/>
    </row>
    <row r="144">
      <c r="G144" s="31"/>
    </row>
    <row r="145">
      <c r="G145" s="31"/>
    </row>
    <row r="146">
      <c r="G146" s="31"/>
    </row>
    <row r="147">
      <c r="G147" s="31"/>
    </row>
    <row r="148">
      <c r="G148" s="31"/>
    </row>
    <row r="149">
      <c r="G149" s="31"/>
    </row>
    <row r="150">
      <c r="G150" s="31"/>
    </row>
    <row r="151">
      <c r="G151" s="31"/>
    </row>
    <row r="152">
      <c r="G152" s="31"/>
    </row>
    <row r="153">
      <c r="G153" s="31"/>
    </row>
    <row r="154">
      <c r="G154" s="31"/>
    </row>
    <row r="155">
      <c r="G155" s="31"/>
    </row>
    <row r="156">
      <c r="G156" s="31"/>
    </row>
    <row r="157">
      <c r="G157" s="31"/>
    </row>
    <row r="158">
      <c r="G158" s="31"/>
    </row>
    <row r="159">
      <c r="G159" s="31"/>
    </row>
    <row r="160">
      <c r="G160" s="31"/>
    </row>
    <row r="161">
      <c r="G161" s="31"/>
    </row>
    <row r="162">
      <c r="G162" s="31"/>
    </row>
    <row r="163">
      <c r="G163" s="31"/>
    </row>
    <row r="164">
      <c r="G164" s="31"/>
    </row>
    <row r="165">
      <c r="G165" s="31"/>
    </row>
    <row r="166">
      <c r="G166" s="31"/>
    </row>
    <row r="167">
      <c r="G167" s="31"/>
    </row>
    <row r="168">
      <c r="G168" s="31"/>
    </row>
    <row r="169">
      <c r="G169" s="31"/>
    </row>
    <row r="170">
      <c r="G170" s="31"/>
    </row>
    <row r="171">
      <c r="G171" s="31"/>
    </row>
    <row r="172">
      <c r="G172" s="31"/>
    </row>
    <row r="173">
      <c r="G173" s="31"/>
    </row>
    <row r="174">
      <c r="G174" s="31"/>
    </row>
    <row r="175">
      <c r="G175" s="31"/>
    </row>
    <row r="176">
      <c r="G176" s="31"/>
    </row>
    <row r="177">
      <c r="G177" s="31"/>
    </row>
    <row r="178">
      <c r="G178" s="31"/>
    </row>
    <row r="179">
      <c r="G179" s="31"/>
    </row>
    <row r="180">
      <c r="G180" s="31"/>
    </row>
    <row r="181">
      <c r="G181" s="31"/>
    </row>
    <row r="182">
      <c r="G182" s="31"/>
    </row>
    <row r="183">
      <c r="G183" s="31"/>
    </row>
    <row r="184">
      <c r="G184" s="31"/>
    </row>
    <row r="185">
      <c r="G185" s="31"/>
    </row>
    <row r="186">
      <c r="G186" s="31"/>
    </row>
    <row r="187">
      <c r="G187" s="31"/>
    </row>
    <row r="188">
      <c r="G188" s="31"/>
    </row>
    <row r="189">
      <c r="G189" s="31"/>
    </row>
    <row r="190">
      <c r="G190" s="31"/>
    </row>
    <row r="191">
      <c r="G191" s="31"/>
    </row>
    <row r="192">
      <c r="G192" s="31"/>
    </row>
    <row r="193">
      <c r="G193" s="31"/>
    </row>
    <row r="194">
      <c r="G194" s="31"/>
    </row>
    <row r="195">
      <c r="G195" s="31"/>
    </row>
    <row r="196">
      <c r="G196" s="31"/>
    </row>
    <row r="197">
      <c r="G197" s="31"/>
    </row>
    <row r="198">
      <c r="G198" s="31"/>
    </row>
    <row r="199">
      <c r="G199" s="31"/>
    </row>
    <row r="200">
      <c r="G200" s="31"/>
    </row>
    <row r="201">
      <c r="G201" s="31"/>
    </row>
    <row r="202">
      <c r="G202" s="31"/>
    </row>
    <row r="203">
      <c r="G203" s="31"/>
    </row>
    <row r="204">
      <c r="G204" s="31"/>
    </row>
    <row r="205">
      <c r="G205" s="31"/>
    </row>
    <row r="206">
      <c r="G206" s="31"/>
    </row>
    <row r="207">
      <c r="G207" s="31"/>
    </row>
    <row r="208">
      <c r="G208" s="31"/>
    </row>
    <row r="209">
      <c r="G209" s="31"/>
    </row>
    <row r="210">
      <c r="G210" s="31"/>
    </row>
    <row r="211">
      <c r="G211" s="31"/>
    </row>
    <row r="212">
      <c r="G212" s="31"/>
    </row>
    <row r="213">
      <c r="G213" s="31"/>
    </row>
    <row r="214">
      <c r="G214" s="31"/>
    </row>
    <row r="215">
      <c r="G215" s="31"/>
    </row>
    <row r="216">
      <c r="G216" s="31"/>
    </row>
    <row r="217">
      <c r="G217" s="31"/>
    </row>
    <row r="218">
      <c r="G218" s="31"/>
    </row>
    <row r="219">
      <c r="G219" s="31"/>
    </row>
    <row r="220">
      <c r="G220" s="31"/>
    </row>
    <row r="221">
      <c r="G221" s="31"/>
    </row>
    <row r="222">
      <c r="G222" s="31"/>
    </row>
    <row r="223">
      <c r="G223" s="31"/>
    </row>
    <row r="224">
      <c r="G224" s="31"/>
    </row>
    <row r="225">
      <c r="G225" s="31"/>
    </row>
    <row r="226">
      <c r="G226" s="31"/>
    </row>
    <row r="227">
      <c r="G227" s="31"/>
    </row>
    <row r="228">
      <c r="G228" s="31"/>
    </row>
    <row r="229">
      <c r="G229" s="31"/>
    </row>
    <row r="230">
      <c r="G230" s="31"/>
    </row>
    <row r="231">
      <c r="G231" s="31"/>
    </row>
    <row r="232">
      <c r="G232" s="31"/>
    </row>
    <row r="233">
      <c r="G233" s="31"/>
    </row>
    <row r="234">
      <c r="G234" s="31"/>
    </row>
    <row r="235">
      <c r="G235" s="31"/>
    </row>
    <row r="236">
      <c r="G236" s="31"/>
    </row>
    <row r="237">
      <c r="G237" s="31"/>
    </row>
    <row r="238">
      <c r="G238" s="31"/>
    </row>
    <row r="239">
      <c r="G239" s="31"/>
    </row>
    <row r="240">
      <c r="G240" s="31"/>
    </row>
    <row r="241">
      <c r="G241" s="31"/>
    </row>
    <row r="242">
      <c r="G242" s="31"/>
    </row>
    <row r="243">
      <c r="G243" s="31"/>
    </row>
    <row r="244">
      <c r="G244" s="31"/>
    </row>
    <row r="245">
      <c r="G245" s="31"/>
    </row>
    <row r="246">
      <c r="G246" s="31"/>
    </row>
    <row r="247">
      <c r="G247" s="31"/>
    </row>
    <row r="248">
      <c r="G248" s="31"/>
    </row>
    <row r="249">
      <c r="G249" s="31"/>
    </row>
    <row r="250">
      <c r="G250" s="31"/>
    </row>
    <row r="251">
      <c r="G251" s="31"/>
    </row>
    <row r="252">
      <c r="G252" s="31"/>
    </row>
    <row r="253">
      <c r="G253" s="31"/>
    </row>
    <row r="254">
      <c r="G254" s="31"/>
    </row>
    <row r="255">
      <c r="G255" s="31"/>
    </row>
    <row r="256">
      <c r="G256" s="31"/>
    </row>
    <row r="257">
      <c r="G257" s="31"/>
    </row>
    <row r="258">
      <c r="G258" s="31"/>
    </row>
    <row r="259">
      <c r="G259" s="31"/>
    </row>
    <row r="260">
      <c r="G260" s="31"/>
    </row>
    <row r="261">
      <c r="G261" s="31"/>
    </row>
    <row r="262">
      <c r="G262" s="31"/>
    </row>
    <row r="263">
      <c r="G263" s="31"/>
    </row>
    <row r="264">
      <c r="G264" s="31"/>
    </row>
    <row r="265">
      <c r="G265" s="31"/>
    </row>
    <row r="266">
      <c r="G266" s="31"/>
    </row>
    <row r="267">
      <c r="G267" s="31"/>
    </row>
    <row r="268">
      <c r="G268" s="31"/>
    </row>
    <row r="269">
      <c r="G269" s="31"/>
    </row>
    <row r="270">
      <c r="G270" s="31"/>
    </row>
    <row r="271">
      <c r="G271" s="31"/>
    </row>
    <row r="272">
      <c r="G272" s="31"/>
    </row>
    <row r="273">
      <c r="G273" s="31"/>
    </row>
    <row r="274">
      <c r="G274" s="31"/>
    </row>
    <row r="275">
      <c r="G275" s="31"/>
    </row>
    <row r="276">
      <c r="G276" s="31"/>
    </row>
    <row r="277">
      <c r="G277" s="31"/>
    </row>
    <row r="278">
      <c r="G278" s="31"/>
    </row>
    <row r="279">
      <c r="G279" s="31"/>
    </row>
    <row r="280">
      <c r="G280" s="31"/>
    </row>
    <row r="281">
      <c r="G281" s="31"/>
    </row>
    <row r="282">
      <c r="G282" s="31"/>
    </row>
    <row r="283">
      <c r="G283" s="31"/>
    </row>
    <row r="284">
      <c r="G284" s="31"/>
    </row>
    <row r="285">
      <c r="G285" s="31"/>
    </row>
    <row r="286">
      <c r="G286" s="31"/>
    </row>
    <row r="287">
      <c r="G287" s="31"/>
    </row>
    <row r="288">
      <c r="G288" s="31"/>
    </row>
    <row r="289">
      <c r="G289" s="31"/>
    </row>
    <row r="290">
      <c r="G290" s="31"/>
    </row>
    <row r="291">
      <c r="G291" s="31"/>
    </row>
    <row r="292">
      <c r="G292" s="31"/>
    </row>
    <row r="293">
      <c r="G293" s="31"/>
    </row>
    <row r="294">
      <c r="G294" s="31"/>
    </row>
    <row r="295">
      <c r="G295" s="31"/>
    </row>
    <row r="296">
      <c r="G296" s="31"/>
    </row>
    <row r="297">
      <c r="G297" s="31"/>
    </row>
    <row r="298">
      <c r="G298" s="31"/>
    </row>
    <row r="299">
      <c r="G299" s="31"/>
    </row>
    <row r="300">
      <c r="G300" s="31"/>
    </row>
    <row r="301">
      <c r="G301" s="31"/>
    </row>
    <row r="302">
      <c r="G302" s="31"/>
    </row>
    <row r="303">
      <c r="G303" s="31"/>
    </row>
    <row r="304">
      <c r="G304" s="31"/>
    </row>
    <row r="305">
      <c r="G305" s="31"/>
    </row>
    <row r="306">
      <c r="G306" s="31"/>
    </row>
    <row r="307">
      <c r="G307" s="31"/>
    </row>
    <row r="308">
      <c r="G308" s="31"/>
    </row>
    <row r="309">
      <c r="G309" s="31"/>
    </row>
    <row r="310">
      <c r="G310" s="31"/>
    </row>
    <row r="311">
      <c r="G311" s="31"/>
    </row>
    <row r="312">
      <c r="G312" s="31"/>
    </row>
    <row r="313">
      <c r="G313" s="31"/>
    </row>
    <row r="314">
      <c r="G314" s="31"/>
    </row>
    <row r="315">
      <c r="G315" s="31"/>
    </row>
    <row r="316">
      <c r="G316" s="31"/>
    </row>
    <row r="317">
      <c r="G317" s="31"/>
    </row>
    <row r="318">
      <c r="G318" s="31"/>
    </row>
    <row r="319">
      <c r="G319" s="31"/>
    </row>
    <row r="320">
      <c r="G320" s="31"/>
    </row>
    <row r="321">
      <c r="G321" s="31"/>
    </row>
    <row r="322">
      <c r="G322" s="31"/>
    </row>
    <row r="323">
      <c r="G323" s="31"/>
    </row>
    <row r="324">
      <c r="G324" s="31"/>
    </row>
    <row r="325">
      <c r="G325" s="31"/>
    </row>
    <row r="326">
      <c r="G326" s="31"/>
    </row>
    <row r="327">
      <c r="G327" s="31"/>
    </row>
    <row r="328">
      <c r="G328" s="31"/>
    </row>
    <row r="329">
      <c r="G329" s="31"/>
    </row>
    <row r="330">
      <c r="G330" s="31"/>
    </row>
    <row r="331">
      <c r="G331" s="31"/>
    </row>
    <row r="332">
      <c r="G332" s="31"/>
    </row>
    <row r="333">
      <c r="G333" s="31"/>
    </row>
    <row r="334">
      <c r="G334" s="31"/>
    </row>
    <row r="335">
      <c r="G335" s="31"/>
    </row>
    <row r="336">
      <c r="G336" s="31"/>
    </row>
    <row r="337">
      <c r="G337" s="31"/>
    </row>
    <row r="338">
      <c r="G338" s="31"/>
    </row>
    <row r="339">
      <c r="G339" s="31"/>
    </row>
    <row r="340">
      <c r="G340" s="31"/>
    </row>
    <row r="341">
      <c r="G341" s="31"/>
    </row>
    <row r="342">
      <c r="G342" s="31"/>
    </row>
    <row r="343">
      <c r="G343" s="31"/>
    </row>
    <row r="344">
      <c r="G344" s="31"/>
    </row>
    <row r="345">
      <c r="G345" s="31"/>
    </row>
    <row r="346">
      <c r="G346" s="31"/>
    </row>
    <row r="347">
      <c r="G347" s="31"/>
    </row>
    <row r="348">
      <c r="G348" s="31"/>
    </row>
    <row r="349">
      <c r="G349" s="31"/>
    </row>
    <row r="350">
      <c r="G350" s="31"/>
    </row>
    <row r="351">
      <c r="G351" s="31"/>
    </row>
    <row r="352">
      <c r="G352" s="31"/>
    </row>
    <row r="353">
      <c r="G353" s="31"/>
    </row>
    <row r="354">
      <c r="G354" s="31"/>
    </row>
    <row r="355">
      <c r="G355" s="31"/>
    </row>
    <row r="356">
      <c r="G356" s="31"/>
    </row>
    <row r="357">
      <c r="G357" s="31"/>
    </row>
    <row r="358">
      <c r="G358" s="31"/>
    </row>
    <row r="359">
      <c r="G359" s="31"/>
    </row>
    <row r="360">
      <c r="G360" s="31"/>
    </row>
    <row r="361">
      <c r="G361" s="31"/>
    </row>
    <row r="362">
      <c r="G362" s="31"/>
    </row>
    <row r="363">
      <c r="G363" s="31"/>
    </row>
    <row r="364">
      <c r="G364" s="31"/>
    </row>
    <row r="365">
      <c r="G365" s="31"/>
    </row>
    <row r="366">
      <c r="G366" s="31"/>
    </row>
    <row r="367">
      <c r="G367" s="31"/>
    </row>
    <row r="368">
      <c r="G368" s="31"/>
    </row>
    <row r="369">
      <c r="G369" s="31"/>
    </row>
    <row r="370">
      <c r="G370" s="31"/>
    </row>
    <row r="371">
      <c r="G371" s="31"/>
    </row>
    <row r="372">
      <c r="G372" s="31"/>
    </row>
    <row r="373">
      <c r="G373" s="31"/>
    </row>
    <row r="374">
      <c r="G374" s="31"/>
    </row>
    <row r="375">
      <c r="G375" s="31"/>
    </row>
    <row r="376">
      <c r="G376" s="31"/>
    </row>
    <row r="377">
      <c r="G377" s="31"/>
    </row>
    <row r="378">
      <c r="G378" s="31"/>
    </row>
    <row r="379">
      <c r="G379" s="31"/>
    </row>
    <row r="380">
      <c r="G380" s="31"/>
    </row>
    <row r="381">
      <c r="G381" s="31"/>
    </row>
    <row r="382">
      <c r="G382" s="31"/>
    </row>
    <row r="383">
      <c r="G383" s="31"/>
    </row>
    <row r="384">
      <c r="G384" s="31"/>
    </row>
    <row r="385">
      <c r="G385" s="31"/>
    </row>
    <row r="386">
      <c r="G386" s="31"/>
    </row>
    <row r="387">
      <c r="G387" s="31"/>
    </row>
    <row r="388">
      <c r="G388" s="31"/>
    </row>
    <row r="389">
      <c r="G389" s="31"/>
    </row>
    <row r="390">
      <c r="G390" s="31"/>
    </row>
    <row r="391">
      <c r="G391" s="31"/>
    </row>
    <row r="392">
      <c r="G392" s="31"/>
    </row>
    <row r="393">
      <c r="G393" s="31"/>
    </row>
    <row r="394">
      <c r="G394" s="31"/>
    </row>
    <row r="395">
      <c r="G395" s="31"/>
    </row>
    <row r="396">
      <c r="G396" s="31"/>
    </row>
    <row r="397">
      <c r="G397" s="31"/>
    </row>
    <row r="398">
      <c r="G398" s="31"/>
    </row>
    <row r="399">
      <c r="G399" s="31"/>
    </row>
    <row r="400">
      <c r="G400" s="31"/>
    </row>
    <row r="401">
      <c r="G401" s="31"/>
    </row>
    <row r="402">
      <c r="G402" s="31"/>
    </row>
    <row r="403">
      <c r="G403" s="31"/>
    </row>
    <row r="404">
      <c r="G404" s="31"/>
    </row>
    <row r="405">
      <c r="G405" s="31"/>
    </row>
    <row r="406">
      <c r="G406" s="31"/>
    </row>
    <row r="407">
      <c r="G407" s="31"/>
    </row>
    <row r="408">
      <c r="G408" s="31"/>
    </row>
    <row r="409">
      <c r="G409" s="31"/>
    </row>
    <row r="410">
      <c r="G410" s="31"/>
    </row>
    <row r="411">
      <c r="G411" s="31"/>
    </row>
    <row r="412">
      <c r="G412" s="31"/>
    </row>
    <row r="413">
      <c r="G413" s="31"/>
    </row>
    <row r="414">
      <c r="G414" s="31"/>
    </row>
    <row r="415">
      <c r="G415" s="31"/>
    </row>
    <row r="416">
      <c r="G416" s="31"/>
    </row>
    <row r="417">
      <c r="G417" s="31"/>
    </row>
    <row r="418">
      <c r="G418" s="31"/>
    </row>
    <row r="419">
      <c r="G419" s="31"/>
    </row>
    <row r="420">
      <c r="G420" s="31"/>
    </row>
    <row r="421">
      <c r="G421" s="31"/>
    </row>
    <row r="422">
      <c r="G422" s="31"/>
    </row>
    <row r="423">
      <c r="G423" s="31"/>
    </row>
    <row r="424">
      <c r="G424" s="31"/>
    </row>
    <row r="425">
      <c r="G425" s="31"/>
    </row>
    <row r="426">
      <c r="G426" s="31"/>
    </row>
    <row r="427">
      <c r="G427" s="31"/>
    </row>
    <row r="428">
      <c r="G428" s="31"/>
    </row>
    <row r="429">
      <c r="G429" s="31"/>
    </row>
    <row r="430">
      <c r="G430" s="31"/>
    </row>
    <row r="431">
      <c r="G431" s="31"/>
    </row>
    <row r="432">
      <c r="G432" s="31"/>
    </row>
    <row r="433">
      <c r="G433" s="31"/>
    </row>
    <row r="434">
      <c r="G434" s="31"/>
    </row>
    <row r="435">
      <c r="G435" s="31"/>
    </row>
    <row r="436">
      <c r="G436" s="31"/>
    </row>
    <row r="437">
      <c r="G437" s="31"/>
    </row>
    <row r="438">
      <c r="G438" s="31"/>
    </row>
    <row r="439">
      <c r="G439" s="31"/>
    </row>
    <row r="440">
      <c r="G440" s="31"/>
    </row>
    <row r="441">
      <c r="G441" s="31"/>
    </row>
    <row r="442">
      <c r="G442" s="31"/>
    </row>
    <row r="443">
      <c r="G443" s="31"/>
    </row>
    <row r="444">
      <c r="G444" s="31"/>
    </row>
    <row r="445">
      <c r="G445" s="31"/>
    </row>
    <row r="446">
      <c r="G446" s="31"/>
    </row>
    <row r="447">
      <c r="G447" s="31"/>
    </row>
    <row r="448">
      <c r="G448" s="31"/>
    </row>
    <row r="449">
      <c r="G449" s="31"/>
    </row>
    <row r="450">
      <c r="G450" s="31"/>
    </row>
    <row r="451">
      <c r="G451" s="31"/>
    </row>
    <row r="452">
      <c r="G452" s="31"/>
    </row>
    <row r="453">
      <c r="G453" s="31"/>
    </row>
    <row r="454">
      <c r="G454" s="31"/>
    </row>
    <row r="455">
      <c r="G455" s="31"/>
    </row>
    <row r="456">
      <c r="G456" s="31"/>
    </row>
    <row r="457">
      <c r="G457" s="31"/>
    </row>
    <row r="458">
      <c r="G458" s="31"/>
    </row>
    <row r="459">
      <c r="G459" s="31"/>
    </row>
    <row r="460">
      <c r="G460" s="31"/>
    </row>
    <row r="461">
      <c r="G461" s="31"/>
    </row>
    <row r="462">
      <c r="G462" s="31"/>
    </row>
    <row r="463">
      <c r="G463" s="31"/>
    </row>
    <row r="464">
      <c r="G464" s="31"/>
    </row>
    <row r="465">
      <c r="G465" s="31"/>
    </row>
    <row r="466">
      <c r="G466" s="31"/>
    </row>
    <row r="467">
      <c r="G467" s="31"/>
    </row>
    <row r="468">
      <c r="G468" s="31"/>
    </row>
    <row r="469">
      <c r="G469" s="31"/>
    </row>
    <row r="470">
      <c r="G470" s="31"/>
    </row>
    <row r="471">
      <c r="G471" s="31"/>
    </row>
    <row r="472">
      <c r="G472" s="31"/>
    </row>
    <row r="473">
      <c r="G473" s="31"/>
    </row>
    <row r="474">
      <c r="G474" s="31"/>
    </row>
    <row r="475">
      <c r="G475" s="31"/>
    </row>
    <row r="476">
      <c r="G476" s="31"/>
    </row>
    <row r="477">
      <c r="G477" s="31"/>
    </row>
    <row r="478">
      <c r="G478" s="31"/>
    </row>
    <row r="479">
      <c r="G479" s="31"/>
    </row>
    <row r="480">
      <c r="G480" s="31"/>
    </row>
    <row r="481">
      <c r="G481" s="31"/>
    </row>
    <row r="482">
      <c r="G482" s="31"/>
    </row>
    <row r="483">
      <c r="G483" s="31"/>
    </row>
    <row r="484">
      <c r="G484" s="31"/>
    </row>
    <row r="485">
      <c r="G485" s="31"/>
    </row>
    <row r="486">
      <c r="G486" s="31"/>
    </row>
    <row r="487">
      <c r="G487" s="31"/>
    </row>
    <row r="488">
      <c r="G488" s="31"/>
    </row>
    <row r="489">
      <c r="G489" s="31"/>
    </row>
    <row r="490">
      <c r="G490" s="31"/>
    </row>
    <row r="491">
      <c r="G491" s="31"/>
    </row>
    <row r="492">
      <c r="G492" s="31"/>
    </row>
    <row r="493">
      <c r="G493" s="31"/>
    </row>
    <row r="494">
      <c r="G494" s="31"/>
    </row>
    <row r="495">
      <c r="G495" s="31"/>
    </row>
    <row r="496">
      <c r="G496" s="31"/>
    </row>
    <row r="497">
      <c r="G497" s="31"/>
    </row>
    <row r="498">
      <c r="G498" s="31"/>
    </row>
    <row r="499">
      <c r="G499" s="31"/>
    </row>
    <row r="500">
      <c r="G500" s="31"/>
    </row>
    <row r="501">
      <c r="G501" s="31"/>
    </row>
    <row r="502">
      <c r="G502" s="31"/>
    </row>
    <row r="503">
      <c r="G503" s="31"/>
    </row>
    <row r="504">
      <c r="G504" s="31"/>
    </row>
    <row r="505">
      <c r="G505" s="31"/>
    </row>
    <row r="506">
      <c r="G506" s="31"/>
    </row>
    <row r="507">
      <c r="G507" s="31"/>
    </row>
    <row r="508">
      <c r="G508" s="31"/>
    </row>
    <row r="509">
      <c r="G509" s="31"/>
    </row>
    <row r="510">
      <c r="G510" s="31"/>
    </row>
    <row r="511">
      <c r="G511" s="31"/>
    </row>
    <row r="512">
      <c r="G512" s="31"/>
    </row>
    <row r="513">
      <c r="G513" s="31"/>
    </row>
    <row r="514">
      <c r="G514" s="31"/>
    </row>
    <row r="515">
      <c r="G515" s="31"/>
    </row>
    <row r="516">
      <c r="G516" s="31"/>
    </row>
    <row r="517">
      <c r="G517" s="31"/>
    </row>
    <row r="518">
      <c r="G518" s="31"/>
    </row>
    <row r="519">
      <c r="G519" s="31"/>
    </row>
    <row r="520">
      <c r="G520" s="31"/>
    </row>
    <row r="521">
      <c r="G521" s="31"/>
    </row>
    <row r="522">
      <c r="G522" s="31"/>
    </row>
    <row r="523">
      <c r="G523" s="31"/>
    </row>
    <row r="524">
      <c r="G524" s="31"/>
    </row>
    <row r="525">
      <c r="G525" s="31"/>
    </row>
    <row r="526">
      <c r="G526" s="31"/>
    </row>
    <row r="527">
      <c r="G527" s="31"/>
    </row>
    <row r="528">
      <c r="G528" s="31"/>
    </row>
    <row r="529">
      <c r="G529" s="31"/>
    </row>
    <row r="530">
      <c r="G530" s="31"/>
    </row>
    <row r="531">
      <c r="G531" s="31"/>
    </row>
    <row r="532">
      <c r="G532" s="31"/>
    </row>
    <row r="533">
      <c r="G533" s="31"/>
    </row>
    <row r="534">
      <c r="G534" s="31"/>
    </row>
    <row r="535">
      <c r="G535" s="31"/>
    </row>
    <row r="536">
      <c r="G536" s="31"/>
    </row>
    <row r="537">
      <c r="G537" s="31"/>
    </row>
    <row r="538">
      <c r="G538" s="31"/>
    </row>
    <row r="539">
      <c r="G539" s="31"/>
    </row>
    <row r="540">
      <c r="G540" s="31"/>
    </row>
    <row r="541">
      <c r="G541" s="31"/>
    </row>
    <row r="542">
      <c r="G542" s="31"/>
    </row>
    <row r="543">
      <c r="G543" s="31"/>
    </row>
    <row r="544">
      <c r="G544" s="31"/>
    </row>
    <row r="545">
      <c r="G545" s="31"/>
    </row>
    <row r="546">
      <c r="G546" s="31"/>
    </row>
    <row r="547">
      <c r="G547" s="31"/>
    </row>
    <row r="548">
      <c r="G548" s="31"/>
    </row>
    <row r="549">
      <c r="G549" s="31"/>
    </row>
    <row r="550">
      <c r="G550" s="31"/>
    </row>
    <row r="551">
      <c r="G551" s="31"/>
    </row>
    <row r="552">
      <c r="G552" s="31"/>
    </row>
    <row r="553">
      <c r="G553" s="31"/>
    </row>
    <row r="554">
      <c r="G554" s="31"/>
    </row>
    <row r="555">
      <c r="G555" s="31"/>
    </row>
    <row r="556">
      <c r="G556" s="31"/>
    </row>
    <row r="557">
      <c r="G557" s="31"/>
    </row>
    <row r="558">
      <c r="G558" s="31"/>
    </row>
    <row r="559">
      <c r="G559" s="31"/>
    </row>
    <row r="560">
      <c r="G560" s="31"/>
    </row>
    <row r="561">
      <c r="G561" s="31"/>
    </row>
    <row r="562">
      <c r="G562" s="31"/>
    </row>
    <row r="563">
      <c r="G563" s="31"/>
    </row>
    <row r="564">
      <c r="G564" s="31"/>
    </row>
    <row r="565">
      <c r="G565" s="31"/>
    </row>
    <row r="566">
      <c r="G566" s="31"/>
    </row>
    <row r="567">
      <c r="G567" s="31"/>
    </row>
    <row r="568">
      <c r="G568" s="31"/>
    </row>
    <row r="569">
      <c r="G569" s="31"/>
    </row>
    <row r="570">
      <c r="G570" s="31"/>
    </row>
    <row r="571">
      <c r="G571" s="31"/>
    </row>
    <row r="572">
      <c r="G572" s="31"/>
    </row>
    <row r="573">
      <c r="G573" s="31"/>
    </row>
    <row r="574">
      <c r="G574" s="31"/>
    </row>
    <row r="575">
      <c r="G575" s="31"/>
    </row>
    <row r="576">
      <c r="G576" s="31"/>
    </row>
    <row r="577">
      <c r="G577" s="31"/>
    </row>
    <row r="578">
      <c r="G578" s="31"/>
    </row>
    <row r="579">
      <c r="G579" s="31"/>
    </row>
    <row r="580">
      <c r="G580" s="31"/>
    </row>
    <row r="581">
      <c r="G581" s="31"/>
    </row>
    <row r="582">
      <c r="G582" s="31"/>
    </row>
    <row r="583">
      <c r="G583" s="31"/>
    </row>
    <row r="584">
      <c r="G584" s="31"/>
    </row>
    <row r="585">
      <c r="G585" s="31"/>
    </row>
    <row r="586">
      <c r="G586" s="31"/>
    </row>
    <row r="587">
      <c r="G587" s="31"/>
    </row>
    <row r="588">
      <c r="G588" s="31"/>
    </row>
    <row r="589">
      <c r="G589" s="31"/>
    </row>
    <row r="590">
      <c r="G590" s="31"/>
    </row>
    <row r="591">
      <c r="G591" s="31"/>
    </row>
    <row r="592">
      <c r="G592" s="31"/>
    </row>
    <row r="593">
      <c r="G593" s="31"/>
    </row>
    <row r="594">
      <c r="G594" s="31"/>
    </row>
    <row r="595">
      <c r="G595" s="31"/>
    </row>
    <row r="596">
      <c r="G596" s="31"/>
    </row>
    <row r="597">
      <c r="G597" s="31"/>
    </row>
    <row r="598">
      <c r="G598" s="31"/>
    </row>
    <row r="599">
      <c r="G599" s="31"/>
    </row>
    <row r="600">
      <c r="G600" s="31"/>
    </row>
    <row r="601">
      <c r="G601" s="31"/>
    </row>
    <row r="602">
      <c r="G602" s="31"/>
    </row>
    <row r="603">
      <c r="G603" s="31"/>
    </row>
    <row r="604">
      <c r="G604" s="31"/>
    </row>
    <row r="605">
      <c r="G605" s="31"/>
    </row>
    <row r="606">
      <c r="G606" s="31"/>
    </row>
    <row r="607">
      <c r="G607" s="31"/>
    </row>
    <row r="608">
      <c r="G608" s="31"/>
    </row>
    <row r="609">
      <c r="G609" s="31"/>
    </row>
    <row r="610">
      <c r="G610" s="31"/>
    </row>
    <row r="611">
      <c r="G611" s="31"/>
    </row>
    <row r="612">
      <c r="G612" s="31"/>
    </row>
    <row r="613">
      <c r="G613" s="31"/>
    </row>
    <row r="614">
      <c r="G614" s="31"/>
    </row>
    <row r="615">
      <c r="G615" s="31"/>
    </row>
    <row r="616">
      <c r="G616" s="31"/>
    </row>
    <row r="617">
      <c r="G617" s="31"/>
    </row>
    <row r="618">
      <c r="G618" s="31"/>
    </row>
    <row r="619">
      <c r="G619" s="31"/>
    </row>
    <row r="620">
      <c r="G620" s="31"/>
    </row>
    <row r="621">
      <c r="G621" s="31"/>
    </row>
    <row r="622">
      <c r="G622" s="31"/>
    </row>
    <row r="623">
      <c r="G623" s="31"/>
    </row>
    <row r="624">
      <c r="G624" s="31"/>
    </row>
    <row r="625">
      <c r="G625" s="31"/>
    </row>
    <row r="626">
      <c r="G626" s="31"/>
    </row>
    <row r="627">
      <c r="G627" s="31"/>
    </row>
    <row r="628">
      <c r="G628" s="31"/>
    </row>
    <row r="629">
      <c r="G629" s="31"/>
    </row>
    <row r="630">
      <c r="G630" s="31"/>
    </row>
    <row r="631">
      <c r="G631" s="31"/>
    </row>
    <row r="632">
      <c r="G632" s="31"/>
    </row>
    <row r="633">
      <c r="G633" s="31"/>
    </row>
    <row r="634">
      <c r="G634" s="31"/>
    </row>
    <row r="635">
      <c r="G635" s="31"/>
    </row>
    <row r="636">
      <c r="G636" s="31"/>
    </row>
    <row r="637">
      <c r="G637" s="31"/>
    </row>
    <row r="638">
      <c r="G638" s="31"/>
    </row>
    <row r="639">
      <c r="G639" s="31"/>
    </row>
    <row r="640">
      <c r="G640" s="31"/>
    </row>
    <row r="641">
      <c r="G641" s="31"/>
    </row>
    <row r="642">
      <c r="G642" s="31"/>
    </row>
    <row r="643">
      <c r="G643" s="31"/>
    </row>
    <row r="644">
      <c r="G644" s="31"/>
    </row>
    <row r="645">
      <c r="G645" s="31"/>
    </row>
    <row r="646">
      <c r="G646" s="31"/>
    </row>
    <row r="647">
      <c r="G647" s="31"/>
    </row>
    <row r="648">
      <c r="G648" s="31"/>
    </row>
    <row r="649">
      <c r="G649" s="31"/>
    </row>
    <row r="650">
      <c r="G650" s="31"/>
    </row>
    <row r="651">
      <c r="G651" s="31"/>
    </row>
    <row r="652">
      <c r="G652" s="31"/>
    </row>
    <row r="653">
      <c r="G653" s="31"/>
    </row>
    <row r="654">
      <c r="G654" s="31"/>
    </row>
    <row r="655">
      <c r="G655" s="31"/>
    </row>
    <row r="656">
      <c r="G656" s="31"/>
    </row>
    <row r="657">
      <c r="G657" s="31"/>
    </row>
    <row r="658">
      <c r="G658" s="31"/>
    </row>
    <row r="659">
      <c r="G659" s="31"/>
    </row>
    <row r="660">
      <c r="G660" s="31"/>
    </row>
    <row r="661">
      <c r="G661" s="31"/>
    </row>
    <row r="662">
      <c r="G662" s="31"/>
    </row>
    <row r="663">
      <c r="G663" s="31"/>
    </row>
    <row r="664">
      <c r="G664" s="31"/>
    </row>
    <row r="665">
      <c r="G665" s="31"/>
    </row>
    <row r="666">
      <c r="G666" s="31"/>
    </row>
    <row r="667">
      <c r="G667" s="31"/>
    </row>
    <row r="668">
      <c r="G668" s="31"/>
    </row>
    <row r="669">
      <c r="G669" s="31"/>
    </row>
    <row r="670">
      <c r="G670" s="31"/>
    </row>
    <row r="671">
      <c r="G671" s="31"/>
    </row>
    <row r="672">
      <c r="G672" s="31"/>
    </row>
    <row r="673">
      <c r="G673" s="31"/>
    </row>
    <row r="674">
      <c r="G674" s="31"/>
    </row>
    <row r="675">
      <c r="G675" s="31"/>
    </row>
    <row r="676">
      <c r="G676" s="31"/>
    </row>
    <row r="677">
      <c r="G677" s="31"/>
    </row>
    <row r="678">
      <c r="G678" s="31"/>
    </row>
    <row r="679">
      <c r="G679" s="31"/>
    </row>
    <row r="680">
      <c r="G680" s="31"/>
    </row>
    <row r="681">
      <c r="G681" s="31"/>
    </row>
    <row r="682">
      <c r="G682" s="31"/>
    </row>
    <row r="683">
      <c r="G683" s="31"/>
    </row>
    <row r="684">
      <c r="G684" s="31"/>
    </row>
    <row r="685">
      <c r="G685" s="31"/>
    </row>
    <row r="686">
      <c r="G686" s="31"/>
    </row>
    <row r="687">
      <c r="G687" s="31"/>
    </row>
    <row r="688">
      <c r="G688" s="31"/>
    </row>
    <row r="689">
      <c r="G689" s="31"/>
    </row>
    <row r="690">
      <c r="G690" s="31"/>
    </row>
    <row r="691">
      <c r="G691" s="31"/>
    </row>
    <row r="692">
      <c r="G692" s="31"/>
    </row>
    <row r="693">
      <c r="G693" s="31"/>
    </row>
    <row r="694">
      <c r="G694" s="31"/>
    </row>
    <row r="695">
      <c r="G695" s="31"/>
    </row>
    <row r="696">
      <c r="G696" s="31"/>
    </row>
    <row r="697">
      <c r="G697" s="31"/>
    </row>
    <row r="698">
      <c r="G698" s="31"/>
    </row>
    <row r="699">
      <c r="G699" s="31"/>
    </row>
    <row r="700">
      <c r="G700" s="31"/>
    </row>
    <row r="701">
      <c r="G701" s="31"/>
    </row>
    <row r="702">
      <c r="G702" s="31"/>
    </row>
    <row r="703">
      <c r="G703" s="31"/>
    </row>
    <row r="704">
      <c r="G704" s="31"/>
    </row>
    <row r="705">
      <c r="G705" s="31"/>
    </row>
    <row r="706">
      <c r="G706" s="31"/>
    </row>
    <row r="707">
      <c r="G707" s="31"/>
    </row>
    <row r="708">
      <c r="G708" s="31"/>
    </row>
    <row r="709">
      <c r="G709" s="31"/>
    </row>
    <row r="710">
      <c r="G710" s="31"/>
    </row>
    <row r="711">
      <c r="G711" s="31"/>
    </row>
    <row r="712">
      <c r="G712" s="31"/>
    </row>
    <row r="713">
      <c r="G713" s="31"/>
    </row>
    <row r="714">
      <c r="G714" s="31"/>
    </row>
    <row r="715">
      <c r="G715" s="31"/>
    </row>
    <row r="716">
      <c r="G716" s="31"/>
    </row>
    <row r="717">
      <c r="G717" s="31"/>
    </row>
    <row r="718">
      <c r="G718" s="31"/>
    </row>
    <row r="719">
      <c r="G719" s="31"/>
    </row>
    <row r="720">
      <c r="G720" s="31"/>
    </row>
    <row r="721">
      <c r="G721" s="31"/>
    </row>
    <row r="722">
      <c r="G722" s="31"/>
    </row>
    <row r="723">
      <c r="G723" s="31"/>
    </row>
    <row r="724">
      <c r="G724" s="31"/>
    </row>
    <row r="725">
      <c r="G725" s="31"/>
    </row>
    <row r="726">
      <c r="G726" s="31"/>
    </row>
    <row r="727">
      <c r="G727" s="31"/>
    </row>
    <row r="728">
      <c r="G728" s="31"/>
    </row>
    <row r="729">
      <c r="G729" s="31"/>
    </row>
    <row r="730">
      <c r="G730" s="31"/>
    </row>
    <row r="731">
      <c r="G731" s="31"/>
    </row>
    <row r="732">
      <c r="G732" s="31"/>
    </row>
    <row r="733">
      <c r="G733" s="31"/>
    </row>
    <row r="734">
      <c r="G734" s="31"/>
    </row>
    <row r="735">
      <c r="G735" s="31"/>
    </row>
    <row r="736">
      <c r="G736" s="31"/>
    </row>
    <row r="737">
      <c r="G737" s="31"/>
    </row>
    <row r="738">
      <c r="G738" s="31"/>
    </row>
    <row r="739">
      <c r="G739" s="31"/>
    </row>
    <row r="740">
      <c r="G740" s="31"/>
    </row>
    <row r="741">
      <c r="G741" s="31"/>
    </row>
    <row r="742">
      <c r="G742" s="31"/>
    </row>
    <row r="743">
      <c r="G743" s="31"/>
    </row>
    <row r="744">
      <c r="G744" s="31"/>
    </row>
    <row r="745">
      <c r="G745" s="31"/>
    </row>
    <row r="746">
      <c r="G746" s="31"/>
    </row>
    <row r="747">
      <c r="G747" s="31"/>
    </row>
    <row r="748">
      <c r="G748" s="31"/>
    </row>
    <row r="749">
      <c r="G749" s="31"/>
    </row>
    <row r="750">
      <c r="G750" s="31"/>
    </row>
    <row r="751">
      <c r="G751" s="31"/>
    </row>
    <row r="752">
      <c r="G752" s="31"/>
    </row>
    <row r="753">
      <c r="G753" s="31"/>
    </row>
    <row r="754">
      <c r="G754" s="31"/>
    </row>
    <row r="755">
      <c r="G755" s="31"/>
    </row>
    <row r="756">
      <c r="G756" s="31"/>
    </row>
    <row r="757">
      <c r="G757" s="31"/>
    </row>
    <row r="758">
      <c r="G758" s="31"/>
    </row>
    <row r="759">
      <c r="G759" s="31"/>
    </row>
    <row r="760">
      <c r="G760" s="31"/>
    </row>
    <row r="761">
      <c r="G761" s="31"/>
    </row>
    <row r="762">
      <c r="G762" s="31"/>
    </row>
    <row r="763">
      <c r="G763" s="31"/>
    </row>
    <row r="764">
      <c r="G764" s="31"/>
    </row>
    <row r="765">
      <c r="G765" s="31"/>
    </row>
    <row r="766">
      <c r="G766" s="31"/>
    </row>
    <row r="767">
      <c r="G767" s="31"/>
    </row>
    <row r="768">
      <c r="G768" s="31"/>
    </row>
    <row r="769">
      <c r="G769" s="31"/>
    </row>
    <row r="770">
      <c r="G770" s="31"/>
    </row>
    <row r="771">
      <c r="G771" s="31"/>
    </row>
    <row r="772">
      <c r="G772" s="31"/>
    </row>
    <row r="773">
      <c r="G773" s="31"/>
    </row>
    <row r="774">
      <c r="G774" s="31"/>
    </row>
    <row r="775">
      <c r="G775" s="31"/>
    </row>
    <row r="776">
      <c r="G776" s="31"/>
    </row>
    <row r="777">
      <c r="G777" s="31"/>
    </row>
    <row r="778">
      <c r="G778" s="31"/>
    </row>
    <row r="779">
      <c r="G779" s="31"/>
    </row>
    <row r="780">
      <c r="G780" s="31"/>
    </row>
    <row r="781">
      <c r="G781" s="31"/>
    </row>
    <row r="782">
      <c r="G782" s="31"/>
    </row>
    <row r="783">
      <c r="G783" s="31"/>
    </row>
    <row r="784">
      <c r="G784" s="31"/>
    </row>
    <row r="785">
      <c r="G785" s="31"/>
    </row>
    <row r="786">
      <c r="G786" s="31"/>
    </row>
    <row r="787">
      <c r="G787" s="31"/>
    </row>
    <row r="788">
      <c r="G788" s="31"/>
    </row>
    <row r="789">
      <c r="G789" s="31"/>
    </row>
    <row r="790">
      <c r="G790" s="31"/>
    </row>
    <row r="791">
      <c r="G791" s="31"/>
    </row>
    <row r="792">
      <c r="G792" s="31"/>
    </row>
    <row r="793">
      <c r="G793" s="31"/>
    </row>
    <row r="794">
      <c r="G794" s="31"/>
    </row>
    <row r="795">
      <c r="G795" s="31"/>
    </row>
    <row r="796">
      <c r="G796" s="31"/>
    </row>
    <row r="797">
      <c r="G797" s="31"/>
    </row>
    <row r="798">
      <c r="G798" s="31"/>
    </row>
    <row r="799">
      <c r="G799" s="31"/>
    </row>
    <row r="800">
      <c r="G800" s="31"/>
    </row>
    <row r="801">
      <c r="G801" s="31"/>
    </row>
    <row r="802">
      <c r="G802" s="31"/>
    </row>
    <row r="803">
      <c r="G803" s="31"/>
    </row>
    <row r="804">
      <c r="G804" s="31"/>
    </row>
    <row r="805">
      <c r="G805" s="31"/>
    </row>
    <row r="806">
      <c r="G806" s="31"/>
    </row>
    <row r="807">
      <c r="G807" s="31"/>
    </row>
    <row r="808">
      <c r="G808" s="31"/>
    </row>
    <row r="809">
      <c r="G809" s="31"/>
    </row>
    <row r="810">
      <c r="G810" s="31"/>
    </row>
    <row r="811">
      <c r="G811" s="31"/>
    </row>
    <row r="812">
      <c r="G812" s="31"/>
    </row>
    <row r="813">
      <c r="G813" s="31"/>
    </row>
    <row r="814">
      <c r="G814" s="31"/>
    </row>
    <row r="815">
      <c r="G815" s="31"/>
    </row>
    <row r="816">
      <c r="G816" s="31"/>
    </row>
    <row r="817">
      <c r="G817" s="31"/>
    </row>
    <row r="818">
      <c r="G818" s="31"/>
    </row>
    <row r="819">
      <c r="G819" s="31"/>
    </row>
    <row r="820">
      <c r="G820" s="31"/>
    </row>
    <row r="821">
      <c r="G821" s="31"/>
    </row>
    <row r="822">
      <c r="G822" s="31"/>
    </row>
    <row r="823">
      <c r="G823" s="31"/>
    </row>
    <row r="824">
      <c r="G824" s="31"/>
    </row>
    <row r="825">
      <c r="G825" s="31"/>
    </row>
    <row r="826">
      <c r="G826" s="31"/>
    </row>
    <row r="827">
      <c r="G827" s="31"/>
    </row>
    <row r="828">
      <c r="G828" s="31"/>
    </row>
    <row r="829">
      <c r="G829" s="31"/>
    </row>
    <row r="830">
      <c r="G830" s="31"/>
    </row>
    <row r="831">
      <c r="G831" s="31"/>
    </row>
    <row r="832">
      <c r="G832" s="31"/>
    </row>
    <row r="833">
      <c r="G833" s="31"/>
    </row>
    <row r="834">
      <c r="G834" s="31"/>
    </row>
    <row r="835">
      <c r="G835" s="31"/>
    </row>
    <row r="836">
      <c r="G836" s="31"/>
    </row>
    <row r="837">
      <c r="G837" s="31"/>
    </row>
    <row r="838">
      <c r="G838" s="31"/>
    </row>
    <row r="839">
      <c r="G839" s="31"/>
    </row>
    <row r="840">
      <c r="G840" s="31"/>
    </row>
    <row r="841">
      <c r="G841" s="31"/>
    </row>
    <row r="842">
      <c r="G842" s="31"/>
    </row>
    <row r="843">
      <c r="G843" s="31"/>
    </row>
    <row r="844">
      <c r="G844" s="31"/>
    </row>
    <row r="845">
      <c r="G845" s="31"/>
    </row>
    <row r="846">
      <c r="G846" s="31"/>
    </row>
    <row r="847">
      <c r="G847" s="31"/>
    </row>
    <row r="848">
      <c r="G848" s="31"/>
    </row>
    <row r="849">
      <c r="G849" s="31"/>
    </row>
    <row r="850">
      <c r="G850" s="31"/>
    </row>
    <row r="851">
      <c r="G851" s="31"/>
    </row>
    <row r="852">
      <c r="G852" s="31"/>
    </row>
    <row r="853">
      <c r="G853" s="31"/>
    </row>
    <row r="854">
      <c r="G854" s="31"/>
    </row>
    <row r="855">
      <c r="G855" s="31"/>
    </row>
    <row r="856">
      <c r="G856" s="31"/>
    </row>
    <row r="857">
      <c r="G857" s="31"/>
    </row>
    <row r="858">
      <c r="G858" s="31"/>
    </row>
    <row r="859">
      <c r="G859" s="31"/>
    </row>
    <row r="860">
      <c r="G860" s="31"/>
    </row>
    <row r="861">
      <c r="G861" s="31"/>
    </row>
    <row r="862">
      <c r="G862" s="31"/>
    </row>
    <row r="863">
      <c r="G863" s="31"/>
    </row>
    <row r="864">
      <c r="G864" s="31"/>
    </row>
    <row r="865">
      <c r="G865" s="31"/>
    </row>
    <row r="866">
      <c r="G866" s="31"/>
    </row>
    <row r="867">
      <c r="G867" s="31"/>
    </row>
    <row r="868">
      <c r="G868" s="31"/>
    </row>
    <row r="869">
      <c r="G869" s="31"/>
    </row>
    <row r="870">
      <c r="G870" s="31"/>
    </row>
    <row r="871">
      <c r="G871" s="31"/>
    </row>
    <row r="872">
      <c r="G872" s="31"/>
    </row>
    <row r="873">
      <c r="G873" s="31"/>
    </row>
    <row r="874">
      <c r="G874" s="31"/>
    </row>
    <row r="875">
      <c r="G875" s="31"/>
    </row>
    <row r="876">
      <c r="G876" s="31"/>
    </row>
    <row r="877">
      <c r="G877" s="31"/>
    </row>
    <row r="878">
      <c r="G878" s="31"/>
    </row>
    <row r="879">
      <c r="G879" s="31"/>
    </row>
    <row r="880">
      <c r="G880" s="31"/>
    </row>
    <row r="881">
      <c r="G881" s="31"/>
    </row>
    <row r="882">
      <c r="G882" s="31"/>
    </row>
    <row r="883">
      <c r="G883" s="31"/>
    </row>
    <row r="884">
      <c r="G884" s="31"/>
    </row>
    <row r="885">
      <c r="G885" s="31"/>
    </row>
    <row r="886">
      <c r="G886" s="31"/>
    </row>
    <row r="887">
      <c r="G887" s="31"/>
    </row>
    <row r="888">
      <c r="G888" s="31"/>
    </row>
    <row r="889">
      <c r="G889" s="31"/>
    </row>
    <row r="890">
      <c r="G890" s="31"/>
    </row>
    <row r="891">
      <c r="G891" s="31"/>
    </row>
    <row r="892">
      <c r="G892" s="31"/>
    </row>
    <row r="893">
      <c r="G893" s="31"/>
    </row>
    <row r="894">
      <c r="G894" s="31"/>
    </row>
    <row r="895">
      <c r="G895" s="31"/>
    </row>
    <row r="896">
      <c r="G896" s="31"/>
    </row>
    <row r="897">
      <c r="G897" s="31"/>
    </row>
    <row r="898">
      <c r="G898" s="31"/>
    </row>
    <row r="899">
      <c r="G899" s="31"/>
    </row>
    <row r="900">
      <c r="G900" s="31"/>
    </row>
    <row r="901">
      <c r="G901" s="31"/>
    </row>
    <row r="902">
      <c r="G902" s="31"/>
    </row>
    <row r="903">
      <c r="G903" s="31"/>
    </row>
    <row r="904">
      <c r="G904" s="31"/>
    </row>
    <row r="905">
      <c r="G905" s="31"/>
    </row>
    <row r="906">
      <c r="G906" s="31"/>
    </row>
    <row r="907">
      <c r="G907" s="31"/>
    </row>
    <row r="908">
      <c r="G908" s="31"/>
    </row>
    <row r="909">
      <c r="G909" s="31"/>
    </row>
    <row r="910">
      <c r="G910" s="31"/>
    </row>
    <row r="911">
      <c r="G911" s="31"/>
    </row>
    <row r="912">
      <c r="G912" s="31"/>
    </row>
    <row r="913">
      <c r="G913" s="31"/>
    </row>
    <row r="914">
      <c r="G914" s="31"/>
    </row>
    <row r="915">
      <c r="G915" s="31"/>
    </row>
    <row r="916">
      <c r="G916" s="31"/>
    </row>
    <row r="917">
      <c r="G917" s="31"/>
    </row>
    <row r="918">
      <c r="G918" s="31"/>
    </row>
    <row r="919">
      <c r="G919" s="31"/>
    </row>
    <row r="920">
      <c r="G920" s="31"/>
    </row>
    <row r="921">
      <c r="G921" s="31"/>
    </row>
    <row r="922">
      <c r="G922" s="31"/>
    </row>
    <row r="923">
      <c r="G923" s="31"/>
    </row>
    <row r="924">
      <c r="G924" s="31"/>
    </row>
    <row r="925">
      <c r="G925" s="31"/>
    </row>
    <row r="926">
      <c r="G926" s="31"/>
    </row>
    <row r="927">
      <c r="G927" s="31"/>
    </row>
    <row r="928">
      <c r="G928" s="31"/>
    </row>
    <row r="929">
      <c r="G929" s="31"/>
    </row>
    <row r="930">
      <c r="G930" s="31"/>
    </row>
    <row r="931">
      <c r="G931" s="31"/>
    </row>
    <row r="932">
      <c r="G932" s="31"/>
    </row>
    <row r="933">
      <c r="G933" s="31"/>
    </row>
    <row r="934">
      <c r="G934" s="31"/>
    </row>
    <row r="935">
      <c r="G935" s="31"/>
    </row>
    <row r="936">
      <c r="G936" s="31"/>
    </row>
    <row r="937">
      <c r="G937" s="31"/>
    </row>
    <row r="938">
      <c r="G938" s="31"/>
    </row>
    <row r="939">
      <c r="G939" s="31"/>
    </row>
    <row r="940">
      <c r="G940" s="31"/>
    </row>
    <row r="941">
      <c r="G941" s="31"/>
    </row>
    <row r="942">
      <c r="G942" s="31"/>
    </row>
    <row r="943">
      <c r="G943" s="31"/>
    </row>
    <row r="944">
      <c r="G944" s="31"/>
    </row>
    <row r="945">
      <c r="G945" s="31"/>
    </row>
    <row r="946">
      <c r="G946" s="31"/>
    </row>
    <row r="947">
      <c r="G947" s="31"/>
    </row>
    <row r="948">
      <c r="G948" s="31"/>
    </row>
    <row r="949">
      <c r="G949" s="31"/>
    </row>
    <row r="950">
      <c r="G950" s="31"/>
    </row>
    <row r="951">
      <c r="G951" s="31"/>
    </row>
    <row r="952">
      <c r="G952" s="31"/>
    </row>
    <row r="953">
      <c r="G953" s="31"/>
    </row>
    <row r="954">
      <c r="G954" s="31"/>
    </row>
    <row r="955">
      <c r="G955" s="31"/>
    </row>
    <row r="956">
      <c r="G956" s="31"/>
    </row>
    <row r="957">
      <c r="G957" s="31"/>
    </row>
    <row r="958">
      <c r="G958" s="31"/>
    </row>
    <row r="959">
      <c r="G959" s="31"/>
    </row>
    <row r="960">
      <c r="G960" s="31"/>
    </row>
    <row r="961">
      <c r="G961" s="31"/>
    </row>
    <row r="962">
      <c r="G962" s="31"/>
    </row>
    <row r="963">
      <c r="G963" s="31"/>
    </row>
    <row r="964">
      <c r="G964" s="31"/>
    </row>
    <row r="965">
      <c r="G965" s="31"/>
    </row>
    <row r="966">
      <c r="G966" s="31"/>
    </row>
    <row r="967">
      <c r="G967" s="31"/>
    </row>
    <row r="968">
      <c r="G968" s="31"/>
    </row>
    <row r="969">
      <c r="G969" s="31"/>
    </row>
    <row r="970">
      <c r="G970" s="31"/>
    </row>
    <row r="971">
      <c r="G971" s="31"/>
    </row>
    <row r="972">
      <c r="G972" s="31"/>
    </row>
    <row r="973">
      <c r="G973" s="31"/>
    </row>
    <row r="974">
      <c r="G974" s="31"/>
    </row>
    <row r="975">
      <c r="G975" s="31"/>
    </row>
    <row r="976">
      <c r="G976" s="31"/>
    </row>
    <row r="977">
      <c r="G977" s="31"/>
    </row>
    <row r="978">
      <c r="G978" s="31"/>
    </row>
    <row r="979">
      <c r="G979" s="31"/>
    </row>
    <row r="980">
      <c r="G980" s="31"/>
    </row>
    <row r="981">
      <c r="G981" s="31"/>
    </row>
    <row r="982">
      <c r="G982" s="31"/>
    </row>
    <row r="983">
      <c r="G983" s="31"/>
    </row>
    <row r="984">
      <c r="G984" s="31"/>
    </row>
    <row r="985">
      <c r="G985" s="31"/>
    </row>
    <row r="986">
      <c r="G986" s="31"/>
    </row>
    <row r="987">
      <c r="G987" s="31"/>
    </row>
    <row r="988">
      <c r="G988" s="31"/>
    </row>
    <row r="989">
      <c r="G989" s="31"/>
    </row>
    <row r="990">
      <c r="G990" s="31"/>
    </row>
    <row r="991">
      <c r="G991" s="31"/>
    </row>
    <row r="992">
      <c r="G992" s="31"/>
    </row>
    <row r="993">
      <c r="G993" s="31"/>
    </row>
  </sheetData>
  <mergeCells count="5">
    <mergeCell ref="A1:A2"/>
    <mergeCell ref="B1:B2"/>
    <mergeCell ref="C1:C2"/>
    <mergeCell ref="D1:D2"/>
    <mergeCell ref="E1:E2"/>
  </mergeCells>
  <conditionalFormatting sqref="F3:AR32">
    <cfRule type="cellIs" dxfId="3" priority="1" operator="equal">
      <formula>1</formula>
    </cfRule>
  </conditionalFormatting>
  <conditionalFormatting sqref="F3:AR32">
    <cfRule type="cellIs" dxfId="4" priority="2" operator="equal">
      <formula>"R"</formula>
    </cfRule>
  </conditionalFormatting>
  <conditionalFormatting sqref="B3:C32">
    <cfRule type="cellIs" dxfId="5" priority="3" operator="greaterThanOrEqual">
      <formula>3</formula>
    </cfRule>
  </conditionalFormatting>
  <conditionalFormatting sqref="B3:B32">
    <cfRule type="cellIs" dxfId="6" priority="4" operator="lessThan">
      <formula>1</formula>
    </cfRule>
  </conditionalFormatting>
  <conditionalFormatting sqref="B3:B33 C3:C35">
    <cfRule type="cellIs" dxfId="7" priority="5" operator="equal">
      <formula>0</formula>
    </cfRule>
  </conditionalFormatting>
  <conditionalFormatting sqref="B3:C32">
    <cfRule type="cellIs" dxfId="8" priority="6" operator="lessThan">
      <formula>2</formula>
    </cfRule>
  </conditionalFormatting>
  <conditionalFormatting sqref="B3:C32">
    <cfRule type="cellIs" dxfId="9" priority="7" operator="lessThan">
      <formula>3</formula>
    </cfRule>
  </conditionalFormatting>
  <conditionalFormatting sqref="B3:B33 C3:C35">
    <cfRule type="containsBlanks" dxfId="6" priority="8">
      <formula>LEN(TRIM(B3))=0</formula>
    </cfRule>
  </conditionalFormatting>
  <conditionalFormatting sqref="F3:AR32">
    <cfRule type="cellIs" dxfId="10" priority="9" operator="equal">
      <formula>"R2"</formula>
    </cfRule>
  </conditionalFormatting>
  <conditionalFormatting sqref="F33:AR33">
    <cfRule type="cellIs" dxfId="7" priority="10" operator="lessThan">
      <formula>1</formula>
    </cfRule>
  </conditionalFormatting>
  <conditionalFormatting sqref="F33:AR33">
    <cfRule type="cellIs" dxfId="3" priority="11" operator="equal">
      <formula>1</formula>
    </cfRule>
  </conditionalFormatting>
  <conditionalFormatting sqref="F33:AR33">
    <cfRule type="cellIs" dxfId="11" priority="12" operator="greaterThan">
      <formula>1</formula>
    </cfRule>
  </conditionalFormatting>
  <conditionalFormatting sqref="D3:E33">
    <cfRule type="cellIs" dxfId="9" priority="13" operator="equal">
      <formula>1</formula>
    </cfRule>
  </conditionalFormatting>
  <conditionalFormatting sqref="F34:AR35">
    <cfRule type="cellIs" dxfId="7" priority="14" operator="lessThan">
      <formula>1</formula>
    </cfRule>
  </conditionalFormatting>
  <conditionalFormatting sqref="F34:AR35">
    <cfRule type="cellIs" dxfId="12" priority="15" operator="equal">
      <formula>1</formula>
    </cfRule>
  </conditionalFormatting>
  <conditionalFormatting sqref="F34:AR35">
    <cfRule type="cellIs" dxfId="11" priority="16" operator="greaterThan">
      <formula>1</formula>
    </cfRule>
  </conditionalFormatting>
  <conditionalFormatting sqref="D3:D32">
    <cfRule type="cellIs" dxfId="7" priority="17" operator="equal">
      <formula>0</formula>
    </cfRule>
  </conditionalFormatting>
  <conditionalFormatting sqref="D3:D32">
    <cfRule type="cellIs" dxfId="4" priority="18" operator="equal">
      <formula>2</formula>
    </cfRule>
  </conditionalFormatting>
  <conditionalFormatting sqref="E3:E32">
    <cfRule type="cellIs" dxfId="7" priority="19" operator="equal">
      <formula>0</formula>
    </cfRule>
  </conditionalFormatting>
  <conditionalFormatting sqref="E3:E32">
    <cfRule type="cellIs" dxfId="4" priority="20" operator="greaterThanOrEqual">
      <formula>2</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14.63"/>
    <col customWidth="1" hidden="1" min="2" max="2" width="11.38"/>
    <col customWidth="1" min="4" max="4" width="14.13"/>
    <col customWidth="1" min="6" max="8" width="8.63"/>
    <col customWidth="1" min="9" max="9" width="8.38"/>
    <col customWidth="1" min="10" max="10" width="8.25"/>
    <col customWidth="1" min="11" max="43" width="8.63"/>
    <col customWidth="1" min="44" max="46" width="9.5"/>
  </cols>
  <sheetData>
    <row r="1">
      <c r="A1" s="1" t="s">
        <v>0</v>
      </c>
      <c r="B1" s="1" t="s">
        <v>1</v>
      </c>
      <c r="C1" s="1" t="s">
        <v>2</v>
      </c>
      <c r="D1" s="1" t="s">
        <v>3</v>
      </c>
      <c r="E1" s="1" t="s">
        <v>4</v>
      </c>
      <c r="F1" s="4" t="s">
        <v>12</v>
      </c>
      <c r="G1" s="4" t="s">
        <v>13</v>
      </c>
      <c r="H1" s="2" t="s">
        <v>5</v>
      </c>
      <c r="I1" s="2" t="s">
        <v>6</v>
      </c>
      <c r="J1" s="3" t="s">
        <v>7</v>
      </c>
      <c r="K1" s="4" t="s">
        <v>8</v>
      </c>
      <c r="L1" s="2" t="s">
        <v>9</v>
      </c>
      <c r="M1" s="2" t="s">
        <v>10</v>
      </c>
      <c r="N1" s="3" t="s">
        <v>11</v>
      </c>
      <c r="O1" s="4" t="s">
        <v>12</v>
      </c>
      <c r="P1" s="2" t="s">
        <v>92</v>
      </c>
      <c r="Q1" s="2" t="s">
        <v>93</v>
      </c>
      <c r="R1" s="2" t="s">
        <v>5</v>
      </c>
      <c r="S1" s="2" t="s">
        <v>6</v>
      </c>
      <c r="T1" s="3" t="s">
        <v>7</v>
      </c>
      <c r="U1" s="4" t="s">
        <v>8</v>
      </c>
      <c r="V1" s="2" t="s">
        <v>9</v>
      </c>
      <c r="W1" s="2" t="s">
        <v>10</v>
      </c>
      <c r="X1" s="3" t="s">
        <v>11</v>
      </c>
      <c r="Y1" s="4" t="s">
        <v>12</v>
      </c>
      <c r="Z1" s="2" t="s">
        <v>13</v>
      </c>
      <c r="AA1" s="2" t="s">
        <v>5</v>
      </c>
      <c r="AB1" s="2" t="s">
        <v>6</v>
      </c>
      <c r="AC1" s="3" t="s">
        <v>7</v>
      </c>
      <c r="AD1" s="4" t="s">
        <v>8</v>
      </c>
      <c r="AE1" s="2" t="s">
        <v>9</v>
      </c>
      <c r="AF1" s="2" t="s">
        <v>10</v>
      </c>
      <c r="AG1" s="3" t="s">
        <v>11</v>
      </c>
      <c r="AH1" s="4" t="s">
        <v>12</v>
      </c>
      <c r="AI1" s="2" t="s">
        <v>13</v>
      </c>
      <c r="AJ1" s="2" t="s">
        <v>5</v>
      </c>
      <c r="AK1" s="2" t="s">
        <v>6</v>
      </c>
      <c r="AL1" s="3" t="s">
        <v>7</v>
      </c>
      <c r="AM1" s="4" t="s">
        <v>8</v>
      </c>
      <c r="AN1" s="2" t="s">
        <v>9</v>
      </c>
      <c r="AO1" s="2" t="s">
        <v>10</v>
      </c>
      <c r="AP1" s="3" t="s">
        <v>11</v>
      </c>
      <c r="AQ1" s="4" t="s">
        <v>12</v>
      </c>
      <c r="AR1" s="2" t="s">
        <v>13</v>
      </c>
      <c r="AS1" s="2" t="s">
        <v>5</v>
      </c>
      <c r="AT1" s="2" t="s">
        <v>6</v>
      </c>
    </row>
    <row r="2">
      <c r="F2" s="6">
        <v>45505.0</v>
      </c>
      <c r="G2" s="6">
        <v>45506.0</v>
      </c>
      <c r="H2" s="5" t="s">
        <v>94</v>
      </c>
      <c r="I2" s="5" t="s">
        <v>95</v>
      </c>
      <c r="J2" s="5" t="s">
        <v>96</v>
      </c>
      <c r="K2" s="5" t="s">
        <v>97</v>
      </c>
      <c r="L2" s="36">
        <v>45509.0</v>
      </c>
      <c r="M2" s="36">
        <v>45510.0</v>
      </c>
      <c r="N2" s="36">
        <v>45511.0</v>
      </c>
      <c r="O2" s="36">
        <v>45512.0</v>
      </c>
      <c r="P2" s="37" t="s">
        <v>98</v>
      </c>
      <c r="Q2" s="37" t="s">
        <v>99</v>
      </c>
      <c r="R2" s="5" t="s">
        <v>100</v>
      </c>
      <c r="S2" s="5" t="s">
        <v>101</v>
      </c>
      <c r="T2" s="5" t="s">
        <v>102</v>
      </c>
      <c r="U2" s="5" t="s">
        <v>103</v>
      </c>
      <c r="V2" s="38">
        <v>45516.0</v>
      </c>
      <c r="W2" s="38">
        <v>45517.0</v>
      </c>
      <c r="X2" s="38">
        <v>45518.0</v>
      </c>
      <c r="Y2" s="38">
        <v>45519.0</v>
      </c>
      <c r="Z2" s="38">
        <v>45520.0</v>
      </c>
      <c r="AA2" s="5" t="s">
        <v>104</v>
      </c>
      <c r="AB2" s="5" t="s">
        <v>105</v>
      </c>
      <c r="AC2" s="5" t="s">
        <v>106</v>
      </c>
      <c r="AD2" s="5" t="s">
        <v>107</v>
      </c>
      <c r="AE2" s="38">
        <v>45523.0</v>
      </c>
      <c r="AF2" s="38">
        <v>45524.0</v>
      </c>
      <c r="AG2" s="38">
        <v>45525.0</v>
      </c>
      <c r="AH2" s="38">
        <v>45526.0</v>
      </c>
      <c r="AI2" s="38">
        <v>45527.0</v>
      </c>
      <c r="AJ2" s="5" t="s">
        <v>108</v>
      </c>
      <c r="AK2" s="5" t="s">
        <v>109</v>
      </c>
      <c r="AL2" s="5" t="s">
        <v>110</v>
      </c>
      <c r="AM2" s="5" t="s">
        <v>111</v>
      </c>
      <c r="AN2" s="38">
        <v>45530.0</v>
      </c>
      <c r="AO2" s="38">
        <v>45531.0</v>
      </c>
      <c r="AP2" s="38">
        <v>45532.0</v>
      </c>
      <c r="AQ2" s="38">
        <v>45533.0</v>
      </c>
      <c r="AR2" s="38">
        <v>45534.0</v>
      </c>
      <c r="AS2" s="5" t="s">
        <v>112</v>
      </c>
      <c r="AT2" s="5" t="s">
        <v>113</v>
      </c>
    </row>
    <row r="3">
      <c r="A3" s="39" t="s">
        <v>38</v>
      </c>
      <c r="B3" s="40">
        <f t="shared" ref="B3:B13" si="1">SUM(C3:D3)</f>
        <v>4</v>
      </c>
      <c r="C3" s="40">
        <f t="shared" ref="C3:C29" si="2">SUM(F3:AT3)</f>
        <v>2</v>
      </c>
      <c r="D3" s="41">
        <f t="array" ref="D3">SUM(IF(F3:AT3="R",1,0))</f>
        <v>2</v>
      </c>
      <c r="E3" s="41">
        <f t="array" ref="E3">SUM(IF(F3:AT3="R2",1,0))</f>
        <v>2</v>
      </c>
      <c r="F3" s="42"/>
      <c r="G3" s="17" t="s">
        <v>40</v>
      </c>
      <c r="H3" s="17" t="s">
        <v>40</v>
      </c>
      <c r="P3" s="17">
        <v>1.0</v>
      </c>
      <c r="V3" s="17" t="s">
        <v>39</v>
      </c>
      <c r="AM3" s="17">
        <v>1.0</v>
      </c>
      <c r="AR3" s="17" t="s">
        <v>39</v>
      </c>
    </row>
    <row r="4">
      <c r="A4" s="14" t="s">
        <v>114</v>
      </c>
      <c r="B4" s="10">
        <f t="shared" si="1"/>
        <v>5</v>
      </c>
      <c r="C4" s="10">
        <f t="shared" si="2"/>
        <v>2</v>
      </c>
      <c r="D4" s="11">
        <f t="array" ref="D4">SUM(IF(F4:AT4="R",1,0))</f>
        <v>3</v>
      </c>
      <c r="E4" s="11">
        <f t="array" ref="E4">SUM(IF(F4:AT4="R2",1,0))</f>
        <v>2</v>
      </c>
      <c r="F4" s="33"/>
      <c r="I4" s="17">
        <v>1.0</v>
      </c>
      <c r="K4" s="17" t="s">
        <v>39</v>
      </c>
      <c r="S4" s="17" t="s">
        <v>39</v>
      </c>
      <c r="Y4" s="17" t="s">
        <v>39</v>
      </c>
      <c r="AB4" s="17" t="s">
        <v>40</v>
      </c>
      <c r="AO4" s="17" t="s">
        <v>40</v>
      </c>
      <c r="AT4" s="17">
        <v>1.0</v>
      </c>
    </row>
    <row r="5">
      <c r="A5" s="14" t="s">
        <v>43</v>
      </c>
      <c r="B5" s="10">
        <f t="shared" si="1"/>
        <v>4</v>
      </c>
      <c r="C5" s="10">
        <f t="shared" si="2"/>
        <v>2</v>
      </c>
      <c r="D5" s="11">
        <f t="array" ref="D5">SUM(IF(F5:AT5="R",1,0))</f>
        <v>2</v>
      </c>
      <c r="E5" s="11">
        <f t="array" ref="E5">SUM(IF(F5:AT5="R2",1,0))</f>
        <v>2</v>
      </c>
      <c r="F5" s="33"/>
      <c r="I5" s="17" t="s">
        <v>39</v>
      </c>
      <c r="K5" s="17" t="s">
        <v>40</v>
      </c>
      <c r="M5" s="17" t="s">
        <v>39</v>
      </c>
      <c r="S5" s="17">
        <v>1.0</v>
      </c>
      <c r="X5" s="16"/>
      <c r="Y5" s="16"/>
      <c r="Z5" s="16"/>
      <c r="AB5" s="17">
        <v>1.0</v>
      </c>
      <c r="AE5" s="16"/>
      <c r="AG5" s="16"/>
      <c r="AI5" s="16"/>
      <c r="AO5" s="16"/>
      <c r="AP5" s="17" t="s">
        <v>40</v>
      </c>
      <c r="AR5" s="16"/>
      <c r="AS5" s="16"/>
      <c r="AT5" s="16"/>
    </row>
    <row r="6">
      <c r="A6" s="14" t="s">
        <v>44</v>
      </c>
      <c r="B6" s="10">
        <f t="shared" si="1"/>
        <v>4</v>
      </c>
      <c r="C6" s="10">
        <f t="shared" si="2"/>
        <v>2</v>
      </c>
      <c r="D6" s="11">
        <f t="array" ref="D6">SUM(IF(F6:AT6="R",1,0))</f>
        <v>2</v>
      </c>
      <c r="E6" s="11">
        <f t="array" ref="E6">SUM(IF(F6:AT6="R2",1,0))</f>
        <v>3</v>
      </c>
      <c r="I6" s="17" t="s">
        <v>40</v>
      </c>
      <c r="O6" s="17" t="s">
        <v>40</v>
      </c>
      <c r="R6" s="17">
        <v>1.0</v>
      </c>
      <c r="V6" s="17">
        <v>1.0</v>
      </c>
      <c r="X6" s="16"/>
      <c r="Y6" s="16"/>
      <c r="Z6" s="16"/>
      <c r="AB6" s="17" t="s">
        <v>39</v>
      </c>
      <c r="AE6" s="17" t="s">
        <v>40</v>
      </c>
      <c r="AG6" s="16"/>
      <c r="AI6" s="16"/>
      <c r="AO6" s="16"/>
      <c r="AP6" s="17" t="s">
        <v>39</v>
      </c>
      <c r="AR6" s="16"/>
      <c r="AS6" s="16"/>
      <c r="AT6" s="16"/>
    </row>
    <row r="7">
      <c r="A7" s="25" t="s">
        <v>45</v>
      </c>
      <c r="B7" s="10">
        <f t="shared" si="1"/>
        <v>5</v>
      </c>
      <c r="C7" s="10">
        <f t="shared" si="2"/>
        <v>2</v>
      </c>
      <c r="D7" s="11">
        <f t="array" ref="D7">SUM(IF(F7:AT7="R",1,0))</f>
        <v>3</v>
      </c>
      <c r="E7" s="11">
        <f t="array" ref="E7">SUM(IF(F7:AT7="R2",1,0))</f>
        <v>2</v>
      </c>
      <c r="F7" s="16"/>
      <c r="G7" s="16"/>
      <c r="I7" s="16"/>
      <c r="K7" s="16"/>
      <c r="L7" s="16"/>
      <c r="M7" s="21" t="s">
        <v>40</v>
      </c>
      <c r="N7" s="16"/>
      <c r="O7" s="16"/>
      <c r="Q7" s="17">
        <v>1.0</v>
      </c>
      <c r="S7" s="16"/>
      <c r="U7" s="21" t="s">
        <v>39</v>
      </c>
      <c r="V7" s="16"/>
      <c r="W7" s="21" t="s">
        <v>39</v>
      </c>
      <c r="X7" s="16"/>
      <c r="Y7" s="21"/>
      <c r="Z7" s="16"/>
      <c r="AA7" s="17" t="s">
        <v>39</v>
      </c>
      <c r="AB7" s="16"/>
      <c r="AC7" s="17" t="s">
        <v>40</v>
      </c>
      <c r="AD7" s="21">
        <v>1.0</v>
      </c>
      <c r="AE7" s="16"/>
      <c r="AF7" s="21"/>
      <c r="AG7" s="16"/>
      <c r="AH7" s="16"/>
      <c r="AI7" s="16"/>
      <c r="AK7" s="16"/>
      <c r="AM7" s="16"/>
      <c r="AN7" s="16"/>
    </row>
    <row r="8" hidden="1">
      <c r="A8" s="25" t="s">
        <v>47</v>
      </c>
      <c r="B8" s="10">
        <f t="shared" si="1"/>
        <v>0</v>
      </c>
      <c r="C8" s="10">
        <f t="shared" si="2"/>
        <v>0</v>
      </c>
      <c r="D8" s="11">
        <f t="array" ref="D8">SUM(IF(F8:AT8="R",1,0))</f>
        <v>0</v>
      </c>
      <c r="E8" s="11">
        <f t="array" ref="E8">SUM(IF(F8:AT8="R2",1,0))</f>
        <v>0</v>
      </c>
      <c r="X8" s="35"/>
      <c r="Y8" s="35"/>
      <c r="Z8" s="35"/>
      <c r="AA8" s="16"/>
      <c r="AB8" s="16"/>
      <c r="AC8" s="16"/>
      <c r="AD8" s="16"/>
      <c r="AE8" s="35"/>
    </row>
    <row r="9">
      <c r="A9" s="22" t="s">
        <v>115</v>
      </c>
      <c r="B9" s="10">
        <f t="shared" si="1"/>
        <v>5</v>
      </c>
      <c r="C9" s="10">
        <f t="shared" si="2"/>
        <v>3</v>
      </c>
      <c r="D9" s="11">
        <f t="array" ref="D9">SUM(IF(F9:AT9="R",1,0))</f>
        <v>2</v>
      </c>
      <c r="E9" s="11">
        <f t="array" ref="E9">SUM(IF(F9:AT9="R2",1,0))</f>
        <v>2</v>
      </c>
      <c r="G9" s="17">
        <v>1.0</v>
      </c>
      <c r="L9" s="35"/>
      <c r="M9" s="35"/>
      <c r="Q9" s="17" t="s">
        <v>40</v>
      </c>
      <c r="X9" s="35"/>
      <c r="Y9" s="35"/>
      <c r="Z9" s="35"/>
      <c r="AE9" s="17">
        <v>1.0</v>
      </c>
      <c r="AI9" s="17">
        <v>1.0</v>
      </c>
      <c r="AN9" s="17" t="s">
        <v>39</v>
      </c>
      <c r="AQ9" s="17" t="s">
        <v>40</v>
      </c>
      <c r="AT9" s="17" t="s">
        <v>39</v>
      </c>
    </row>
    <row r="10">
      <c r="A10" s="22" t="s">
        <v>51</v>
      </c>
      <c r="B10" s="10">
        <f t="shared" si="1"/>
        <v>4</v>
      </c>
      <c r="C10" s="10">
        <f t="shared" si="2"/>
        <v>2</v>
      </c>
      <c r="D10" s="11">
        <f t="array" ref="D10">SUM(IF(F10:AT10="R",1,0))</f>
        <v>2</v>
      </c>
      <c r="E10" s="11">
        <f t="array" ref="E10">SUM(IF(F10:AT10="R2",1,0))</f>
        <v>2</v>
      </c>
      <c r="G10" s="17" t="s">
        <v>39</v>
      </c>
      <c r="L10" s="16"/>
      <c r="W10" s="17">
        <v>1.0</v>
      </c>
      <c r="X10" s="16"/>
      <c r="Y10" s="16"/>
      <c r="Z10" s="16"/>
      <c r="AA10" s="17" t="s">
        <v>40</v>
      </c>
      <c r="AF10" s="17">
        <v>1.0</v>
      </c>
      <c r="AH10" s="17" t="s">
        <v>39</v>
      </c>
      <c r="AI10" s="17" t="s">
        <v>40</v>
      </c>
    </row>
    <row r="11">
      <c r="A11" s="26" t="s">
        <v>55</v>
      </c>
      <c r="B11" s="10">
        <f t="shared" si="1"/>
        <v>4</v>
      </c>
      <c r="C11" s="10">
        <f t="shared" si="2"/>
        <v>2</v>
      </c>
      <c r="D11" s="11">
        <f t="array" ref="D11">SUM(IF(F11:AT11="R",1,0))</f>
        <v>2</v>
      </c>
      <c r="E11" s="11">
        <f t="array" ref="E11">SUM(IF(F11:AT11="R2",1,0))</f>
        <v>2</v>
      </c>
      <c r="F11" s="16"/>
      <c r="G11" s="16"/>
      <c r="I11" s="16"/>
      <c r="J11" s="12"/>
      <c r="K11" s="16"/>
      <c r="L11" s="43"/>
      <c r="M11" s="43"/>
      <c r="N11" s="43"/>
      <c r="O11" s="43"/>
      <c r="Q11" s="16"/>
      <c r="R11" s="17" t="s">
        <v>39</v>
      </c>
      <c r="S11" s="16"/>
      <c r="T11" s="17" t="s">
        <v>40</v>
      </c>
      <c r="U11" s="16"/>
      <c r="V11" s="16"/>
      <c r="W11" s="16"/>
      <c r="X11" s="16"/>
      <c r="Y11" s="16"/>
      <c r="Z11" s="16"/>
      <c r="AA11" s="12">
        <v>1.0</v>
      </c>
      <c r="AB11" s="16"/>
      <c r="AC11" s="12" t="s">
        <v>39</v>
      </c>
      <c r="AD11" s="16"/>
      <c r="AE11" s="16"/>
      <c r="AF11" s="16"/>
      <c r="AG11" s="16"/>
      <c r="AH11" s="16"/>
      <c r="AI11" s="16"/>
      <c r="AJ11" s="12"/>
      <c r="AK11" s="16"/>
      <c r="AL11" s="12">
        <v>1.0</v>
      </c>
      <c r="AM11" s="16"/>
      <c r="AN11" s="16"/>
      <c r="AO11" s="16"/>
      <c r="AP11" s="16"/>
      <c r="AQ11" s="16"/>
      <c r="AR11" s="16"/>
      <c r="AS11" s="12" t="s">
        <v>40</v>
      </c>
      <c r="AT11" s="16"/>
    </row>
    <row r="12" hidden="1">
      <c r="A12" s="20" t="s">
        <v>52</v>
      </c>
      <c r="B12" s="10">
        <f t="shared" si="1"/>
        <v>0</v>
      </c>
      <c r="C12" s="10">
        <f t="shared" si="2"/>
        <v>0</v>
      </c>
      <c r="D12" s="11">
        <f t="array" ref="D12">SUM(IF(F12:AT12="R",1,0))</f>
        <v>0</v>
      </c>
      <c r="E12" s="11">
        <f t="array" ref="E12">SUM(IF(F12:AT12="R2",1,0))</f>
        <v>0</v>
      </c>
    </row>
    <row r="13">
      <c r="A13" s="23" t="s">
        <v>53</v>
      </c>
      <c r="B13" s="10">
        <f t="shared" si="1"/>
        <v>4</v>
      </c>
      <c r="C13" s="10">
        <f t="shared" si="2"/>
        <v>2</v>
      </c>
      <c r="D13" s="11">
        <f t="array" ref="D13">SUM(IF(F13:AT13="R",1,0))</f>
        <v>2</v>
      </c>
      <c r="E13" s="11">
        <f t="array" ref="E13">SUM(IF(F13:AT13="R2",1,0))</f>
        <v>2</v>
      </c>
      <c r="F13" s="16"/>
      <c r="G13" s="16"/>
      <c r="H13" s="16"/>
      <c r="I13" s="21"/>
      <c r="J13" s="21"/>
      <c r="K13" s="16"/>
      <c r="L13" s="16"/>
      <c r="M13" s="16"/>
      <c r="N13" s="16"/>
      <c r="O13" s="16"/>
      <c r="P13" s="16"/>
      <c r="Q13" s="21"/>
      <c r="R13" s="21"/>
      <c r="S13" s="21"/>
      <c r="T13" s="21"/>
      <c r="U13" s="21"/>
      <c r="V13" s="21"/>
      <c r="W13" s="21"/>
      <c r="X13" s="12"/>
      <c r="Y13" s="12"/>
      <c r="Z13" s="12"/>
      <c r="AA13" s="12"/>
      <c r="AB13" s="12"/>
      <c r="AC13" s="12"/>
      <c r="AD13" s="12"/>
      <c r="AE13" s="12" t="s">
        <v>39</v>
      </c>
      <c r="AF13" s="12" t="s">
        <v>40</v>
      </c>
      <c r="AG13" s="12">
        <v>1.0</v>
      </c>
      <c r="AH13" s="12"/>
      <c r="AI13" s="12" t="s">
        <v>39</v>
      </c>
      <c r="AJ13" s="12"/>
      <c r="AK13" s="12"/>
      <c r="AL13" s="12"/>
      <c r="AM13" s="12" t="s">
        <v>40</v>
      </c>
      <c r="AN13" s="12">
        <v>1.0</v>
      </c>
      <c r="AO13" s="12"/>
      <c r="AP13" s="12"/>
      <c r="AQ13" s="12"/>
      <c r="AR13" s="12"/>
      <c r="AS13" s="12"/>
      <c r="AT13" s="12"/>
    </row>
    <row r="14">
      <c r="A14" s="9" t="s">
        <v>90</v>
      </c>
      <c r="B14" s="10"/>
      <c r="C14" s="10">
        <f t="shared" si="2"/>
        <v>3</v>
      </c>
      <c r="D14" s="11">
        <f t="array" ref="D14">SUM(IF(F14:AT14="R",1,0))</f>
        <v>2</v>
      </c>
      <c r="E14" s="11">
        <f t="array" ref="E14">SUM(IF(F14:AT14="R2",1,0))</f>
        <v>2</v>
      </c>
      <c r="H14" s="17" t="s">
        <v>39</v>
      </c>
      <c r="L14" s="17">
        <v>1.0</v>
      </c>
      <c r="O14" s="17" t="s">
        <v>39</v>
      </c>
      <c r="U14" s="17">
        <v>1.0</v>
      </c>
      <c r="V14" s="17" t="s">
        <v>40</v>
      </c>
      <c r="X14" s="17" t="s">
        <v>40</v>
      </c>
      <c r="Z14" s="17">
        <v>1.0</v>
      </c>
    </row>
    <row r="15" hidden="1">
      <c r="A15" s="9" t="s">
        <v>56</v>
      </c>
      <c r="B15" s="10">
        <f>SUM(C15:D15)</f>
        <v>0</v>
      </c>
      <c r="C15" s="10">
        <f t="shared" si="2"/>
        <v>0</v>
      </c>
      <c r="D15" s="11">
        <f t="array" ref="D15">SUM(IF(F15:AT15="R",1,0))</f>
        <v>0</v>
      </c>
      <c r="E15" s="11">
        <f t="array" ref="E15">SUM(IF(F15:AT15="R2",1,0))</f>
        <v>0</v>
      </c>
      <c r="F15" s="12"/>
      <c r="G15" s="13"/>
      <c r="H15" s="12"/>
      <c r="I15" s="13"/>
      <c r="J15" s="12"/>
      <c r="K15" s="13"/>
      <c r="L15" s="13"/>
      <c r="M15" s="12"/>
      <c r="N15" s="13"/>
      <c r="O15" s="12"/>
      <c r="P15" s="13"/>
      <c r="Q15" s="13"/>
      <c r="R15" s="13"/>
      <c r="S15" s="13"/>
      <c r="T15" s="13"/>
      <c r="U15" s="12"/>
      <c r="V15" s="12"/>
      <c r="W15" s="13"/>
      <c r="X15" s="13"/>
      <c r="Y15" s="13"/>
      <c r="Z15" s="13"/>
      <c r="AA15" s="13"/>
      <c r="AB15" s="13"/>
      <c r="AC15" s="13"/>
      <c r="AD15" s="13"/>
      <c r="AE15" s="12"/>
      <c r="AF15" s="13"/>
      <c r="AG15" s="13"/>
      <c r="AH15" s="13"/>
      <c r="AI15" s="13"/>
      <c r="AJ15" s="13"/>
      <c r="AK15" s="13"/>
      <c r="AL15" s="13"/>
      <c r="AM15" s="13"/>
      <c r="AN15" s="12"/>
      <c r="AO15" s="13"/>
      <c r="AP15" s="13"/>
      <c r="AQ15" s="13"/>
      <c r="AR15" s="13"/>
      <c r="AS15" s="13"/>
      <c r="AT15" s="13"/>
    </row>
    <row r="16">
      <c r="A16" s="26" t="s">
        <v>91</v>
      </c>
      <c r="B16" s="10"/>
      <c r="C16" s="10">
        <f t="shared" si="2"/>
        <v>2</v>
      </c>
      <c r="D16" s="11">
        <f t="array" ref="D16">SUM(IF(F16:AT16="R",1,0))</f>
        <v>2</v>
      </c>
      <c r="E16" s="11">
        <f t="array" ref="E16">SUM(IF(F16:AT16="R2",1,0))</f>
        <v>2</v>
      </c>
      <c r="F16" s="16"/>
      <c r="G16" s="16"/>
      <c r="I16" s="16"/>
      <c r="J16" s="12">
        <v>1.0</v>
      </c>
      <c r="K16" s="16"/>
      <c r="L16" s="43"/>
      <c r="M16" s="43"/>
      <c r="N16" s="43"/>
      <c r="O16" s="43"/>
      <c r="Q16" s="16"/>
      <c r="R16" s="17" t="s">
        <v>40</v>
      </c>
      <c r="S16" s="16"/>
      <c r="T16" s="12" t="s">
        <v>39</v>
      </c>
      <c r="U16" s="16"/>
      <c r="V16" s="16"/>
      <c r="W16" s="16"/>
      <c r="X16" s="16"/>
      <c r="Y16" s="16"/>
      <c r="Z16" s="16"/>
      <c r="AA16" s="13"/>
      <c r="AB16" s="16"/>
      <c r="AC16" s="12"/>
      <c r="AD16" s="16"/>
      <c r="AE16" s="16"/>
      <c r="AF16" s="16"/>
      <c r="AG16" s="16"/>
      <c r="AH16" s="16"/>
      <c r="AI16" s="16"/>
      <c r="AJ16" s="12" t="s">
        <v>39</v>
      </c>
      <c r="AK16" s="16"/>
      <c r="AL16" s="12" t="s">
        <v>40</v>
      </c>
      <c r="AM16" s="16"/>
      <c r="AN16" s="16"/>
      <c r="AO16" s="16"/>
      <c r="AP16" s="16"/>
      <c r="AQ16" s="16"/>
      <c r="AR16" s="16"/>
      <c r="AS16" s="12">
        <v>1.0</v>
      </c>
      <c r="AT16" s="16"/>
    </row>
    <row r="17">
      <c r="A17" s="26" t="s">
        <v>57</v>
      </c>
      <c r="B17" s="10">
        <f t="shared" ref="B17:B21" si="3">SUM(C17:D17)</f>
        <v>4</v>
      </c>
      <c r="C17" s="10">
        <f t="shared" si="2"/>
        <v>2</v>
      </c>
      <c r="D17" s="11">
        <f t="array" ref="D17">SUM(IF(F17:AT17="R",1,0))</f>
        <v>2</v>
      </c>
      <c r="E17" s="11">
        <f t="array" ref="E17">SUM(IF(F17:AT17="R2",1,0))</f>
        <v>2</v>
      </c>
      <c r="F17" s="16"/>
      <c r="G17" s="16"/>
      <c r="H17" s="17">
        <v>1.0</v>
      </c>
      <c r="I17" s="16"/>
      <c r="J17" s="12"/>
      <c r="K17" s="16"/>
      <c r="L17" s="43"/>
      <c r="M17" s="43"/>
      <c r="N17" s="43"/>
      <c r="O17" s="43"/>
      <c r="P17" s="17" t="s">
        <v>40</v>
      </c>
      <c r="Q17" s="16"/>
      <c r="S17" s="16"/>
      <c r="T17" s="12"/>
      <c r="U17" s="16"/>
      <c r="V17" s="16"/>
      <c r="W17" s="16"/>
      <c r="X17" s="16"/>
      <c r="Y17" s="16"/>
      <c r="Z17" s="16"/>
      <c r="AA17" s="13"/>
      <c r="AB17" s="16"/>
      <c r="AC17" s="12">
        <v>1.0</v>
      </c>
      <c r="AD17" s="16"/>
      <c r="AE17" s="16"/>
      <c r="AF17" s="16"/>
      <c r="AG17" s="16"/>
      <c r="AH17" s="16"/>
      <c r="AI17" s="16"/>
      <c r="AJ17" s="12" t="s">
        <v>40</v>
      </c>
      <c r="AK17" s="16"/>
      <c r="AL17" s="12" t="s">
        <v>39</v>
      </c>
      <c r="AM17" s="16"/>
      <c r="AN17" s="16"/>
      <c r="AO17" s="16"/>
      <c r="AP17" s="16"/>
      <c r="AQ17" s="16"/>
      <c r="AR17" s="16"/>
      <c r="AS17" s="12" t="s">
        <v>39</v>
      </c>
      <c r="AT17" s="16"/>
    </row>
    <row r="18">
      <c r="A18" s="27" t="s">
        <v>58</v>
      </c>
      <c r="B18" s="10">
        <f t="shared" si="3"/>
        <v>4</v>
      </c>
      <c r="C18" s="10">
        <f t="shared" si="2"/>
        <v>2</v>
      </c>
      <c r="D18" s="11">
        <f t="array" ref="D18">SUM(IF(F18:AT18="R",1,0))</f>
        <v>2</v>
      </c>
      <c r="E18" s="11">
        <f t="array" ref="E18">SUM(IF(F18:AT18="R2",1,0))</f>
        <v>3</v>
      </c>
      <c r="F18" s="17" t="s">
        <v>40</v>
      </c>
      <c r="J18" s="17" t="s">
        <v>40</v>
      </c>
      <c r="K18" s="17">
        <v>1.0</v>
      </c>
      <c r="N18" s="17">
        <v>1.0</v>
      </c>
      <c r="P18" s="16"/>
      <c r="Q18" s="16"/>
      <c r="R18" s="16"/>
      <c r="S18" s="16"/>
      <c r="T18" s="16"/>
      <c r="U18" s="16"/>
      <c r="X18" s="16"/>
      <c r="Y18" s="16"/>
      <c r="Z18" s="16"/>
      <c r="AG18" s="17" t="s">
        <v>40</v>
      </c>
      <c r="AK18" s="17" t="s">
        <v>39</v>
      </c>
      <c r="AM18" s="17" t="s">
        <v>39</v>
      </c>
    </row>
    <row r="19">
      <c r="A19" s="27" t="s">
        <v>59</v>
      </c>
      <c r="B19" s="10">
        <f t="shared" si="3"/>
        <v>4</v>
      </c>
      <c r="C19" s="10">
        <f t="shared" si="2"/>
        <v>2</v>
      </c>
      <c r="D19" s="11">
        <f t="array" ref="D19">SUM(IF(F19:AT19="R",1,0))</f>
        <v>2</v>
      </c>
      <c r="E19" s="11">
        <f t="array" ref="E19">SUM(IF(F19:AT19="R2",1,0))</f>
        <v>2</v>
      </c>
      <c r="F19" s="12">
        <v>1.0</v>
      </c>
      <c r="G19" s="12"/>
      <c r="H19" s="12"/>
      <c r="I19" s="12"/>
      <c r="K19" s="13"/>
      <c r="L19" s="12" t="s">
        <v>40</v>
      </c>
      <c r="N19" s="17" t="s">
        <v>39</v>
      </c>
      <c r="O19" s="35"/>
      <c r="P19" s="35"/>
      <c r="Q19" s="35"/>
      <c r="R19" s="35"/>
      <c r="S19" s="35"/>
      <c r="T19" s="35"/>
      <c r="U19" s="35"/>
      <c r="V19" s="35"/>
      <c r="X19" s="17">
        <v>1.0</v>
      </c>
      <c r="Z19" s="12"/>
      <c r="AA19" s="13"/>
      <c r="AK19" s="12" t="s">
        <v>40</v>
      </c>
      <c r="AL19" s="12"/>
      <c r="AM19" s="12"/>
      <c r="AN19" s="12"/>
      <c r="AO19" s="12" t="s">
        <v>39</v>
      </c>
      <c r="AP19" s="13"/>
      <c r="AQ19" s="13"/>
      <c r="AR19" s="12"/>
      <c r="AS19" s="12"/>
      <c r="AT19" s="12"/>
    </row>
    <row r="20" hidden="1">
      <c r="A20" s="27" t="s">
        <v>60</v>
      </c>
      <c r="B20" s="10">
        <f t="shared" si="3"/>
        <v>0</v>
      </c>
      <c r="C20" s="10">
        <f t="shared" si="2"/>
        <v>0</v>
      </c>
      <c r="D20" s="11">
        <f t="array" ref="D20">SUM(IF(F20:AT20="R",1,0))</f>
        <v>0</v>
      </c>
      <c r="E20" s="11">
        <f t="array" ref="E20">SUM(IF(F20:AT20="R2",1,0))</f>
        <v>0</v>
      </c>
    </row>
    <row r="21">
      <c r="A21" s="27" t="s">
        <v>61</v>
      </c>
      <c r="B21" s="10">
        <f t="shared" si="3"/>
        <v>4</v>
      </c>
      <c r="C21" s="10">
        <f t="shared" si="2"/>
        <v>2</v>
      </c>
      <c r="D21" s="11">
        <f t="array" ref="D21">SUM(IF(F21:AT21="R",1,0))</f>
        <v>2</v>
      </c>
      <c r="E21" s="11">
        <f t="array" ref="E21">SUM(IF(F21:AT21="R2",1,0))</f>
        <v>2</v>
      </c>
      <c r="F21" s="17" t="s">
        <v>39</v>
      </c>
      <c r="I21" s="17"/>
      <c r="J21" s="12"/>
      <c r="N21" s="17" t="s">
        <v>40</v>
      </c>
      <c r="O21" s="35"/>
      <c r="P21" s="35"/>
      <c r="Q21" s="35"/>
      <c r="R21" s="35"/>
      <c r="S21" s="35"/>
      <c r="T21" s="35"/>
      <c r="U21" s="35"/>
      <c r="V21" s="12"/>
      <c r="Y21" s="17">
        <v>1.0</v>
      </c>
      <c r="Z21" s="12"/>
      <c r="AA21" s="13"/>
      <c r="AD21" s="17" t="s">
        <v>39</v>
      </c>
      <c r="AG21" s="35"/>
      <c r="AH21" s="35"/>
      <c r="AI21" s="35"/>
      <c r="AJ21" s="35"/>
      <c r="AK21" s="35"/>
      <c r="AL21" s="35"/>
      <c r="AM21" s="35"/>
      <c r="AN21" s="35"/>
      <c r="AO21" s="35"/>
      <c r="AP21" s="35"/>
      <c r="AQ21" s="12"/>
      <c r="AR21" s="12">
        <v>1.0</v>
      </c>
      <c r="AS21" s="12"/>
      <c r="AT21" s="12" t="s">
        <v>40</v>
      </c>
    </row>
    <row r="22">
      <c r="A22" s="27" t="s">
        <v>116</v>
      </c>
      <c r="B22" s="10"/>
      <c r="C22" s="10">
        <f t="shared" si="2"/>
        <v>2</v>
      </c>
      <c r="D22" s="11">
        <f t="array" ref="D22">SUM(IF(F22:AT22="R",1,0))</f>
        <v>2</v>
      </c>
      <c r="E22" s="11">
        <f t="array" ref="E22">SUM(IF(F22:AT22="R2",1,0))</f>
        <v>2</v>
      </c>
      <c r="F22" s="35"/>
      <c r="L22" s="17" t="s">
        <v>39</v>
      </c>
      <c r="O22" s="17">
        <v>1.0</v>
      </c>
      <c r="V22" s="35"/>
      <c r="W22" s="35"/>
      <c r="X22" s="35"/>
      <c r="Y22" s="35"/>
      <c r="Z22" s="35"/>
      <c r="AH22" s="17">
        <v>1.0</v>
      </c>
      <c r="AN22" s="17" t="s">
        <v>40</v>
      </c>
      <c r="AQ22" s="17" t="s">
        <v>39</v>
      </c>
      <c r="AR22" s="17" t="s">
        <v>40</v>
      </c>
    </row>
    <row r="23">
      <c r="A23" s="27" t="s">
        <v>49</v>
      </c>
      <c r="B23" s="10"/>
      <c r="C23" s="10">
        <f t="shared" si="2"/>
        <v>3</v>
      </c>
      <c r="D23" s="11">
        <f t="array" ref="D23">SUM(IF(F23:AT23="R",1,0))</f>
        <v>2</v>
      </c>
      <c r="E23" s="11">
        <f t="array" ref="E23">SUM(IF(F23:AT23="R2",1,0))</f>
        <v>2</v>
      </c>
      <c r="M23" s="17">
        <v>1.0</v>
      </c>
      <c r="P23" s="17" t="s">
        <v>39</v>
      </c>
      <c r="Y23" s="17" t="s">
        <v>40</v>
      </c>
      <c r="AD23" s="17" t="s">
        <v>40</v>
      </c>
      <c r="AG23" s="17" t="s">
        <v>39</v>
      </c>
      <c r="AJ23" s="17">
        <v>1.0</v>
      </c>
      <c r="AO23" s="17">
        <v>1.0</v>
      </c>
    </row>
    <row r="24" hidden="1">
      <c r="A24" s="26" t="s">
        <v>46</v>
      </c>
      <c r="B24" s="10">
        <f t="shared" ref="B24:B26" si="4">SUM(C24:D24)</f>
        <v>0</v>
      </c>
      <c r="C24" s="10">
        <f t="shared" si="2"/>
        <v>0</v>
      </c>
      <c r="D24" s="11">
        <f t="array" ref="D24">SUM(IF(F24:AT24="R",1,0))</f>
        <v>0</v>
      </c>
      <c r="E24" s="11">
        <f t="array" ref="E24">SUM(IF(F24:AT24="R2",1,0))</f>
        <v>0</v>
      </c>
      <c r="F24" s="16"/>
      <c r="G24" s="16"/>
      <c r="I24" s="16"/>
      <c r="K24" s="16"/>
      <c r="L24" s="43"/>
      <c r="M24" s="43"/>
      <c r="N24" s="43"/>
      <c r="O24" s="43"/>
      <c r="Q24" s="16"/>
      <c r="S24" s="16"/>
      <c r="U24" s="16"/>
      <c r="V24" s="16"/>
      <c r="W24" s="16"/>
      <c r="X24" s="16"/>
      <c r="Y24" s="16"/>
      <c r="Z24" s="16"/>
      <c r="AB24" s="16"/>
      <c r="AD24" s="16"/>
      <c r="AE24" s="16"/>
      <c r="AF24" s="16"/>
      <c r="AG24" s="16"/>
      <c r="AH24" s="16"/>
      <c r="AI24" s="16"/>
      <c r="AK24" s="16"/>
      <c r="AM24" s="16"/>
      <c r="AN24" s="16"/>
      <c r="AO24" s="16"/>
      <c r="AP24" s="16"/>
      <c r="AQ24" s="16"/>
      <c r="AR24" s="16"/>
      <c r="AT24" s="16"/>
    </row>
    <row r="25">
      <c r="A25" s="44" t="s">
        <v>117</v>
      </c>
      <c r="B25" s="10">
        <f t="shared" si="4"/>
        <v>5</v>
      </c>
      <c r="C25" s="10">
        <f t="shared" si="2"/>
        <v>2</v>
      </c>
      <c r="D25" s="11">
        <f t="array" ref="D25">SUM(IF(F25:AT25="R",1,0))</f>
        <v>3</v>
      </c>
      <c r="E25" s="11">
        <f t="array" ref="E25">SUM(IF(F25:AT25="R2",1,0))</f>
        <v>2</v>
      </c>
      <c r="F25" s="35"/>
      <c r="G25" s="45"/>
      <c r="J25" s="17" t="s">
        <v>39</v>
      </c>
      <c r="M25" s="35"/>
      <c r="N25" s="16"/>
      <c r="O25" s="35"/>
      <c r="Q25" s="12" t="s">
        <v>39</v>
      </c>
      <c r="S25" s="12" t="s">
        <v>40</v>
      </c>
      <c r="T25" s="12">
        <v>1.0</v>
      </c>
      <c r="U25" s="12" t="s">
        <v>40</v>
      </c>
      <c r="V25" s="12"/>
      <c r="W25" s="35"/>
      <c r="X25" s="17"/>
      <c r="Y25" s="35"/>
      <c r="Z25" s="12" t="s">
        <v>39</v>
      </c>
      <c r="AA25" s="17"/>
      <c r="AC25" s="13"/>
      <c r="AE25" s="21"/>
      <c r="AF25" s="35"/>
      <c r="AG25" s="17"/>
      <c r="AH25" s="35"/>
      <c r="AI25" s="13"/>
      <c r="AJ25" s="17"/>
      <c r="AK25" s="12"/>
      <c r="AL25" s="13"/>
      <c r="AN25" s="21"/>
      <c r="AO25" s="35"/>
      <c r="AP25" s="17">
        <v>1.0</v>
      </c>
      <c r="AQ25" s="35"/>
      <c r="AR25" s="13"/>
      <c r="AS25" s="13"/>
      <c r="AT25" s="13"/>
    </row>
    <row r="26">
      <c r="A26" s="44" t="s">
        <v>67</v>
      </c>
      <c r="B26" s="10">
        <f t="shared" si="4"/>
        <v>4</v>
      </c>
      <c r="C26" s="10">
        <f t="shared" si="2"/>
        <v>2</v>
      </c>
      <c r="D26" s="11">
        <f t="array" ref="D26">SUM(IF(F26:AT26="R",1,0))</f>
        <v>2</v>
      </c>
      <c r="E26" s="11">
        <f t="array" ref="E26">SUM(IF(F26:AT26="R2",1,0))</f>
        <v>3</v>
      </c>
      <c r="N26" s="16"/>
      <c r="O26" s="16"/>
      <c r="W26" s="17" t="s">
        <v>40</v>
      </c>
      <c r="X26" s="17" t="s">
        <v>39</v>
      </c>
      <c r="Z26" s="17" t="s">
        <v>40</v>
      </c>
      <c r="AF26" s="17" t="s">
        <v>39</v>
      </c>
      <c r="AH26" s="17" t="s">
        <v>40</v>
      </c>
      <c r="AK26" s="17">
        <v>1.0</v>
      </c>
      <c r="AN26" s="16"/>
      <c r="AO26" s="16"/>
      <c r="AQ26" s="17">
        <v>1.0</v>
      </c>
    </row>
    <row r="27">
      <c r="A27" s="17" t="s">
        <v>68</v>
      </c>
      <c r="B27" s="10">
        <f>SUM(B4:B13)</f>
        <v>35</v>
      </c>
      <c r="C27" s="10">
        <f t="shared" si="2"/>
        <v>41</v>
      </c>
      <c r="D27" s="11"/>
      <c r="E27" s="11"/>
      <c r="F27" s="28">
        <f t="shared" ref="F27:AT27" si="5">SUM(F3:F26)</f>
        <v>1</v>
      </c>
      <c r="G27" s="28">
        <f t="shared" si="5"/>
        <v>1</v>
      </c>
      <c r="H27" s="28">
        <f t="shared" si="5"/>
        <v>1</v>
      </c>
      <c r="I27" s="28">
        <f t="shared" si="5"/>
        <v>1</v>
      </c>
      <c r="J27" s="28">
        <f t="shared" si="5"/>
        <v>1</v>
      </c>
      <c r="K27" s="28">
        <f t="shared" si="5"/>
        <v>1</v>
      </c>
      <c r="L27" s="28">
        <f t="shared" si="5"/>
        <v>1</v>
      </c>
      <c r="M27" s="28">
        <f t="shared" si="5"/>
        <v>1</v>
      </c>
      <c r="N27" s="28">
        <f t="shared" si="5"/>
        <v>1</v>
      </c>
      <c r="O27" s="28">
        <f t="shared" si="5"/>
        <v>1</v>
      </c>
      <c r="P27" s="28">
        <f t="shared" si="5"/>
        <v>1</v>
      </c>
      <c r="Q27" s="28">
        <f t="shared" si="5"/>
        <v>1</v>
      </c>
      <c r="R27" s="28">
        <f t="shared" si="5"/>
        <v>1</v>
      </c>
      <c r="S27" s="28">
        <f t="shared" si="5"/>
        <v>1</v>
      </c>
      <c r="T27" s="28">
        <f t="shared" si="5"/>
        <v>1</v>
      </c>
      <c r="U27" s="28">
        <f t="shared" si="5"/>
        <v>1</v>
      </c>
      <c r="V27" s="28">
        <f t="shared" si="5"/>
        <v>1</v>
      </c>
      <c r="W27" s="28">
        <f t="shared" si="5"/>
        <v>1</v>
      </c>
      <c r="X27" s="28">
        <f t="shared" si="5"/>
        <v>1</v>
      </c>
      <c r="Y27" s="28">
        <f t="shared" si="5"/>
        <v>1</v>
      </c>
      <c r="Z27" s="28">
        <f t="shared" si="5"/>
        <v>1</v>
      </c>
      <c r="AA27" s="28">
        <f t="shared" si="5"/>
        <v>1</v>
      </c>
      <c r="AB27" s="28">
        <f t="shared" si="5"/>
        <v>1</v>
      </c>
      <c r="AC27" s="28">
        <f t="shared" si="5"/>
        <v>1</v>
      </c>
      <c r="AD27" s="28">
        <f t="shared" si="5"/>
        <v>1</v>
      </c>
      <c r="AE27" s="28">
        <f t="shared" si="5"/>
        <v>1</v>
      </c>
      <c r="AF27" s="28">
        <f t="shared" si="5"/>
        <v>1</v>
      </c>
      <c r="AG27" s="28">
        <f t="shared" si="5"/>
        <v>1</v>
      </c>
      <c r="AH27" s="28">
        <f t="shared" si="5"/>
        <v>1</v>
      </c>
      <c r="AI27" s="28">
        <f t="shared" si="5"/>
        <v>1</v>
      </c>
      <c r="AJ27" s="28">
        <f t="shared" si="5"/>
        <v>1</v>
      </c>
      <c r="AK27" s="28">
        <f t="shared" si="5"/>
        <v>1</v>
      </c>
      <c r="AL27" s="28">
        <f t="shared" si="5"/>
        <v>1</v>
      </c>
      <c r="AM27" s="28">
        <f t="shared" si="5"/>
        <v>1</v>
      </c>
      <c r="AN27" s="28">
        <f t="shared" si="5"/>
        <v>1</v>
      </c>
      <c r="AO27" s="28">
        <f t="shared" si="5"/>
        <v>1</v>
      </c>
      <c r="AP27" s="28">
        <f t="shared" si="5"/>
        <v>1</v>
      </c>
      <c r="AQ27" s="28">
        <f t="shared" si="5"/>
        <v>1</v>
      </c>
      <c r="AR27" s="28">
        <f t="shared" si="5"/>
        <v>1</v>
      </c>
      <c r="AS27" s="28">
        <f t="shared" si="5"/>
        <v>1</v>
      </c>
      <c r="AT27" s="28">
        <f t="shared" si="5"/>
        <v>1</v>
      </c>
    </row>
    <row r="28">
      <c r="A28" s="17" t="s">
        <v>69</v>
      </c>
      <c r="B28" s="28">
        <f t="shared" ref="B28:B29" si="6">SUM(F28:AR28)</f>
        <v>39</v>
      </c>
      <c r="C28" s="10">
        <f t="shared" si="2"/>
        <v>41</v>
      </c>
      <c r="F28" s="11">
        <f t="array" ref="F28">SUM(IF(F3:F26="R",1,0))</f>
        <v>1</v>
      </c>
      <c r="G28" s="11">
        <f t="array" ref="G28">SUM(IF(G3:G26="R",1,0))</f>
        <v>1</v>
      </c>
      <c r="H28" s="11">
        <f t="array" ref="H28">SUM(IF(H3:H26="R",1,0))</f>
        <v>1</v>
      </c>
      <c r="I28" s="11">
        <f t="array" ref="I28">SUM(IF(I3:I26="R",1,0))</f>
        <v>1</v>
      </c>
      <c r="J28" s="11">
        <f t="array" ref="J28">SUM(IF(J3:J26="R",1,0))</f>
        <v>1</v>
      </c>
      <c r="K28" s="11">
        <f t="array" ref="K28">SUM(IF(K3:K26="R",1,0))</f>
        <v>1</v>
      </c>
      <c r="L28" s="11">
        <f t="array" ref="L28">SUM(IF(L3:L26="R",1,0))</f>
        <v>1</v>
      </c>
      <c r="M28" s="11">
        <f t="array" ref="M28">SUM(IF(M3:M26="R",1,0))</f>
        <v>1</v>
      </c>
      <c r="N28" s="11">
        <f t="array" ref="N28">SUM(IF(N3:N26="R",1,0))</f>
        <v>1</v>
      </c>
      <c r="O28" s="11">
        <f t="array" ref="O28">SUM(IF(O3:O26="R",1,0))</f>
        <v>1</v>
      </c>
      <c r="P28" s="11">
        <f t="array" ref="P28">SUM(IF(P3:P26="R",1,0))</f>
        <v>1</v>
      </c>
      <c r="Q28" s="11">
        <f t="array" ref="Q28">SUM(IF(Q3:Q26="R",1,0))</f>
        <v>1</v>
      </c>
      <c r="R28" s="11">
        <f t="array" ref="R28">SUM(IF(R3:R26="R",1,0))</f>
        <v>1</v>
      </c>
      <c r="S28" s="11">
        <f t="array" ref="S28">SUM(IF(S3:S26="R",1,0))</f>
        <v>1</v>
      </c>
      <c r="T28" s="11">
        <f t="array" ref="T28">SUM(IF(T3:T26="R",1,0))</f>
        <v>1</v>
      </c>
      <c r="U28" s="11">
        <f t="array" ref="U28">SUM(IF(U3:U26="R",1,0))</f>
        <v>1</v>
      </c>
      <c r="V28" s="11">
        <f t="array" ref="V28">SUM(IF(V3:V26="R",1,0))</f>
        <v>1</v>
      </c>
      <c r="W28" s="11">
        <f t="array" ref="W28">SUM(IF(W3:W26="R",1,0))</f>
        <v>1</v>
      </c>
      <c r="X28" s="11">
        <f t="array" ref="X28">SUM(IF(X3:X26="R",1,0))</f>
        <v>1</v>
      </c>
      <c r="Y28" s="11">
        <f t="array" ref="Y28">SUM(IF(Y3:Y26="R",1,0))</f>
        <v>1</v>
      </c>
      <c r="Z28" s="11">
        <f t="array" ref="Z28">SUM(IF(Z3:Z26="R",1,0))</f>
        <v>1</v>
      </c>
      <c r="AA28" s="11">
        <f t="array" ref="AA28">SUM(IF(AA3:AA26="R",1,0))</f>
        <v>1</v>
      </c>
      <c r="AB28" s="11">
        <f t="array" ref="AB28">SUM(IF(AB3:AB26="R",1,0))</f>
        <v>1</v>
      </c>
      <c r="AC28" s="11">
        <f t="array" ref="AC28">SUM(IF(AC3:AC26="R",1,0))</f>
        <v>1</v>
      </c>
      <c r="AD28" s="11">
        <f t="array" ref="AD28">SUM(IF(AD3:AD26="R",1,0))</f>
        <v>1</v>
      </c>
      <c r="AE28" s="11">
        <f t="array" ref="AE28">SUM(IF(AE3:AE26="R",1,0))</f>
        <v>1</v>
      </c>
      <c r="AF28" s="11">
        <f t="array" ref="AF28">SUM(IF(AF3:AF26="R",1,0))</f>
        <v>1</v>
      </c>
      <c r="AG28" s="11">
        <f t="array" ref="AG28">SUM(IF(AG3:AG26="R",1,0))</f>
        <v>1</v>
      </c>
      <c r="AH28" s="11">
        <f t="array" ref="AH28">SUM(IF(AH3:AH26="R",1,0))</f>
        <v>1</v>
      </c>
      <c r="AI28" s="11">
        <f t="array" ref="AI28">SUM(IF(AI3:AI26="R",1,0))</f>
        <v>1</v>
      </c>
      <c r="AJ28" s="11">
        <f t="array" ref="AJ28">SUM(IF(AJ3:AJ26="R",1,0))</f>
        <v>1</v>
      </c>
      <c r="AK28" s="11">
        <f t="array" ref="AK28">SUM(IF(AK3:AK26="R",1,0))</f>
        <v>1</v>
      </c>
      <c r="AL28" s="11">
        <f t="array" ref="AL28">SUM(IF(AL3:AL26="R",1,0))</f>
        <v>1</v>
      </c>
      <c r="AM28" s="11">
        <f t="array" ref="AM28">SUM(IF(AM3:AM26="R",1,0))</f>
        <v>1</v>
      </c>
      <c r="AN28" s="11">
        <f t="array" ref="AN28">SUM(IF(AN3:AN26="R",1,0))</f>
        <v>1</v>
      </c>
      <c r="AO28" s="11">
        <f t="array" ref="AO28">SUM(IF(AO3:AO26="R",1,0))</f>
        <v>1</v>
      </c>
      <c r="AP28" s="11">
        <f t="array" ref="AP28">SUM(IF(AP3:AP26="R",1,0))</f>
        <v>1</v>
      </c>
      <c r="AQ28" s="11">
        <f t="array" ref="AQ28">SUM(IF(AQ3:AQ26="R",1,0))</f>
        <v>1</v>
      </c>
      <c r="AR28" s="11">
        <f t="array" ref="AR28">SUM(IF(AR3:AR26="R",1,0))</f>
        <v>1</v>
      </c>
      <c r="AS28" s="11">
        <f t="array" ref="AS28">SUM(IF(AS3:AS26="R",1,0))</f>
        <v>1</v>
      </c>
      <c r="AT28" s="11">
        <f t="array" ref="AT28">SUM(IF(AT3:AT26="R",1,0))</f>
        <v>1</v>
      </c>
    </row>
    <row r="29">
      <c r="A29" s="17" t="s">
        <v>70</v>
      </c>
      <c r="B29" s="28">
        <f t="shared" si="6"/>
        <v>39</v>
      </c>
      <c r="C29" s="10">
        <f t="shared" si="2"/>
        <v>41</v>
      </c>
      <c r="F29" s="11">
        <f t="array" ref="F29">SUM(IF(F3:F26="R2",1,0))</f>
        <v>1</v>
      </c>
      <c r="G29" s="11">
        <f t="array" ref="G29">SUM(IF(G3:G26="R2",1,0))</f>
        <v>1</v>
      </c>
      <c r="H29" s="11">
        <f t="array" ref="H29">SUM(IF(H3:H26="R2",1,0))</f>
        <v>1</v>
      </c>
      <c r="I29" s="11">
        <f t="array" ref="I29">SUM(IF(I3:I26="R2",1,0))</f>
        <v>1</v>
      </c>
      <c r="J29" s="11">
        <f t="array" ref="J29">SUM(IF(J3:J26="R2",1,0))</f>
        <v>1</v>
      </c>
      <c r="K29" s="11">
        <f t="array" ref="K29">SUM(IF(K3:K26="R2",1,0))</f>
        <v>1</v>
      </c>
      <c r="L29" s="11">
        <f t="array" ref="L29">SUM(IF(L3:L26="R2",1,0))</f>
        <v>1</v>
      </c>
      <c r="M29" s="11">
        <f t="array" ref="M29">SUM(IF(M3:M26="R2",1,0))</f>
        <v>1</v>
      </c>
      <c r="N29" s="11">
        <f t="array" ref="N29">SUM(IF(N3:N26="R2",1,0))</f>
        <v>1</v>
      </c>
      <c r="O29" s="11">
        <f t="array" ref="O29">SUM(IF(O3:O26="R2",1,0))</f>
        <v>1</v>
      </c>
      <c r="P29" s="11">
        <f t="array" ref="P29">SUM(IF(P3:P26="R2",1,0))</f>
        <v>1</v>
      </c>
      <c r="Q29" s="11">
        <f t="array" ref="Q29">SUM(IF(Q3:Q26="R2",1,0))</f>
        <v>1</v>
      </c>
      <c r="R29" s="11">
        <f t="array" ref="R29">SUM(IF(R3:R26="R2",1,0))</f>
        <v>1</v>
      </c>
      <c r="S29" s="11">
        <f t="array" ref="S29">SUM(IF(S3:S26="R2",1,0))</f>
        <v>1</v>
      </c>
      <c r="T29" s="11">
        <f t="array" ref="T29">SUM(IF(T3:T26="R2",1,0))</f>
        <v>1</v>
      </c>
      <c r="U29" s="11">
        <f t="array" ref="U29">SUM(IF(U3:U26="R2",1,0))</f>
        <v>1</v>
      </c>
      <c r="V29" s="11">
        <f t="array" ref="V29">SUM(IF(V3:V26="R2",1,0))</f>
        <v>1</v>
      </c>
      <c r="W29" s="11">
        <f t="array" ref="W29">SUM(IF(W3:W26="R2",1,0))</f>
        <v>1</v>
      </c>
      <c r="X29" s="11">
        <f t="array" ref="X29">SUM(IF(X3:X26="R2",1,0))</f>
        <v>1</v>
      </c>
      <c r="Y29" s="11">
        <f t="array" ref="Y29">SUM(IF(Y3:Y26="R2",1,0))</f>
        <v>1</v>
      </c>
      <c r="Z29" s="11">
        <f t="array" ref="Z29">SUM(IF(Z3:Z26="R2",1,0))</f>
        <v>1</v>
      </c>
      <c r="AA29" s="11">
        <f t="array" ref="AA29">SUM(IF(AA3:AA26="R2",1,0))</f>
        <v>1</v>
      </c>
      <c r="AB29" s="11">
        <f t="array" ref="AB29">SUM(IF(AB3:AB26="R2",1,0))</f>
        <v>1</v>
      </c>
      <c r="AC29" s="11">
        <f t="array" ref="AC29">SUM(IF(AC3:AC26="R2",1,0))</f>
        <v>1</v>
      </c>
      <c r="AD29" s="11">
        <f t="array" ref="AD29">SUM(IF(AD3:AD26="R2",1,0))</f>
        <v>1</v>
      </c>
      <c r="AE29" s="11">
        <f t="array" ref="AE29">SUM(IF(AE3:AE26="R2",1,0))</f>
        <v>1</v>
      </c>
      <c r="AF29" s="11">
        <f t="array" ref="AF29">SUM(IF(AF3:AF26="R2",1,0))</f>
        <v>1</v>
      </c>
      <c r="AG29" s="11">
        <f t="array" ref="AG29">SUM(IF(AG3:AG26="R2",1,0))</f>
        <v>1</v>
      </c>
      <c r="AH29" s="11">
        <f t="array" ref="AH29">SUM(IF(AH3:AH26="R2",1,0))</f>
        <v>1</v>
      </c>
      <c r="AI29" s="11">
        <f t="array" ref="AI29">SUM(IF(AI3:AI26="R2",1,0))</f>
        <v>1</v>
      </c>
      <c r="AJ29" s="11">
        <f t="array" ref="AJ29">SUM(IF(AJ3:AJ26="R2",1,0))</f>
        <v>1</v>
      </c>
      <c r="AK29" s="11">
        <f t="array" ref="AK29">SUM(IF(AK3:AK26="R2",1,0))</f>
        <v>1</v>
      </c>
      <c r="AL29" s="11">
        <f t="array" ref="AL29">SUM(IF(AL3:AL26="R2",1,0))</f>
        <v>1</v>
      </c>
      <c r="AM29" s="11">
        <f t="array" ref="AM29">SUM(IF(AM3:AM26="R2",1,0))</f>
        <v>1</v>
      </c>
      <c r="AN29" s="11">
        <f t="array" ref="AN29">SUM(IF(AN3:AN26="R2",1,0))</f>
        <v>1</v>
      </c>
      <c r="AO29" s="11">
        <f t="array" ref="AO29">SUM(IF(AO3:AO26="R2",1,0))</f>
        <v>1</v>
      </c>
      <c r="AP29" s="11">
        <f t="array" ref="AP29">SUM(IF(AP3:AP26="R2",1,0))</f>
        <v>1</v>
      </c>
      <c r="AQ29" s="11">
        <f t="array" ref="AQ29">SUM(IF(AQ3:AQ26="R2",1,0))</f>
        <v>1</v>
      </c>
      <c r="AR29" s="11">
        <f t="array" ref="AR29">SUM(IF(AR3:AR26="R2",1,0))</f>
        <v>1</v>
      </c>
      <c r="AS29" s="11">
        <f t="array" ref="AS29">SUM(IF(AS3:AS26="R2",1,0))</f>
        <v>1</v>
      </c>
      <c r="AT29" s="11">
        <f t="array" ref="AT29">SUM(IF(AT3:AT26="R2",1,0))</f>
        <v>1</v>
      </c>
    </row>
    <row r="30">
      <c r="E30" s="46" t="s">
        <v>71</v>
      </c>
      <c r="F30" s="29" t="str">
        <f t="shared" ref="F30:AT30" si="7">IFERROR(INDEX($A$3:$A$26, MATCH(1, INDEX($F$3:$AT$26, 0, MATCH(F2, $F$2:$AT$2, 0)), 0)), INDEX($A$3:$A$26, MATCH(1, INDEX($F$3:$AT$26, 0, MATCH(F2&amp;" AM", $F$2:$AT$2, 0)), 0)))</f>
        <v>PTE DARREN</v>
      </c>
      <c r="G30" s="29" t="str">
        <f t="shared" si="7"/>
        <v>CPL DANIEL</v>
      </c>
      <c r="H30" s="29" t="str">
        <f t="shared" si="7"/>
        <v>PTE RIFQI</v>
      </c>
      <c r="I30" s="29" t="str">
        <f t="shared" si="7"/>
        <v>LCP ERNEST</v>
      </c>
      <c r="J30" s="29" t="str">
        <f t="shared" si="7"/>
        <v>REC PARAM</v>
      </c>
      <c r="K30" s="29" t="str">
        <f t="shared" si="7"/>
        <v>PTE HAQIMI</v>
      </c>
      <c r="L30" s="29" t="str">
        <f t="shared" si="7"/>
        <v>PTE AMIN</v>
      </c>
      <c r="M30" s="29" t="str">
        <f t="shared" si="7"/>
        <v>PTE HOI REI</v>
      </c>
      <c r="N30" s="29" t="str">
        <f t="shared" si="7"/>
        <v>PTE HAQIMI</v>
      </c>
      <c r="O30" s="29" t="str">
        <f t="shared" si="7"/>
        <v>SCT YUSUF</v>
      </c>
      <c r="P30" s="29" t="str">
        <f t="shared" si="7"/>
        <v>PTE EZRA</v>
      </c>
      <c r="Q30" s="29" t="str">
        <f t="shared" si="7"/>
        <v>PTE ADAM</v>
      </c>
      <c r="R30" s="29" t="str">
        <f t="shared" si="7"/>
        <v>PTE AFIF</v>
      </c>
      <c r="S30" s="29" t="str">
        <f t="shared" si="7"/>
        <v>PTE FIRMAN</v>
      </c>
      <c r="T30" s="29" t="str">
        <f t="shared" si="7"/>
        <v>PTE HAO QIAN</v>
      </c>
      <c r="U30" s="29" t="str">
        <f t="shared" si="7"/>
        <v>PTE AMIN</v>
      </c>
      <c r="V30" s="29" t="str">
        <f t="shared" si="7"/>
        <v>PTE AFIF</v>
      </c>
      <c r="W30" s="29" t="str">
        <f t="shared" si="7"/>
        <v>PTE ANGELO</v>
      </c>
      <c r="X30" s="29" t="str">
        <f t="shared" si="7"/>
        <v>PTE DARREN</v>
      </c>
      <c r="Y30" s="29" t="str">
        <f t="shared" si="7"/>
        <v>PTE XIAO YU</v>
      </c>
      <c r="Z30" s="29" t="str">
        <f t="shared" si="7"/>
        <v>PTE AMIN</v>
      </c>
      <c r="AA30" s="29" t="str">
        <f t="shared" si="7"/>
        <v>REC RUI FENG</v>
      </c>
      <c r="AB30" s="29" t="str">
        <f t="shared" si="7"/>
        <v>PTE FIRMAN</v>
      </c>
      <c r="AC30" s="29" t="str">
        <f t="shared" si="7"/>
        <v>PTE RIFQI</v>
      </c>
      <c r="AD30" s="29" t="str">
        <f t="shared" si="7"/>
        <v>PTE ADAM</v>
      </c>
      <c r="AE30" s="29" t="str">
        <f t="shared" si="7"/>
        <v>CPL DANIEL</v>
      </c>
      <c r="AF30" s="29" t="str">
        <f t="shared" si="7"/>
        <v>PTE ANGELO</v>
      </c>
      <c r="AG30" s="29" t="str">
        <f t="shared" si="7"/>
        <v>REC ETHAN</v>
      </c>
      <c r="AH30" s="29" t="str">
        <f t="shared" si="7"/>
        <v>SCT YUSUF</v>
      </c>
      <c r="AI30" s="29" t="str">
        <f t="shared" si="7"/>
        <v>CPL DANIEL</v>
      </c>
      <c r="AJ30" s="29" t="str">
        <f t="shared" si="7"/>
        <v>PTE HOI REI</v>
      </c>
      <c r="AK30" s="29" t="str">
        <f t="shared" si="7"/>
        <v>PTE JIREH</v>
      </c>
      <c r="AL30" s="29" t="str">
        <f t="shared" si="7"/>
        <v>REC RUI FENG</v>
      </c>
      <c r="AM30" s="29" t="str">
        <f t="shared" si="7"/>
        <v>PTE EZRA</v>
      </c>
      <c r="AN30" s="29" t="str">
        <f t="shared" si="7"/>
        <v>REC ETHAN</v>
      </c>
      <c r="AO30" s="29" t="str">
        <f t="shared" si="7"/>
        <v>PTE HOI REI</v>
      </c>
      <c r="AP30" s="29" t="str">
        <f t="shared" si="7"/>
        <v>PTE HAO QIAN</v>
      </c>
      <c r="AQ30" s="29" t="str">
        <f t="shared" si="7"/>
        <v>PTE JIREH</v>
      </c>
      <c r="AR30" s="29" t="str">
        <f t="shared" si="7"/>
        <v>PTE XIAO YU</v>
      </c>
      <c r="AS30" s="29" t="str">
        <f t="shared" si="7"/>
        <v>REC PARAM</v>
      </c>
      <c r="AT30" s="29" t="str">
        <f t="shared" si="7"/>
        <v>LCP ERNEST</v>
      </c>
    </row>
    <row r="31">
      <c r="E31" s="46" t="s">
        <v>72</v>
      </c>
      <c r="F31" s="28" t="str">
        <f t="shared" ref="F31:AT31" si="8">INDEX($A$3:$A$26, MATCH("R", INDEX($F$3:$AT$26, 0, MATCH(F2, $F$2:$AT$2, 0)), 0))</f>
        <v>PTE XIAO YU</v>
      </c>
      <c r="G31" s="28" t="str">
        <f t="shared" si="8"/>
        <v>PTE ANGELO</v>
      </c>
      <c r="H31" s="28" t="str">
        <f t="shared" si="8"/>
        <v>PTE AMIN</v>
      </c>
      <c r="I31" s="28" t="str">
        <f t="shared" si="8"/>
        <v>PTE FIRMAN</v>
      </c>
      <c r="J31" s="28" t="str">
        <f t="shared" si="8"/>
        <v>PTE HAO QIAN</v>
      </c>
      <c r="K31" s="28" t="str">
        <f t="shared" si="8"/>
        <v>LCP ERNEST</v>
      </c>
      <c r="L31" s="28" t="str">
        <f t="shared" si="8"/>
        <v>SCT YUSUF</v>
      </c>
      <c r="M31" s="28" t="str">
        <f t="shared" si="8"/>
        <v>PTE FIRMAN</v>
      </c>
      <c r="N31" s="28" t="str">
        <f t="shared" si="8"/>
        <v>PTE DARREN</v>
      </c>
      <c r="O31" s="28" t="str">
        <f t="shared" si="8"/>
        <v>PTE AMIN</v>
      </c>
      <c r="P31" s="28" t="str">
        <f t="shared" si="8"/>
        <v>PTE HOI REI</v>
      </c>
      <c r="Q31" s="28" t="str">
        <f t="shared" si="8"/>
        <v>PTE HAO QIAN</v>
      </c>
      <c r="R31" s="28" t="str">
        <f t="shared" si="8"/>
        <v>REC RUI FENG</v>
      </c>
      <c r="S31" s="28" t="str">
        <f t="shared" si="8"/>
        <v>LCP ERNEST</v>
      </c>
      <c r="T31" s="28" t="str">
        <f t="shared" si="8"/>
        <v>REC PARAM</v>
      </c>
      <c r="U31" s="28" t="str">
        <f t="shared" si="8"/>
        <v>PTE ADAM</v>
      </c>
      <c r="V31" s="28" t="str">
        <f t="shared" si="8"/>
        <v>PTE EZRA</v>
      </c>
      <c r="W31" s="28" t="str">
        <f t="shared" si="8"/>
        <v>PTE ADAM</v>
      </c>
      <c r="X31" s="28" t="str">
        <f t="shared" si="8"/>
        <v>PTE JIREH</v>
      </c>
      <c r="Y31" s="28" t="str">
        <f t="shared" si="8"/>
        <v>LCP ERNEST</v>
      </c>
      <c r="Z31" s="28" t="str">
        <f t="shared" si="8"/>
        <v>PTE HAO QIAN</v>
      </c>
      <c r="AA31" s="28" t="str">
        <f t="shared" si="8"/>
        <v>PTE ADAM</v>
      </c>
      <c r="AB31" s="28" t="str">
        <f t="shared" si="8"/>
        <v>PTE AFIF</v>
      </c>
      <c r="AC31" s="28" t="str">
        <f t="shared" si="8"/>
        <v>REC RUI FENG</v>
      </c>
      <c r="AD31" s="28" t="str">
        <f t="shared" si="8"/>
        <v>PTE XIAO YU</v>
      </c>
      <c r="AE31" s="28" t="str">
        <f t="shared" si="8"/>
        <v>REC ETHAN</v>
      </c>
      <c r="AF31" s="28" t="str">
        <f t="shared" si="8"/>
        <v>PTE JIREH</v>
      </c>
      <c r="AG31" s="28" t="str">
        <f t="shared" si="8"/>
        <v>PTE HOI REI</v>
      </c>
      <c r="AH31" s="28" t="str">
        <f t="shared" si="8"/>
        <v>PTE ANGELO</v>
      </c>
      <c r="AI31" s="28" t="str">
        <f t="shared" si="8"/>
        <v>REC ETHAN</v>
      </c>
      <c r="AJ31" s="28" t="str">
        <f t="shared" si="8"/>
        <v>REC PARAM</v>
      </c>
      <c r="AK31" s="28" t="str">
        <f t="shared" si="8"/>
        <v>PTE HAQIMI</v>
      </c>
      <c r="AL31" s="28" t="str">
        <f t="shared" si="8"/>
        <v>PTE RIFQI</v>
      </c>
      <c r="AM31" s="28" t="str">
        <f t="shared" si="8"/>
        <v>PTE HAQIMI</v>
      </c>
      <c r="AN31" s="28" t="str">
        <f t="shared" si="8"/>
        <v>CPL DANIEL</v>
      </c>
      <c r="AO31" s="28" t="str">
        <f t="shared" si="8"/>
        <v>PTE DARREN</v>
      </c>
      <c r="AP31" s="28" t="str">
        <f t="shared" si="8"/>
        <v>PTE AFIF</v>
      </c>
      <c r="AQ31" s="28" t="str">
        <f t="shared" si="8"/>
        <v>SCT YUSUF</v>
      </c>
      <c r="AR31" s="28" t="str">
        <f t="shared" si="8"/>
        <v>PTE EZRA</v>
      </c>
      <c r="AS31" s="28" t="str">
        <f t="shared" si="8"/>
        <v>PTE RIFQI</v>
      </c>
      <c r="AT31" s="28" t="str">
        <f t="shared" si="8"/>
        <v>CPL DANIEL</v>
      </c>
    </row>
    <row r="32">
      <c r="E32" s="46" t="s">
        <v>70</v>
      </c>
      <c r="F32" s="30" t="str">
        <f t="shared" ref="F32:AT32" si="9">INDEX($A$3:$A$26, MATCH("R2", INDEX($F$3:$AT$26, 0, MATCH(F2, $F$2:$AT$2, 0)), 0))</f>
        <v>PTE HAQIMI</v>
      </c>
      <c r="G32" s="30" t="str">
        <f t="shared" si="9"/>
        <v>PTE EZRA</v>
      </c>
      <c r="H32" s="30" t="str">
        <f t="shared" si="9"/>
        <v>PTE EZRA</v>
      </c>
      <c r="I32" s="30" t="str">
        <f t="shared" si="9"/>
        <v>PTE AFIF</v>
      </c>
      <c r="J32" s="30" t="str">
        <f t="shared" si="9"/>
        <v>PTE HAQIMI</v>
      </c>
      <c r="K32" s="30" t="str">
        <f t="shared" si="9"/>
        <v>PTE FIRMAN</v>
      </c>
      <c r="L32" s="30" t="str">
        <f t="shared" si="9"/>
        <v>PTE DARREN</v>
      </c>
      <c r="M32" s="30" t="str">
        <f t="shared" si="9"/>
        <v>PTE ADAM</v>
      </c>
      <c r="N32" s="30" t="str">
        <f t="shared" si="9"/>
        <v>PTE XIAO YU</v>
      </c>
      <c r="O32" s="30" t="str">
        <f t="shared" si="9"/>
        <v>PTE AFIF</v>
      </c>
      <c r="P32" s="30" t="str">
        <f t="shared" si="9"/>
        <v>PTE RIFQI</v>
      </c>
      <c r="Q32" s="30" t="str">
        <f t="shared" si="9"/>
        <v>CPL DANIEL</v>
      </c>
      <c r="R32" s="30" t="str">
        <f t="shared" si="9"/>
        <v>REC PARAM</v>
      </c>
      <c r="S32" s="30" t="str">
        <f t="shared" si="9"/>
        <v>PTE HAO QIAN</v>
      </c>
      <c r="T32" s="30" t="str">
        <f t="shared" si="9"/>
        <v>REC RUI FENG</v>
      </c>
      <c r="U32" s="30" t="str">
        <f t="shared" si="9"/>
        <v>PTE HAO QIAN</v>
      </c>
      <c r="V32" s="30" t="str">
        <f t="shared" si="9"/>
        <v>PTE AMIN</v>
      </c>
      <c r="W32" s="30" t="str">
        <f t="shared" si="9"/>
        <v>PTE JIREH</v>
      </c>
      <c r="X32" s="30" t="str">
        <f t="shared" si="9"/>
        <v>PTE AMIN</v>
      </c>
      <c r="Y32" s="30" t="str">
        <f t="shared" si="9"/>
        <v>PTE HOI REI</v>
      </c>
      <c r="Z32" s="30" t="str">
        <f t="shared" si="9"/>
        <v>PTE JIREH</v>
      </c>
      <c r="AA32" s="30" t="str">
        <f t="shared" si="9"/>
        <v>PTE ANGELO</v>
      </c>
      <c r="AB32" s="30" t="str">
        <f t="shared" si="9"/>
        <v>LCP ERNEST</v>
      </c>
      <c r="AC32" s="30" t="str">
        <f t="shared" si="9"/>
        <v>PTE ADAM</v>
      </c>
      <c r="AD32" s="30" t="str">
        <f t="shared" si="9"/>
        <v>PTE HOI REI</v>
      </c>
      <c r="AE32" s="30" t="str">
        <f t="shared" si="9"/>
        <v>PTE AFIF</v>
      </c>
      <c r="AF32" s="30" t="str">
        <f t="shared" si="9"/>
        <v>REC ETHAN</v>
      </c>
      <c r="AG32" s="30" t="str">
        <f t="shared" si="9"/>
        <v>PTE HAQIMI</v>
      </c>
      <c r="AH32" s="30" t="str">
        <f t="shared" si="9"/>
        <v>PTE JIREH</v>
      </c>
      <c r="AI32" s="30" t="str">
        <f t="shared" si="9"/>
        <v>PTE ANGELO</v>
      </c>
      <c r="AJ32" s="30" t="str">
        <f t="shared" si="9"/>
        <v>PTE RIFQI</v>
      </c>
      <c r="AK32" s="30" t="str">
        <f t="shared" si="9"/>
        <v>PTE DARREN</v>
      </c>
      <c r="AL32" s="30" t="str">
        <f t="shared" si="9"/>
        <v>REC PARAM</v>
      </c>
      <c r="AM32" s="30" t="str">
        <f t="shared" si="9"/>
        <v>REC ETHAN</v>
      </c>
      <c r="AN32" s="30" t="str">
        <f t="shared" si="9"/>
        <v>SCT YUSUF</v>
      </c>
      <c r="AO32" s="30" t="str">
        <f t="shared" si="9"/>
        <v>LCP ERNEST</v>
      </c>
      <c r="AP32" s="30" t="str">
        <f t="shared" si="9"/>
        <v>PTE FIRMAN</v>
      </c>
      <c r="AQ32" s="30" t="str">
        <f t="shared" si="9"/>
        <v>CPL DANIEL</v>
      </c>
      <c r="AR32" s="30" t="str">
        <f t="shared" si="9"/>
        <v>SCT YUSUF</v>
      </c>
      <c r="AS32" s="30" t="str">
        <f t="shared" si="9"/>
        <v>REC RUI FENG</v>
      </c>
      <c r="AT32" s="30" t="str">
        <f t="shared" si="9"/>
        <v>PTE XIAO YU</v>
      </c>
    </row>
    <row r="33">
      <c r="G33" s="31"/>
    </row>
    <row r="34">
      <c r="G34" s="31"/>
    </row>
    <row r="35">
      <c r="G35" s="31"/>
    </row>
    <row r="36">
      <c r="A36" s="26" t="s">
        <v>118</v>
      </c>
      <c r="G36" s="31"/>
    </row>
    <row r="37">
      <c r="A37" s="25" t="s">
        <v>119</v>
      </c>
      <c r="G37" s="31"/>
    </row>
    <row r="38">
      <c r="A38" s="22" t="s">
        <v>120</v>
      </c>
      <c r="G38" s="31"/>
    </row>
    <row r="39">
      <c r="A39" s="20" t="s">
        <v>121</v>
      </c>
      <c r="G39" s="31"/>
    </row>
    <row r="40">
      <c r="A40" s="23" t="s">
        <v>122</v>
      </c>
      <c r="G40" s="31"/>
    </row>
    <row r="41">
      <c r="A41" s="14" t="s">
        <v>123</v>
      </c>
      <c r="G41" s="31"/>
    </row>
    <row r="42">
      <c r="A42" s="27" t="s">
        <v>124</v>
      </c>
      <c r="G42" s="31"/>
    </row>
    <row r="43">
      <c r="A43" s="9" t="s">
        <v>125</v>
      </c>
      <c r="C43" s="31"/>
      <c r="G43" s="31"/>
    </row>
    <row r="44">
      <c r="A44" s="44" t="s">
        <v>126</v>
      </c>
      <c r="G44" s="31"/>
    </row>
    <row r="45">
      <c r="G45" s="31"/>
    </row>
    <row r="46">
      <c r="G46" s="31"/>
    </row>
    <row r="47">
      <c r="G47" s="31"/>
    </row>
    <row r="48">
      <c r="G48" s="31"/>
    </row>
    <row r="49">
      <c r="G49" s="31"/>
    </row>
    <row r="50">
      <c r="G50" s="31"/>
    </row>
    <row r="51">
      <c r="G51" s="31"/>
    </row>
    <row r="52">
      <c r="G52" s="31"/>
    </row>
    <row r="53">
      <c r="G53" s="31"/>
    </row>
    <row r="54">
      <c r="G54" s="31"/>
    </row>
    <row r="55">
      <c r="G55" s="31"/>
    </row>
    <row r="56">
      <c r="G56" s="31"/>
    </row>
    <row r="57">
      <c r="G57" s="31"/>
    </row>
    <row r="58">
      <c r="G58" s="31"/>
    </row>
    <row r="59">
      <c r="G59" s="31"/>
    </row>
    <row r="60">
      <c r="G60" s="31"/>
    </row>
    <row r="61">
      <c r="G61" s="31"/>
    </row>
    <row r="62">
      <c r="G62" s="31"/>
    </row>
    <row r="63">
      <c r="G63" s="31"/>
    </row>
    <row r="64">
      <c r="G64" s="31"/>
    </row>
    <row r="65">
      <c r="G65" s="31"/>
    </row>
    <row r="66">
      <c r="G66" s="31"/>
    </row>
    <row r="67">
      <c r="G67" s="31"/>
    </row>
    <row r="68">
      <c r="G68" s="31"/>
    </row>
    <row r="69">
      <c r="G69" s="31"/>
    </row>
    <row r="70">
      <c r="G70" s="31"/>
    </row>
    <row r="71">
      <c r="G71" s="31"/>
    </row>
    <row r="72">
      <c r="G72" s="31"/>
    </row>
    <row r="73">
      <c r="G73" s="31"/>
    </row>
    <row r="74">
      <c r="G74" s="31"/>
    </row>
    <row r="75">
      <c r="G75" s="31"/>
    </row>
    <row r="76">
      <c r="G76" s="31"/>
    </row>
    <row r="77">
      <c r="G77" s="31"/>
    </row>
    <row r="78">
      <c r="G78" s="31"/>
    </row>
    <row r="79">
      <c r="G79" s="31"/>
    </row>
    <row r="80">
      <c r="G80" s="31"/>
    </row>
    <row r="81">
      <c r="G81" s="31"/>
    </row>
    <row r="82">
      <c r="G82" s="31"/>
    </row>
    <row r="83">
      <c r="G83" s="31"/>
    </row>
    <row r="84">
      <c r="G84" s="31"/>
    </row>
    <row r="85">
      <c r="G85" s="31"/>
    </row>
    <row r="86">
      <c r="G86" s="31"/>
    </row>
    <row r="87">
      <c r="G87" s="31"/>
    </row>
    <row r="88">
      <c r="G88" s="31"/>
    </row>
    <row r="89">
      <c r="G89" s="31"/>
    </row>
    <row r="90">
      <c r="G90" s="31"/>
    </row>
    <row r="91">
      <c r="G91" s="31"/>
    </row>
    <row r="92">
      <c r="G92" s="31"/>
    </row>
    <row r="93">
      <c r="G93" s="31"/>
    </row>
    <row r="94">
      <c r="G94" s="31"/>
    </row>
    <row r="95">
      <c r="G95" s="31"/>
    </row>
    <row r="96">
      <c r="G96" s="31"/>
    </row>
    <row r="97">
      <c r="G97" s="31"/>
    </row>
    <row r="98">
      <c r="G98" s="31"/>
    </row>
    <row r="99">
      <c r="G99" s="31"/>
    </row>
    <row r="100">
      <c r="G100" s="31"/>
    </row>
    <row r="101">
      <c r="G101" s="31"/>
    </row>
    <row r="102">
      <c r="G102" s="31"/>
    </row>
    <row r="103">
      <c r="G103" s="31"/>
    </row>
    <row r="104">
      <c r="G104" s="31"/>
    </row>
    <row r="105">
      <c r="G105" s="31"/>
    </row>
    <row r="106">
      <c r="G106" s="31"/>
    </row>
    <row r="107">
      <c r="G107" s="31"/>
    </row>
    <row r="108">
      <c r="G108" s="31"/>
    </row>
    <row r="109">
      <c r="G109" s="31"/>
    </row>
    <row r="110">
      <c r="G110" s="31"/>
    </row>
    <row r="111">
      <c r="G111" s="31"/>
    </row>
    <row r="112">
      <c r="G112" s="31"/>
    </row>
    <row r="113">
      <c r="G113" s="31"/>
    </row>
    <row r="114">
      <c r="G114" s="31"/>
    </row>
    <row r="115">
      <c r="G115" s="31"/>
    </row>
    <row r="116">
      <c r="G116" s="31"/>
    </row>
    <row r="117">
      <c r="G117" s="31"/>
    </row>
    <row r="118">
      <c r="G118" s="31"/>
    </row>
    <row r="119">
      <c r="G119" s="31"/>
    </row>
    <row r="120">
      <c r="G120" s="31"/>
    </row>
    <row r="121">
      <c r="G121" s="31"/>
    </row>
    <row r="122">
      <c r="G122" s="31"/>
    </row>
    <row r="123">
      <c r="G123" s="31"/>
    </row>
    <row r="124">
      <c r="G124" s="31"/>
    </row>
    <row r="125">
      <c r="G125" s="31"/>
    </row>
    <row r="126">
      <c r="G126" s="31"/>
    </row>
    <row r="127">
      <c r="G127" s="31"/>
    </row>
    <row r="128">
      <c r="G128" s="31"/>
    </row>
    <row r="129">
      <c r="G129" s="31"/>
    </row>
    <row r="130">
      <c r="G130" s="31"/>
    </row>
    <row r="131">
      <c r="G131" s="31"/>
    </row>
    <row r="132">
      <c r="G132" s="31"/>
    </row>
    <row r="133">
      <c r="G133" s="31"/>
    </row>
    <row r="134">
      <c r="G134" s="31"/>
    </row>
    <row r="135">
      <c r="G135" s="31"/>
    </row>
    <row r="136">
      <c r="G136" s="31"/>
    </row>
    <row r="137">
      <c r="G137" s="31"/>
    </row>
    <row r="138">
      <c r="G138" s="31"/>
    </row>
    <row r="139">
      <c r="G139" s="31"/>
    </row>
    <row r="140">
      <c r="G140" s="31"/>
    </row>
    <row r="141">
      <c r="G141" s="31"/>
    </row>
    <row r="142">
      <c r="G142" s="31"/>
    </row>
    <row r="143">
      <c r="G143" s="31"/>
    </row>
    <row r="144">
      <c r="G144" s="31"/>
    </row>
    <row r="145">
      <c r="G145" s="31"/>
    </row>
    <row r="146">
      <c r="G146" s="31"/>
    </row>
    <row r="147">
      <c r="G147" s="31"/>
    </row>
    <row r="148">
      <c r="G148" s="31"/>
    </row>
    <row r="149">
      <c r="G149" s="31"/>
    </row>
    <row r="150">
      <c r="G150" s="31"/>
    </row>
    <row r="151">
      <c r="G151" s="31"/>
    </row>
    <row r="152">
      <c r="G152" s="31"/>
    </row>
    <row r="153">
      <c r="G153" s="31"/>
    </row>
    <row r="154">
      <c r="G154" s="31"/>
    </row>
    <row r="155">
      <c r="G155" s="31"/>
    </row>
    <row r="156">
      <c r="G156" s="31"/>
    </row>
    <row r="157">
      <c r="G157" s="31"/>
    </row>
    <row r="158">
      <c r="G158" s="31"/>
    </row>
    <row r="159">
      <c r="G159" s="31"/>
    </row>
    <row r="160">
      <c r="G160" s="31"/>
    </row>
    <row r="161">
      <c r="G161" s="31"/>
    </row>
    <row r="162">
      <c r="G162" s="31"/>
    </row>
    <row r="163">
      <c r="G163" s="31"/>
    </row>
    <row r="164">
      <c r="G164" s="31"/>
    </row>
    <row r="165">
      <c r="G165" s="31"/>
    </row>
    <row r="166">
      <c r="G166" s="31"/>
    </row>
    <row r="167">
      <c r="G167" s="31"/>
    </row>
    <row r="168">
      <c r="G168" s="31"/>
    </row>
    <row r="169">
      <c r="G169" s="31"/>
    </row>
    <row r="170">
      <c r="G170" s="31"/>
    </row>
    <row r="171">
      <c r="G171" s="31"/>
    </row>
    <row r="172">
      <c r="G172" s="31"/>
    </row>
    <row r="173">
      <c r="G173" s="31"/>
    </row>
    <row r="174">
      <c r="G174" s="31"/>
    </row>
    <row r="175">
      <c r="G175" s="31"/>
    </row>
    <row r="176">
      <c r="G176" s="31"/>
    </row>
    <row r="177">
      <c r="G177" s="31"/>
    </row>
    <row r="178">
      <c r="G178" s="31"/>
    </row>
    <row r="179">
      <c r="G179" s="31"/>
    </row>
    <row r="180">
      <c r="G180" s="31"/>
    </row>
    <row r="181">
      <c r="G181" s="31"/>
    </row>
    <row r="182">
      <c r="G182" s="31"/>
    </row>
    <row r="183">
      <c r="G183" s="31"/>
    </row>
    <row r="184">
      <c r="G184" s="31"/>
    </row>
    <row r="185">
      <c r="G185" s="31"/>
    </row>
    <row r="186">
      <c r="G186" s="31"/>
    </row>
    <row r="187">
      <c r="G187" s="31"/>
    </row>
    <row r="188">
      <c r="G188" s="31"/>
    </row>
    <row r="189">
      <c r="G189" s="31"/>
    </row>
    <row r="190">
      <c r="G190" s="31"/>
    </row>
    <row r="191">
      <c r="G191" s="31"/>
    </row>
    <row r="192">
      <c r="G192" s="31"/>
    </row>
    <row r="193">
      <c r="G193" s="31"/>
    </row>
    <row r="194">
      <c r="G194" s="31"/>
    </row>
    <row r="195">
      <c r="G195" s="31"/>
    </row>
    <row r="196">
      <c r="G196" s="31"/>
    </row>
    <row r="197">
      <c r="G197" s="31"/>
    </row>
    <row r="198">
      <c r="G198" s="31"/>
    </row>
    <row r="199">
      <c r="G199" s="31"/>
    </row>
    <row r="200">
      <c r="G200" s="31"/>
    </row>
    <row r="201">
      <c r="G201" s="31"/>
    </row>
    <row r="202">
      <c r="G202" s="31"/>
    </row>
    <row r="203">
      <c r="G203" s="31"/>
    </row>
    <row r="204">
      <c r="G204" s="31"/>
    </row>
    <row r="205">
      <c r="G205" s="31"/>
    </row>
    <row r="206">
      <c r="G206" s="31"/>
    </row>
    <row r="207">
      <c r="G207" s="31"/>
    </row>
    <row r="208">
      <c r="G208" s="31"/>
    </row>
    <row r="209">
      <c r="G209" s="31"/>
    </row>
    <row r="210">
      <c r="G210" s="31"/>
    </row>
    <row r="211">
      <c r="G211" s="31"/>
    </row>
    <row r="212">
      <c r="G212" s="31"/>
    </row>
    <row r="213">
      <c r="G213" s="31"/>
    </row>
    <row r="214">
      <c r="G214" s="31"/>
    </row>
    <row r="215">
      <c r="G215" s="31"/>
    </row>
    <row r="216">
      <c r="G216" s="31"/>
    </row>
    <row r="217">
      <c r="G217" s="31"/>
    </row>
    <row r="218">
      <c r="G218" s="31"/>
    </row>
    <row r="219">
      <c r="G219" s="31"/>
    </row>
    <row r="220">
      <c r="G220" s="31"/>
    </row>
    <row r="221">
      <c r="G221" s="31"/>
    </row>
    <row r="222">
      <c r="G222" s="31"/>
    </row>
    <row r="223">
      <c r="G223" s="31"/>
    </row>
    <row r="224">
      <c r="G224" s="31"/>
    </row>
    <row r="225">
      <c r="G225" s="31"/>
    </row>
    <row r="226">
      <c r="G226" s="31"/>
    </row>
    <row r="227">
      <c r="G227" s="31"/>
    </row>
    <row r="228">
      <c r="G228" s="31"/>
    </row>
    <row r="229">
      <c r="G229" s="31"/>
    </row>
    <row r="230">
      <c r="G230" s="31"/>
    </row>
    <row r="231">
      <c r="G231" s="31"/>
    </row>
    <row r="232">
      <c r="G232" s="31"/>
    </row>
    <row r="233">
      <c r="G233" s="31"/>
    </row>
    <row r="234">
      <c r="G234" s="31"/>
    </row>
    <row r="235">
      <c r="G235" s="31"/>
    </row>
    <row r="236">
      <c r="G236" s="31"/>
    </row>
    <row r="237">
      <c r="G237" s="31"/>
    </row>
    <row r="238">
      <c r="G238" s="31"/>
    </row>
    <row r="239">
      <c r="G239" s="31"/>
    </row>
    <row r="240">
      <c r="G240" s="31"/>
    </row>
    <row r="241">
      <c r="G241" s="31"/>
    </row>
    <row r="242">
      <c r="G242" s="31"/>
    </row>
    <row r="243">
      <c r="G243" s="31"/>
    </row>
    <row r="244">
      <c r="G244" s="31"/>
    </row>
    <row r="245">
      <c r="G245" s="31"/>
    </row>
    <row r="246">
      <c r="G246" s="31"/>
    </row>
    <row r="247">
      <c r="G247" s="31"/>
    </row>
    <row r="248">
      <c r="G248" s="31"/>
    </row>
    <row r="249">
      <c r="G249" s="31"/>
    </row>
    <row r="250">
      <c r="G250" s="31"/>
    </row>
    <row r="251">
      <c r="G251" s="31"/>
    </row>
    <row r="252">
      <c r="G252" s="31"/>
    </row>
    <row r="253">
      <c r="G253" s="31"/>
    </row>
    <row r="254">
      <c r="G254" s="31"/>
    </row>
    <row r="255">
      <c r="G255" s="31"/>
    </row>
    <row r="256">
      <c r="G256" s="31"/>
    </row>
    <row r="257">
      <c r="G257" s="31"/>
    </row>
    <row r="258">
      <c r="G258" s="31"/>
    </row>
    <row r="259">
      <c r="G259" s="31"/>
    </row>
    <row r="260">
      <c r="G260" s="31"/>
    </row>
    <row r="261">
      <c r="G261" s="31"/>
    </row>
    <row r="262">
      <c r="G262" s="31"/>
    </row>
    <row r="263">
      <c r="G263" s="31"/>
    </row>
    <row r="264">
      <c r="G264" s="31"/>
    </row>
    <row r="265">
      <c r="G265" s="31"/>
    </row>
    <row r="266">
      <c r="G266" s="31"/>
    </row>
    <row r="267">
      <c r="G267" s="31"/>
    </row>
    <row r="268">
      <c r="G268" s="31"/>
    </row>
    <row r="269">
      <c r="G269" s="31"/>
    </row>
    <row r="270">
      <c r="G270" s="31"/>
    </row>
    <row r="271">
      <c r="G271" s="31"/>
    </row>
    <row r="272">
      <c r="G272" s="31"/>
    </row>
    <row r="273">
      <c r="G273" s="31"/>
    </row>
    <row r="274">
      <c r="G274" s="31"/>
    </row>
    <row r="275">
      <c r="G275" s="31"/>
    </row>
    <row r="276">
      <c r="G276" s="31"/>
    </row>
    <row r="277">
      <c r="G277" s="31"/>
    </row>
    <row r="278">
      <c r="G278" s="31"/>
    </row>
    <row r="279">
      <c r="G279" s="31"/>
    </row>
    <row r="280">
      <c r="G280" s="31"/>
    </row>
    <row r="281">
      <c r="G281" s="31"/>
    </row>
    <row r="282">
      <c r="G282" s="31"/>
    </row>
    <row r="283">
      <c r="G283" s="31"/>
    </row>
    <row r="284">
      <c r="G284" s="31"/>
    </row>
    <row r="285">
      <c r="G285" s="31"/>
    </row>
    <row r="286">
      <c r="G286" s="31"/>
    </row>
    <row r="287">
      <c r="G287" s="31"/>
    </row>
    <row r="288">
      <c r="G288" s="31"/>
    </row>
    <row r="289">
      <c r="G289" s="31"/>
    </row>
    <row r="290">
      <c r="G290" s="31"/>
    </row>
    <row r="291">
      <c r="G291" s="31"/>
    </row>
    <row r="292">
      <c r="G292" s="31"/>
    </row>
    <row r="293">
      <c r="G293" s="31"/>
    </row>
    <row r="294">
      <c r="G294" s="31"/>
    </row>
    <row r="295">
      <c r="G295" s="31"/>
    </row>
    <row r="296">
      <c r="G296" s="31"/>
    </row>
    <row r="297">
      <c r="G297" s="31"/>
    </row>
    <row r="298">
      <c r="G298" s="31"/>
    </row>
    <row r="299">
      <c r="G299" s="31"/>
    </row>
    <row r="300">
      <c r="G300" s="31"/>
    </row>
    <row r="301">
      <c r="G301" s="31"/>
    </row>
    <row r="302">
      <c r="G302" s="31"/>
    </row>
    <row r="303">
      <c r="G303" s="31"/>
    </row>
    <row r="304">
      <c r="G304" s="31"/>
    </row>
    <row r="305">
      <c r="G305" s="31"/>
    </row>
    <row r="306">
      <c r="G306" s="31"/>
    </row>
    <row r="307">
      <c r="G307" s="31"/>
    </row>
    <row r="308">
      <c r="G308" s="31"/>
    </row>
    <row r="309">
      <c r="G309" s="31"/>
    </row>
    <row r="310">
      <c r="G310" s="31"/>
    </row>
    <row r="311">
      <c r="G311" s="31"/>
    </row>
    <row r="312">
      <c r="G312" s="31"/>
    </row>
    <row r="313">
      <c r="G313" s="31"/>
    </row>
    <row r="314">
      <c r="G314" s="31"/>
    </row>
    <row r="315">
      <c r="G315" s="31"/>
    </row>
    <row r="316">
      <c r="G316" s="31"/>
    </row>
    <row r="317">
      <c r="G317" s="31"/>
    </row>
    <row r="318">
      <c r="G318" s="31"/>
    </row>
    <row r="319">
      <c r="G319" s="31"/>
    </row>
    <row r="320">
      <c r="G320" s="31"/>
    </row>
    <row r="321">
      <c r="G321" s="31"/>
    </row>
    <row r="322">
      <c r="G322" s="31"/>
    </row>
    <row r="323">
      <c r="G323" s="31"/>
    </row>
    <row r="324">
      <c r="G324" s="31"/>
    </row>
    <row r="325">
      <c r="G325" s="31"/>
    </row>
    <row r="326">
      <c r="G326" s="31"/>
    </row>
    <row r="327">
      <c r="G327" s="31"/>
    </row>
    <row r="328">
      <c r="G328" s="31"/>
    </row>
    <row r="329">
      <c r="G329" s="31"/>
    </row>
    <row r="330">
      <c r="G330" s="31"/>
    </row>
    <row r="331">
      <c r="G331" s="31"/>
    </row>
    <row r="332">
      <c r="G332" s="31"/>
    </row>
    <row r="333">
      <c r="G333" s="31"/>
    </row>
    <row r="334">
      <c r="G334" s="31"/>
    </row>
    <row r="335">
      <c r="G335" s="31"/>
    </row>
    <row r="336">
      <c r="G336" s="31"/>
    </row>
    <row r="337">
      <c r="G337" s="31"/>
    </row>
    <row r="338">
      <c r="G338" s="31"/>
    </row>
    <row r="339">
      <c r="G339" s="31"/>
    </row>
    <row r="340">
      <c r="G340" s="31"/>
    </row>
    <row r="341">
      <c r="G341" s="31"/>
    </row>
    <row r="342">
      <c r="G342" s="31"/>
    </row>
    <row r="343">
      <c r="G343" s="31"/>
    </row>
    <row r="344">
      <c r="G344" s="31"/>
    </row>
    <row r="345">
      <c r="G345" s="31"/>
    </row>
    <row r="346">
      <c r="G346" s="31"/>
    </row>
    <row r="347">
      <c r="G347" s="31"/>
    </row>
    <row r="348">
      <c r="G348" s="31"/>
    </row>
    <row r="349">
      <c r="G349" s="31"/>
    </row>
    <row r="350">
      <c r="G350" s="31"/>
    </row>
    <row r="351">
      <c r="G351" s="31"/>
    </row>
    <row r="352">
      <c r="G352" s="31"/>
    </row>
    <row r="353">
      <c r="G353" s="31"/>
    </row>
    <row r="354">
      <c r="G354" s="31"/>
    </row>
    <row r="355">
      <c r="G355" s="31"/>
    </row>
    <row r="356">
      <c r="G356" s="31"/>
    </row>
    <row r="357">
      <c r="G357" s="31"/>
    </row>
    <row r="358">
      <c r="G358" s="31"/>
    </row>
    <row r="359">
      <c r="G359" s="31"/>
    </row>
    <row r="360">
      <c r="G360" s="31"/>
    </row>
    <row r="361">
      <c r="G361" s="31"/>
    </row>
    <row r="362">
      <c r="G362" s="31"/>
    </row>
    <row r="363">
      <c r="G363" s="31"/>
    </row>
    <row r="364">
      <c r="G364" s="31"/>
    </row>
    <row r="365">
      <c r="G365" s="31"/>
    </row>
    <row r="366">
      <c r="G366" s="31"/>
    </row>
    <row r="367">
      <c r="G367" s="31"/>
    </row>
    <row r="368">
      <c r="G368" s="31"/>
    </row>
    <row r="369">
      <c r="G369" s="31"/>
    </row>
    <row r="370">
      <c r="G370" s="31"/>
    </row>
    <row r="371">
      <c r="G371" s="31"/>
    </row>
    <row r="372">
      <c r="G372" s="31"/>
    </row>
    <row r="373">
      <c r="G373" s="31"/>
    </row>
    <row r="374">
      <c r="G374" s="31"/>
    </row>
    <row r="375">
      <c r="G375" s="31"/>
    </row>
    <row r="376">
      <c r="G376" s="31"/>
    </row>
    <row r="377">
      <c r="G377" s="31"/>
    </row>
    <row r="378">
      <c r="G378" s="31"/>
    </row>
    <row r="379">
      <c r="G379" s="31"/>
    </row>
    <row r="380">
      <c r="G380" s="31"/>
    </row>
    <row r="381">
      <c r="G381" s="31"/>
    </row>
    <row r="382">
      <c r="G382" s="31"/>
    </row>
    <row r="383">
      <c r="G383" s="31"/>
    </row>
    <row r="384">
      <c r="G384" s="31"/>
    </row>
    <row r="385">
      <c r="G385" s="31"/>
    </row>
    <row r="386">
      <c r="G386" s="31"/>
    </row>
    <row r="387">
      <c r="G387" s="31"/>
    </row>
    <row r="388">
      <c r="G388" s="31"/>
    </row>
    <row r="389">
      <c r="G389" s="31"/>
    </row>
    <row r="390">
      <c r="G390" s="31"/>
    </row>
    <row r="391">
      <c r="G391" s="31"/>
    </row>
    <row r="392">
      <c r="G392" s="31"/>
    </row>
    <row r="393">
      <c r="G393" s="31"/>
    </row>
    <row r="394">
      <c r="G394" s="31"/>
    </row>
    <row r="395">
      <c r="G395" s="31"/>
    </row>
    <row r="396">
      <c r="G396" s="31"/>
    </row>
    <row r="397">
      <c r="G397" s="31"/>
    </row>
    <row r="398">
      <c r="G398" s="31"/>
    </row>
    <row r="399">
      <c r="G399" s="31"/>
    </row>
    <row r="400">
      <c r="G400" s="31"/>
    </row>
    <row r="401">
      <c r="G401" s="31"/>
    </row>
    <row r="402">
      <c r="G402" s="31"/>
    </row>
    <row r="403">
      <c r="G403" s="31"/>
    </row>
    <row r="404">
      <c r="G404" s="31"/>
    </row>
    <row r="405">
      <c r="G405" s="31"/>
    </row>
    <row r="406">
      <c r="G406" s="31"/>
    </row>
    <row r="407">
      <c r="G407" s="31"/>
    </row>
    <row r="408">
      <c r="G408" s="31"/>
    </row>
    <row r="409">
      <c r="G409" s="31"/>
    </row>
    <row r="410">
      <c r="G410" s="31"/>
    </row>
    <row r="411">
      <c r="G411" s="31"/>
    </row>
    <row r="412">
      <c r="G412" s="31"/>
    </row>
    <row r="413">
      <c r="G413" s="31"/>
    </row>
    <row r="414">
      <c r="G414" s="31"/>
    </row>
    <row r="415">
      <c r="G415" s="31"/>
    </row>
    <row r="416">
      <c r="G416" s="31"/>
    </row>
    <row r="417">
      <c r="G417" s="31"/>
    </row>
    <row r="418">
      <c r="G418" s="31"/>
    </row>
    <row r="419">
      <c r="G419" s="31"/>
    </row>
    <row r="420">
      <c r="G420" s="31"/>
    </row>
    <row r="421">
      <c r="G421" s="31"/>
    </row>
    <row r="422">
      <c r="G422" s="31"/>
    </row>
    <row r="423">
      <c r="G423" s="31"/>
    </row>
    <row r="424">
      <c r="G424" s="31"/>
    </row>
    <row r="425">
      <c r="G425" s="31"/>
    </row>
    <row r="426">
      <c r="G426" s="31"/>
    </row>
    <row r="427">
      <c r="G427" s="31"/>
    </row>
    <row r="428">
      <c r="G428" s="31"/>
    </row>
    <row r="429">
      <c r="G429" s="31"/>
    </row>
    <row r="430">
      <c r="G430" s="31"/>
    </row>
    <row r="431">
      <c r="G431" s="31"/>
    </row>
    <row r="432">
      <c r="G432" s="31"/>
    </row>
    <row r="433">
      <c r="G433" s="31"/>
    </row>
    <row r="434">
      <c r="G434" s="31"/>
    </row>
    <row r="435">
      <c r="G435" s="31"/>
    </row>
    <row r="436">
      <c r="G436" s="31"/>
    </row>
    <row r="437">
      <c r="G437" s="31"/>
    </row>
    <row r="438">
      <c r="G438" s="31"/>
    </row>
    <row r="439">
      <c r="G439" s="31"/>
    </row>
    <row r="440">
      <c r="G440" s="31"/>
    </row>
    <row r="441">
      <c r="G441" s="31"/>
    </row>
    <row r="442">
      <c r="G442" s="31"/>
    </row>
    <row r="443">
      <c r="G443" s="31"/>
    </row>
    <row r="444">
      <c r="G444" s="31"/>
    </row>
    <row r="445">
      <c r="G445" s="31"/>
    </row>
    <row r="446">
      <c r="G446" s="31"/>
    </row>
    <row r="447">
      <c r="G447" s="31"/>
    </row>
    <row r="448">
      <c r="G448" s="31"/>
    </row>
    <row r="449">
      <c r="G449" s="31"/>
    </row>
    <row r="450">
      <c r="G450" s="31"/>
    </row>
    <row r="451">
      <c r="G451" s="31"/>
    </row>
    <row r="452">
      <c r="G452" s="31"/>
    </row>
    <row r="453">
      <c r="G453" s="31"/>
    </row>
    <row r="454">
      <c r="G454" s="31"/>
    </row>
    <row r="455">
      <c r="G455" s="31"/>
    </row>
    <row r="456">
      <c r="G456" s="31"/>
    </row>
    <row r="457">
      <c r="G457" s="31"/>
    </row>
    <row r="458">
      <c r="G458" s="31"/>
    </row>
    <row r="459">
      <c r="G459" s="31"/>
    </row>
    <row r="460">
      <c r="G460" s="31"/>
    </row>
    <row r="461">
      <c r="G461" s="31"/>
    </row>
    <row r="462">
      <c r="G462" s="31"/>
    </row>
    <row r="463">
      <c r="G463" s="31"/>
    </row>
    <row r="464">
      <c r="G464" s="31"/>
    </row>
    <row r="465">
      <c r="G465" s="31"/>
    </row>
    <row r="466">
      <c r="G466" s="31"/>
    </row>
    <row r="467">
      <c r="G467" s="31"/>
    </row>
    <row r="468">
      <c r="G468" s="31"/>
    </row>
    <row r="469">
      <c r="G469" s="31"/>
    </row>
    <row r="470">
      <c r="G470" s="31"/>
    </row>
    <row r="471">
      <c r="G471" s="31"/>
    </row>
    <row r="472">
      <c r="G472" s="31"/>
    </row>
    <row r="473">
      <c r="G473" s="31"/>
    </row>
    <row r="474">
      <c r="G474" s="31"/>
    </row>
    <row r="475">
      <c r="G475" s="31"/>
    </row>
    <row r="476">
      <c r="G476" s="31"/>
    </row>
    <row r="477">
      <c r="G477" s="31"/>
    </row>
    <row r="478">
      <c r="G478" s="31"/>
    </row>
    <row r="479">
      <c r="G479" s="31"/>
    </row>
    <row r="480">
      <c r="G480" s="31"/>
    </row>
    <row r="481">
      <c r="G481" s="31"/>
    </row>
    <row r="482">
      <c r="G482" s="31"/>
    </row>
    <row r="483">
      <c r="G483" s="31"/>
    </row>
    <row r="484">
      <c r="G484" s="31"/>
    </row>
    <row r="485">
      <c r="G485" s="31"/>
    </row>
    <row r="486">
      <c r="G486" s="31"/>
    </row>
    <row r="487">
      <c r="G487" s="31"/>
    </row>
    <row r="488">
      <c r="G488" s="31"/>
    </row>
    <row r="489">
      <c r="G489" s="31"/>
    </row>
    <row r="490">
      <c r="G490" s="31"/>
    </row>
    <row r="491">
      <c r="G491" s="31"/>
    </row>
    <row r="492">
      <c r="G492" s="31"/>
    </row>
    <row r="493">
      <c r="G493" s="31"/>
    </row>
    <row r="494">
      <c r="G494" s="31"/>
    </row>
    <row r="495">
      <c r="G495" s="31"/>
    </row>
    <row r="496">
      <c r="G496" s="31"/>
    </row>
    <row r="497">
      <c r="G497" s="31"/>
    </row>
    <row r="498">
      <c r="G498" s="31"/>
    </row>
    <row r="499">
      <c r="G499" s="31"/>
    </row>
    <row r="500">
      <c r="G500" s="31"/>
    </row>
    <row r="501">
      <c r="G501" s="31"/>
    </row>
    <row r="502">
      <c r="G502" s="31"/>
    </row>
    <row r="503">
      <c r="G503" s="31"/>
    </row>
    <row r="504">
      <c r="G504" s="31"/>
    </row>
    <row r="505">
      <c r="G505" s="31"/>
    </row>
    <row r="506">
      <c r="G506" s="31"/>
    </row>
    <row r="507">
      <c r="G507" s="31"/>
    </row>
    <row r="508">
      <c r="G508" s="31"/>
    </row>
    <row r="509">
      <c r="G509" s="31"/>
    </row>
    <row r="510">
      <c r="G510" s="31"/>
    </row>
    <row r="511">
      <c r="G511" s="31"/>
    </row>
    <row r="512">
      <c r="G512" s="31"/>
    </row>
    <row r="513">
      <c r="G513" s="31"/>
    </row>
    <row r="514">
      <c r="G514" s="31"/>
    </row>
    <row r="515">
      <c r="G515" s="31"/>
    </row>
    <row r="516">
      <c r="G516" s="31"/>
    </row>
    <row r="517">
      <c r="G517" s="31"/>
    </row>
    <row r="518">
      <c r="G518" s="31"/>
    </row>
    <row r="519">
      <c r="G519" s="31"/>
    </row>
    <row r="520">
      <c r="G520" s="31"/>
    </row>
    <row r="521">
      <c r="G521" s="31"/>
    </row>
    <row r="522">
      <c r="G522" s="31"/>
    </row>
    <row r="523">
      <c r="G523" s="31"/>
    </row>
    <row r="524">
      <c r="G524" s="31"/>
    </row>
    <row r="525">
      <c r="G525" s="31"/>
    </row>
    <row r="526">
      <c r="G526" s="31"/>
    </row>
    <row r="527">
      <c r="G527" s="31"/>
    </row>
    <row r="528">
      <c r="G528" s="31"/>
    </row>
    <row r="529">
      <c r="G529" s="31"/>
    </row>
    <row r="530">
      <c r="G530" s="31"/>
    </row>
    <row r="531">
      <c r="G531" s="31"/>
    </row>
    <row r="532">
      <c r="G532" s="31"/>
    </row>
    <row r="533">
      <c r="G533" s="31"/>
    </row>
    <row r="534">
      <c r="G534" s="31"/>
    </row>
    <row r="535">
      <c r="G535" s="31"/>
    </row>
    <row r="536">
      <c r="G536" s="31"/>
    </row>
    <row r="537">
      <c r="G537" s="31"/>
    </row>
    <row r="538">
      <c r="G538" s="31"/>
    </row>
    <row r="539">
      <c r="G539" s="31"/>
    </row>
    <row r="540">
      <c r="G540" s="31"/>
    </row>
    <row r="541">
      <c r="G541" s="31"/>
    </row>
    <row r="542">
      <c r="G542" s="31"/>
    </row>
    <row r="543">
      <c r="G543" s="31"/>
    </row>
    <row r="544">
      <c r="G544" s="31"/>
    </row>
    <row r="545">
      <c r="G545" s="31"/>
    </row>
    <row r="546">
      <c r="G546" s="31"/>
    </row>
    <row r="547">
      <c r="G547" s="31"/>
    </row>
    <row r="548">
      <c r="G548" s="31"/>
    </row>
    <row r="549">
      <c r="G549" s="31"/>
    </row>
    <row r="550">
      <c r="G550" s="31"/>
    </row>
    <row r="551">
      <c r="G551" s="31"/>
    </row>
    <row r="552">
      <c r="G552" s="31"/>
    </row>
    <row r="553">
      <c r="G553" s="31"/>
    </row>
    <row r="554">
      <c r="G554" s="31"/>
    </row>
    <row r="555">
      <c r="G555" s="31"/>
    </row>
    <row r="556">
      <c r="G556" s="31"/>
    </row>
    <row r="557">
      <c r="G557" s="31"/>
    </row>
    <row r="558">
      <c r="G558" s="31"/>
    </row>
    <row r="559">
      <c r="G559" s="31"/>
    </row>
    <row r="560">
      <c r="G560" s="31"/>
    </row>
    <row r="561">
      <c r="G561" s="31"/>
    </row>
    <row r="562">
      <c r="G562" s="31"/>
    </row>
    <row r="563">
      <c r="G563" s="31"/>
    </row>
    <row r="564">
      <c r="G564" s="31"/>
    </row>
    <row r="565">
      <c r="G565" s="31"/>
    </row>
    <row r="566">
      <c r="G566" s="31"/>
    </row>
    <row r="567">
      <c r="G567" s="31"/>
    </row>
    <row r="568">
      <c r="G568" s="31"/>
    </row>
    <row r="569">
      <c r="G569" s="31"/>
    </row>
    <row r="570">
      <c r="G570" s="31"/>
    </row>
    <row r="571">
      <c r="G571" s="31"/>
    </row>
    <row r="572">
      <c r="G572" s="31"/>
    </row>
    <row r="573">
      <c r="G573" s="31"/>
    </row>
    <row r="574">
      <c r="G574" s="31"/>
    </row>
    <row r="575">
      <c r="G575" s="31"/>
    </row>
    <row r="576">
      <c r="G576" s="31"/>
    </row>
    <row r="577">
      <c r="G577" s="31"/>
    </row>
    <row r="578">
      <c r="G578" s="31"/>
    </row>
    <row r="579">
      <c r="G579" s="31"/>
    </row>
    <row r="580">
      <c r="G580" s="31"/>
    </row>
    <row r="581">
      <c r="G581" s="31"/>
    </row>
    <row r="582">
      <c r="G582" s="31"/>
    </row>
    <row r="583">
      <c r="G583" s="31"/>
    </row>
    <row r="584">
      <c r="G584" s="31"/>
    </row>
    <row r="585">
      <c r="G585" s="31"/>
    </row>
    <row r="586">
      <c r="G586" s="31"/>
    </row>
    <row r="587">
      <c r="G587" s="31"/>
    </row>
    <row r="588">
      <c r="G588" s="31"/>
    </row>
    <row r="589">
      <c r="G589" s="31"/>
    </row>
    <row r="590">
      <c r="G590" s="31"/>
    </row>
    <row r="591">
      <c r="G591" s="31"/>
    </row>
    <row r="592">
      <c r="G592" s="31"/>
    </row>
    <row r="593">
      <c r="G593" s="31"/>
    </row>
    <row r="594">
      <c r="G594" s="31"/>
    </row>
    <row r="595">
      <c r="G595" s="31"/>
    </row>
    <row r="596">
      <c r="G596" s="31"/>
    </row>
    <row r="597">
      <c r="G597" s="31"/>
    </row>
    <row r="598">
      <c r="G598" s="31"/>
    </row>
    <row r="599">
      <c r="G599" s="31"/>
    </row>
    <row r="600">
      <c r="G600" s="31"/>
    </row>
    <row r="601">
      <c r="G601" s="31"/>
    </row>
    <row r="602">
      <c r="G602" s="31"/>
    </row>
    <row r="603">
      <c r="G603" s="31"/>
    </row>
    <row r="604">
      <c r="G604" s="31"/>
    </row>
    <row r="605">
      <c r="G605" s="31"/>
    </row>
    <row r="606">
      <c r="G606" s="31"/>
    </row>
    <row r="607">
      <c r="G607" s="31"/>
    </row>
    <row r="608">
      <c r="G608" s="31"/>
    </row>
    <row r="609">
      <c r="G609" s="31"/>
    </row>
    <row r="610">
      <c r="G610" s="31"/>
    </row>
    <row r="611">
      <c r="G611" s="31"/>
    </row>
    <row r="612">
      <c r="G612" s="31"/>
    </row>
    <row r="613">
      <c r="G613" s="31"/>
    </row>
    <row r="614">
      <c r="G614" s="31"/>
    </row>
    <row r="615">
      <c r="G615" s="31"/>
    </row>
    <row r="616">
      <c r="G616" s="31"/>
    </row>
    <row r="617">
      <c r="G617" s="31"/>
    </row>
    <row r="618">
      <c r="G618" s="31"/>
    </row>
    <row r="619">
      <c r="G619" s="31"/>
    </row>
    <row r="620">
      <c r="G620" s="31"/>
    </row>
    <row r="621">
      <c r="G621" s="31"/>
    </row>
    <row r="622">
      <c r="G622" s="31"/>
    </row>
    <row r="623">
      <c r="G623" s="31"/>
    </row>
    <row r="624">
      <c r="G624" s="31"/>
    </row>
    <row r="625">
      <c r="G625" s="31"/>
    </row>
    <row r="626">
      <c r="G626" s="31"/>
    </row>
    <row r="627">
      <c r="G627" s="31"/>
    </row>
    <row r="628">
      <c r="G628" s="31"/>
    </row>
    <row r="629">
      <c r="G629" s="31"/>
    </row>
    <row r="630">
      <c r="G630" s="31"/>
    </row>
    <row r="631">
      <c r="G631" s="31"/>
    </row>
    <row r="632">
      <c r="G632" s="31"/>
    </row>
    <row r="633">
      <c r="G633" s="31"/>
    </row>
    <row r="634">
      <c r="G634" s="31"/>
    </row>
    <row r="635">
      <c r="G635" s="31"/>
    </row>
    <row r="636">
      <c r="G636" s="31"/>
    </row>
    <row r="637">
      <c r="G637" s="31"/>
    </row>
    <row r="638">
      <c r="G638" s="31"/>
    </row>
    <row r="639">
      <c r="G639" s="31"/>
    </row>
    <row r="640">
      <c r="G640" s="31"/>
    </row>
    <row r="641">
      <c r="G641" s="31"/>
    </row>
    <row r="642">
      <c r="G642" s="31"/>
    </row>
    <row r="643">
      <c r="G643" s="31"/>
    </row>
    <row r="644">
      <c r="G644" s="31"/>
    </row>
    <row r="645">
      <c r="G645" s="31"/>
    </row>
    <row r="646">
      <c r="G646" s="31"/>
    </row>
    <row r="647">
      <c r="G647" s="31"/>
    </row>
    <row r="648">
      <c r="G648" s="31"/>
    </row>
    <row r="649">
      <c r="G649" s="31"/>
    </row>
    <row r="650">
      <c r="G650" s="31"/>
    </row>
    <row r="651">
      <c r="G651" s="31"/>
    </row>
    <row r="652">
      <c r="G652" s="31"/>
    </row>
    <row r="653">
      <c r="G653" s="31"/>
    </row>
    <row r="654">
      <c r="G654" s="31"/>
    </row>
    <row r="655">
      <c r="G655" s="31"/>
    </row>
    <row r="656">
      <c r="G656" s="31"/>
    </row>
    <row r="657">
      <c r="G657" s="31"/>
    </row>
    <row r="658">
      <c r="G658" s="31"/>
    </row>
    <row r="659">
      <c r="G659" s="31"/>
    </row>
    <row r="660">
      <c r="G660" s="31"/>
    </row>
    <row r="661">
      <c r="G661" s="31"/>
    </row>
    <row r="662">
      <c r="G662" s="31"/>
    </row>
    <row r="663">
      <c r="G663" s="31"/>
    </row>
    <row r="664">
      <c r="G664" s="31"/>
    </row>
    <row r="665">
      <c r="G665" s="31"/>
    </row>
    <row r="666">
      <c r="G666" s="31"/>
    </row>
    <row r="667">
      <c r="G667" s="31"/>
    </row>
    <row r="668">
      <c r="G668" s="31"/>
    </row>
    <row r="669">
      <c r="G669" s="31"/>
    </row>
    <row r="670">
      <c r="G670" s="31"/>
    </row>
    <row r="671">
      <c r="G671" s="31"/>
    </row>
    <row r="672">
      <c r="G672" s="31"/>
    </row>
    <row r="673">
      <c r="G673" s="31"/>
    </row>
    <row r="674">
      <c r="G674" s="31"/>
    </row>
    <row r="675">
      <c r="G675" s="31"/>
    </row>
    <row r="676">
      <c r="G676" s="31"/>
    </row>
    <row r="677">
      <c r="G677" s="31"/>
    </row>
    <row r="678">
      <c r="G678" s="31"/>
    </row>
    <row r="679">
      <c r="G679" s="31"/>
    </row>
    <row r="680">
      <c r="G680" s="31"/>
    </row>
    <row r="681">
      <c r="G681" s="31"/>
    </row>
    <row r="682">
      <c r="G682" s="31"/>
    </row>
    <row r="683">
      <c r="G683" s="31"/>
    </row>
    <row r="684">
      <c r="G684" s="31"/>
    </row>
    <row r="685">
      <c r="G685" s="31"/>
    </row>
    <row r="686">
      <c r="G686" s="31"/>
    </row>
    <row r="687">
      <c r="G687" s="31"/>
    </row>
    <row r="688">
      <c r="G688" s="31"/>
    </row>
    <row r="689">
      <c r="G689" s="31"/>
    </row>
    <row r="690">
      <c r="G690" s="31"/>
    </row>
    <row r="691">
      <c r="G691" s="31"/>
    </row>
    <row r="692">
      <c r="G692" s="31"/>
    </row>
    <row r="693">
      <c r="G693" s="31"/>
    </row>
    <row r="694">
      <c r="G694" s="31"/>
    </row>
    <row r="695">
      <c r="G695" s="31"/>
    </row>
    <row r="696">
      <c r="G696" s="31"/>
    </row>
    <row r="697">
      <c r="G697" s="31"/>
    </row>
    <row r="698">
      <c r="G698" s="31"/>
    </row>
    <row r="699">
      <c r="G699" s="31"/>
    </row>
    <row r="700">
      <c r="G700" s="31"/>
    </row>
    <row r="701">
      <c r="G701" s="31"/>
    </row>
    <row r="702">
      <c r="G702" s="31"/>
    </row>
    <row r="703">
      <c r="G703" s="31"/>
    </row>
    <row r="704">
      <c r="G704" s="31"/>
    </row>
    <row r="705">
      <c r="G705" s="31"/>
    </row>
    <row r="706">
      <c r="G706" s="31"/>
    </row>
    <row r="707">
      <c r="G707" s="31"/>
    </row>
    <row r="708">
      <c r="G708" s="31"/>
    </row>
    <row r="709">
      <c r="G709" s="31"/>
    </row>
    <row r="710">
      <c r="G710" s="31"/>
    </row>
    <row r="711">
      <c r="G711" s="31"/>
    </row>
    <row r="712">
      <c r="G712" s="31"/>
    </row>
    <row r="713">
      <c r="G713" s="31"/>
    </row>
    <row r="714">
      <c r="G714" s="31"/>
    </row>
    <row r="715">
      <c r="G715" s="31"/>
    </row>
    <row r="716">
      <c r="G716" s="31"/>
    </row>
    <row r="717">
      <c r="G717" s="31"/>
    </row>
    <row r="718">
      <c r="G718" s="31"/>
    </row>
    <row r="719">
      <c r="G719" s="31"/>
    </row>
    <row r="720">
      <c r="G720" s="31"/>
    </row>
    <row r="721">
      <c r="G721" s="31"/>
    </row>
    <row r="722">
      <c r="G722" s="31"/>
    </row>
    <row r="723">
      <c r="G723" s="31"/>
    </row>
    <row r="724">
      <c r="G724" s="31"/>
    </row>
    <row r="725">
      <c r="G725" s="31"/>
    </row>
    <row r="726">
      <c r="G726" s="31"/>
    </row>
    <row r="727">
      <c r="G727" s="31"/>
    </row>
    <row r="728">
      <c r="G728" s="31"/>
    </row>
    <row r="729">
      <c r="G729" s="31"/>
    </row>
    <row r="730">
      <c r="G730" s="31"/>
    </row>
    <row r="731">
      <c r="G731" s="31"/>
    </row>
    <row r="732">
      <c r="G732" s="31"/>
    </row>
    <row r="733">
      <c r="G733" s="31"/>
    </row>
    <row r="734">
      <c r="G734" s="31"/>
    </row>
    <row r="735">
      <c r="G735" s="31"/>
    </row>
    <row r="736">
      <c r="G736" s="31"/>
    </row>
    <row r="737">
      <c r="G737" s="31"/>
    </row>
    <row r="738">
      <c r="G738" s="31"/>
    </row>
    <row r="739">
      <c r="G739" s="31"/>
    </row>
    <row r="740">
      <c r="G740" s="31"/>
    </row>
    <row r="741">
      <c r="G741" s="31"/>
    </row>
    <row r="742">
      <c r="G742" s="31"/>
    </row>
    <row r="743">
      <c r="G743" s="31"/>
    </row>
    <row r="744">
      <c r="G744" s="31"/>
    </row>
    <row r="745">
      <c r="G745" s="31"/>
    </row>
    <row r="746">
      <c r="G746" s="31"/>
    </row>
    <row r="747">
      <c r="G747" s="31"/>
    </row>
    <row r="748">
      <c r="G748" s="31"/>
    </row>
    <row r="749">
      <c r="G749" s="31"/>
    </row>
    <row r="750">
      <c r="G750" s="31"/>
    </row>
    <row r="751">
      <c r="G751" s="31"/>
    </row>
    <row r="752">
      <c r="G752" s="31"/>
    </row>
    <row r="753">
      <c r="G753" s="31"/>
    </row>
    <row r="754">
      <c r="G754" s="31"/>
    </row>
    <row r="755">
      <c r="G755" s="31"/>
    </row>
    <row r="756">
      <c r="G756" s="31"/>
    </row>
    <row r="757">
      <c r="G757" s="31"/>
    </row>
    <row r="758">
      <c r="G758" s="31"/>
    </row>
    <row r="759">
      <c r="G759" s="31"/>
    </row>
    <row r="760">
      <c r="G760" s="31"/>
    </row>
    <row r="761">
      <c r="G761" s="31"/>
    </row>
    <row r="762">
      <c r="G762" s="31"/>
    </row>
    <row r="763">
      <c r="G763" s="31"/>
    </row>
    <row r="764">
      <c r="G764" s="31"/>
    </row>
    <row r="765">
      <c r="G765" s="31"/>
    </row>
    <row r="766">
      <c r="G766" s="31"/>
    </row>
    <row r="767">
      <c r="G767" s="31"/>
    </row>
    <row r="768">
      <c r="G768" s="31"/>
    </row>
    <row r="769">
      <c r="G769" s="31"/>
    </row>
    <row r="770">
      <c r="G770" s="31"/>
    </row>
    <row r="771">
      <c r="G771" s="31"/>
    </row>
    <row r="772">
      <c r="G772" s="31"/>
    </row>
    <row r="773">
      <c r="G773" s="31"/>
    </row>
    <row r="774">
      <c r="G774" s="31"/>
    </row>
    <row r="775">
      <c r="G775" s="31"/>
    </row>
    <row r="776">
      <c r="G776" s="31"/>
    </row>
    <row r="777">
      <c r="G777" s="31"/>
    </row>
    <row r="778">
      <c r="G778" s="31"/>
    </row>
    <row r="779">
      <c r="G779" s="31"/>
    </row>
    <row r="780">
      <c r="G780" s="31"/>
    </row>
    <row r="781">
      <c r="G781" s="31"/>
    </row>
    <row r="782">
      <c r="G782" s="31"/>
    </row>
    <row r="783">
      <c r="G783" s="31"/>
    </row>
    <row r="784">
      <c r="G784" s="31"/>
    </row>
    <row r="785">
      <c r="G785" s="31"/>
    </row>
    <row r="786">
      <c r="G786" s="31"/>
    </row>
    <row r="787">
      <c r="G787" s="31"/>
    </row>
    <row r="788">
      <c r="G788" s="31"/>
    </row>
    <row r="789">
      <c r="G789" s="31"/>
    </row>
    <row r="790">
      <c r="G790" s="31"/>
    </row>
    <row r="791">
      <c r="G791" s="31"/>
    </row>
    <row r="792">
      <c r="G792" s="31"/>
    </row>
    <row r="793">
      <c r="G793" s="31"/>
    </row>
    <row r="794">
      <c r="G794" s="31"/>
    </row>
    <row r="795">
      <c r="G795" s="31"/>
    </row>
    <row r="796">
      <c r="G796" s="31"/>
    </row>
    <row r="797">
      <c r="G797" s="31"/>
    </row>
    <row r="798">
      <c r="G798" s="31"/>
    </row>
    <row r="799">
      <c r="G799" s="31"/>
    </row>
    <row r="800">
      <c r="G800" s="31"/>
    </row>
    <row r="801">
      <c r="G801" s="31"/>
    </row>
    <row r="802">
      <c r="G802" s="31"/>
    </row>
    <row r="803">
      <c r="G803" s="31"/>
    </row>
    <row r="804">
      <c r="G804" s="31"/>
    </row>
    <row r="805">
      <c r="G805" s="31"/>
    </row>
    <row r="806">
      <c r="G806" s="31"/>
    </row>
    <row r="807">
      <c r="G807" s="31"/>
    </row>
    <row r="808">
      <c r="G808" s="31"/>
    </row>
    <row r="809">
      <c r="G809" s="31"/>
    </row>
    <row r="810">
      <c r="G810" s="31"/>
    </row>
    <row r="811">
      <c r="G811" s="31"/>
    </row>
    <row r="812">
      <c r="G812" s="31"/>
    </row>
    <row r="813">
      <c r="G813" s="31"/>
    </row>
    <row r="814">
      <c r="G814" s="31"/>
    </row>
    <row r="815">
      <c r="G815" s="31"/>
    </row>
    <row r="816">
      <c r="G816" s="31"/>
    </row>
    <row r="817">
      <c r="G817" s="31"/>
    </row>
    <row r="818">
      <c r="G818" s="31"/>
    </row>
    <row r="819">
      <c r="G819" s="31"/>
    </row>
    <row r="820">
      <c r="G820" s="31"/>
    </row>
    <row r="821">
      <c r="G821" s="31"/>
    </row>
    <row r="822">
      <c r="G822" s="31"/>
    </row>
    <row r="823">
      <c r="G823" s="31"/>
    </row>
    <row r="824">
      <c r="G824" s="31"/>
    </row>
    <row r="825">
      <c r="G825" s="31"/>
    </row>
    <row r="826">
      <c r="G826" s="31"/>
    </row>
    <row r="827">
      <c r="G827" s="31"/>
    </row>
    <row r="828">
      <c r="G828" s="31"/>
    </row>
    <row r="829">
      <c r="G829" s="31"/>
    </row>
    <row r="830">
      <c r="G830" s="31"/>
    </row>
    <row r="831">
      <c r="G831" s="31"/>
    </row>
    <row r="832">
      <c r="G832" s="31"/>
    </row>
    <row r="833">
      <c r="G833" s="31"/>
    </row>
    <row r="834">
      <c r="G834" s="31"/>
    </row>
    <row r="835">
      <c r="G835" s="31"/>
    </row>
    <row r="836">
      <c r="G836" s="31"/>
    </row>
    <row r="837">
      <c r="G837" s="31"/>
    </row>
    <row r="838">
      <c r="G838" s="31"/>
    </row>
    <row r="839">
      <c r="G839" s="31"/>
    </row>
    <row r="840">
      <c r="G840" s="31"/>
    </row>
    <row r="841">
      <c r="G841" s="31"/>
    </row>
    <row r="842">
      <c r="G842" s="31"/>
    </row>
    <row r="843">
      <c r="G843" s="31"/>
    </row>
    <row r="844">
      <c r="G844" s="31"/>
    </row>
    <row r="845">
      <c r="G845" s="31"/>
    </row>
    <row r="846">
      <c r="G846" s="31"/>
    </row>
    <row r="847">
      <c r="G847" s="31"/>
    </row>
    <row r="848">
      <c r="G848" s="31"/>
    </row>
    <row r="849">
      <c r="G849" s="31"/>
    </row>
    <row r="850">
      <c r="G850" s="31"/>
    </row>
    <row r="851">
      <c r="G851" s="31"/>
    </row>
    <row r="852">
      <c r="G852" s="31"/>
    </row>
    <row r="853">
      <c r="G853" s="31"/>
    </row>
    <row r="854">
      <c r="G854" s="31"/>
    </row>
    <row r="855">
      <c r="G855" s="31"/>
    </row>
    <row r="856">
      <c r="G856" s="31"/>
    </row>
    <row r="857">
      <c r="G857" s="31"/>
    </row>
    <row r="858">
      <c r="G858" s="31"/>
    </row>
    <row r="859">
      <c r="G859" s="31"/>
    </row>
    <row r="860">
      <c r="G860" s="31"/>
    </row>
    <row r="861">
      <c r="G861" s="31"/>
    </row>
    <row r="862">
      <c r="G862" s="31"/>
    </row>
    <row r="863">
      <c r="G863" s="31"/>
    </row>
    <row r="864">
      <c r="G864" s="31"/>
    </row>
    <row r="865">
      <c r="G865" s="31"/>
    </row>
    <row r="866">
      <c r="G866" s="31"/>
    </row>
    <row r="867">
      <c r="G867" s="31"/>
    </row>
    <row r="868">
      <c r="G868" s="31"/>
    </row>
    <row r="869">
      <c r="G869" s="31"/>
    </row>
    <row r="870">
      <c r="G870" s="31"/>
    </row>
    <row r="871">
      <c r="G871" s="31"/>
    </row>
    <row r="872">
      <c r="G872" s="31"/>
    </row>
    <row r="873">
      <c r="G873" s="31"/>
    </row>
    <row r="874">
      <c r="G874" s="31"/>
    </row>
    <row r="875">
      <c r="G875" s="31"/>
    </row>
    <row r="876">
      <c r="G876" s="31"/>
    </row>
    <row r="877">
      <c r="G877" s="31"/>
    </row>
    <row r="878">
      <c r="G878" s="31"/>
    </row>
    <row r="879">
      <c r="G879" s="31"/>
    </row>
    <row r="880">
      <c r="G880" s="31"/>
    </row>
    <row r="881">
      <c r="G881" s="31"/>
    </row>
    <row r="882">
      <c r="G882" s="31"/>
    </row>
    <row r="883">
      <c r="G883" s="31"/>
    </row>
    <row r="884">
      <c r="G884" s="31"/>
    </row>
    <row r="885">
      <c r="G885" s="31"/>
    </row>
    <row r="886">
      <c r="G886" s="31"/>
    </row>
    <row r="887">
      <c r="G887" s="31"/>
    </row>
    <row r="888">
      <c r="G888" s="31"/>
    </row>
    <row r="889">
      <c r="G889" s="31"/>
    </row>
    <row r="890">
      <c r="G890" s="31"/>
    </row>
    <row r="891">
      <c r="G891" s="31"/>
    </row>
    <row r="892">
      <c r="G892" s="31"/>
    </row>
    <row r="893">
      <c r="G893" s="31"/>
    </row>
    <row r="894">
      <c r="G894" s="31"/>
    </row>
    <row r="895">
      <c r="G895" s="31"/>
    </row>
    <row r="896">
      <c r="G896" s="31"/>
    </row>
    <row r="897">
      <c r="G897" s="31"/>
    </row>
    <row r="898">
      <c r="G898" s="31"/>
    </row>
    <row r="899">
      <c r="G899" s="31"/>
    </row>
    <row r="900">
      <c r="G900" s="31"/>
    </row>
    <row r="901">
      <c r="G901" s="31"/>
    </row>
    <row r="902">
      <c r="G902" s="31"/>
    </row>
    <row r="903">
      <c r="G903" s="31"/>
    </row>
    <row r="904">
      <c r="G904" s="31"/>
    </row>
    <row r="905">
      <c r="G905" s="31"/>
    </row>
    <row r="906">
      <c r="G906" s="31"/>
    </row>
    <row r="907">
      <c r="G907" s="31"/>
    </row>
    <row r="908">
      <c r="G908" s="31"/>
    </row>
    <row r="909">
      <c r="G909" s="31"/>
    </row>
    <row r="910">
      <c r="G910" s="31"/>
    </row>
    <row r="911">
      <c r="G911" s="31"/>
    </row>
    <row r="912">
      <c r="G912" s="31"/>
    </row>
    <row r="913">
      <c r="G913" s="31"/>
    </row>
    <row r="914">
      <c r="G914" s="31"/>
    </row>
    <row r="915">
      <c r="G915" s="31"/>
    </row>
    <row r="916">
      <c r="G916" s="31"/>
    </row>
    <row r="917">
      <c r="G917" s="31"/>
    </row>
    <row r="918">
      <c r="G918" s="31"/>
    </row>
    <row r="919">
      <c r="G919" s="31"/>
    </row>
    <row r="920">
      <c r="G920" s="31"/>
    </row>
    <row r="921">
      <c r="G921" s="31"/>
    </row>
    <row r="922">
      <c r="G922" s="31"/>
    </row>
    <row r="923">
      <c r="G923" s="31"/>
    </row>
    <row r="924">
      <c r="G924" s="31"/>
    </row>
    <row r="925">
      <c r="G925" s="31"/>
    </row>
    <row r="926">
      <c r="G926" s="31"/>
    </row>
    <row r="927">
      <c r="G927" s="31"/>
    </row>
    <row r="928">
      <c r="G928" s="31"/>
    </row>
    <row r="929">
      <c r="G929" s="31"/>
    </row>
    <row r="930">
      <c r="G930" s="31"/>
    </row>
    <row r="931">
      <c r="G931" s="31"/>
    </row>
    <row r="932">
      <c r="G932" s="31"/>
    </row>
    <row r="933">
      <c r="G933" s="31"/>
    </row>
    <row r="934">
      <c r="G934" s="31"/>
    </row>
    <row r="935">
      <c r="G935" s="31"/>
    </row>
    <row r="936">
      <c r="G936" s="31"/>
    </row>
    <row r="937">
      <c r="G937" s="31"/>
    </row>
    <row r="938">
      <c r="G938" s="31"/>
    </row>
    <row r="939">
      <c r="G939" s="31"/>
    </row>
    <row r="940">
      <c r="G940" s="31"/>
    </row>
    <row r="941">
      <c r="G941" s="31"/>
    </row>
    <row r="942">
      <c r="G942" s="31"/>
    </row>
    <row r="943">
      <c r="G943" s="31"/>
    </row>
    <row r="944">
      <c r="G944" s="31"/>
    </row>
    <row r="945">
      <c r="G945" s="31"/>
    </row>
    <row r="946">
      <c r="G946" s="31"/>
    </row>
    <row r="947">
      <c r="G947" s="31"/>
    </row>
    <row r="948">
      <c r="G948" s="31"/>
    </row>
    <row r="949">
      <c r="G949" s="31"/>
    </row>
    <row r="950">
      <c r="G950" s="31"/>
    </row>
    <row r="951">
      <c r="G951" s="31"/>
    </row>
    <row r="952">
      <c r="G952" s="31"/>
    </row>
    <row r="953">
      <c r="G953" s="31"/>
    </row>
    <row r="954">
      <c r="G954" s="31"/>
    </row>
    <row r="955">
      <c r="G955" s="31"/>
    </row>
    <row r="956">
      <c r="G956" s="31"/>
    </row>
    <row r="957">
      <c r="G957" s="31"/>
    </row>
    <row r="958">
      <c r="G958" s="31"/>
    </row>
    <row r="959">
      <c r="G959" s="31"/>
    </row>
    <row r="960">
      <c r="G960" s="31"/>
    </row>
    <row r="961">
      <c r="G961" s="31"/>
    </row>
    <row r="962">
      <c r="G962" s="31"/>
    </row>
    <row r="963">
      <c r="G963" s="31"/>
    </row>
    <row r="964">
      <c r="G964" s="31"/>
    </row>
    <row r="965">
      <c r="G965" s="31"/>
    </row>
    <row r="966">
      <c r="G966" s="31"/>
    </row>
    <row r="967">
      <c r="G967" s="31"/>
    </row>
    <row r="968">
      <c r="G968" s="31"/>
    </row>
    <row r="969">
      <c r="G969" s="31"/>
    </row>
    <row r="970">
      <c r="G970" s="31"/>
    </row>
    <row r="971">
      <c r="G971" s="31"/>
    </row>
    <row r="972">
      <c r="G972" s="31"/>
    </row>
    <row r="973">
      <c r="G973" s="31"/>
    </row>
    <row r="974">
      <c r="G974" s="31"/>
    </row>
    <row r="975">
      <c r="G975" s="31"/>
    </row>
    <row r="976">
      <c r="G976" s="31"/>
    </row>
    <row r="977">
      <c r="G977" s="31"/>
    </row>
    <row r="978">
      <c r="G978" s="31"/>
    </row>
    <row r="979">
      <c r="G979" s="31"/>
    </row>
    <row r="980">
      <c r="G980" s="31"/>
    </row>
    <row r="981">
      <c r="G981" s="31"/>
    </row>
    <row r="982">
      <c r="G982" s="31"/>
    </row>
    <row r="983">
      <c r="G983" s="31"/>
    </row>
    <row r="984">
      <c r="G984" s="31"/>
    </row>
    <row r="985">
      <c r="G985" s="31"/>
    </row>
    <row r="986">
      <c r="G986" s="31"/>
    </row>
    <row r="987">
      <c r="G987" s="31"/>
    </row>
  </sheetData>
  <mergeCells count="5">
    <mergeCell ref="A1:A2"/>
    <mergeCell ref="B1:B2"/>
    <mergeCell ref="C1:C2"/>
    <mergeCell ref="D1:D2"/>
    <mergeCell ref="E1:E2"/>
  </mergeCells>
  <conditionalFormatting sqref="F3:AT26">
    <cfRule type="cellIs" dxfId="3" priority="1" operator="equal">
      <formula>1</formula>
    </cfRule>
  </conditionalFormatting>
  <conditionalFormatting sqref="F3:AT26">
    <cfRule type="cellIs" dxfId="4" priority="2" operator="equal">
      <formula>"R"</formula>
    </cfRule>
  </conditionalFormatting>
  <conditionalFormatting sqref="B3:C26">
    <cfRule type="cellIs" dxfId="5" priority="3" operator="greaterThanOrEqual">
      <formula>3</formula>
    </cfRule>
  </conditionalFormatting>
  <conditionalFormatting sqref="B3:B26">
    <cfRule type="cellIs" dxfId="6" priority="4" operator="lessThan">
      <formula>1</formula>
    </cfRule>
  </conditionalFormatting>
  <conditionalFormatting sqref="B3:B27 C3:C29">
    <cfRule type="cellIs" dxfId="7" priority="5" operator="equal">
      <formula>0</formula>
    </cfRule>
  </conditionalFormatting>
  <conditionalFormatting sqref="B3:C26">
    <cfRule type="cellIs" dxfId="8" priority="6" operator="lessThan">
      <formula>2</formula>
    </cfRule>
  </conditionalFormatting>
  <conditionalFormatting sqref="B3:C26">
    <cfRule type="cellIs" dxfId="9" priority="7" operator="lessThan">
      <formula>3</formula>
    </cfRule>
  </conditionalFormatting>
  <conditionalFormatting sqref="B3:B27 C3:C29">
    <cfRule type="containsBlanks" dxfId="6" priority="8">
      <formula>LEN(TRIM(B3))=0</formula>
    </cfRule>
  </conditionalFormatting>
  <conditionalFormatting sqref="F3:AT26">
    <cfRule type="cellIs" dxfId="10" priority="9" operator="equal">
      <formula>"R2"</formula>
    </cfRule>
  </conditionalFormatting>
  <conditionalFormatting sqref="F27:AT27">
    <cfRule type="cellIs" dxfId="7" priority="10" operator="lessThan">
      <formula>1</formula>
    </cfRule>
  </conditionalFormatting>
  <conditionalFormatting sqref="F27:AT27">
    <cfRule type="cellIs" dxfId="3" priority="11" operator="equal">
      <formula>1</formula>
    </cfRule>
  </conditionalFormatting>
  <conditionalFormatting sqref="F27:AT27">
    <cfRule type="cellIs" dxfId="11" priority="12" operator="greaterThan">
      <formula>1</formula>
    </cfRule>
  </conditionalFormatting>
  <conditionalFormatting sqref="D3:E27">
    <cfRule type="cellIs" dxfId="9" priority="13" operator="equal">
      <formula>1</formula>
    </cfRule>
  </conditionalFormatting>
  <conditionalFormatting sqref="F28:AT29">
    <cfRule type="cellIs" dxfId="7" priority="14" operator="lessThan">
      <formula>1</formula>
    </cfRule>
  </conditionalFormatting>
  <conditionalFormatting sqref="F28:AT29">
    <cfRule type="cellIs" dxfId="12" priority="15" operator="equal">
      <formula>1</formula>
    </cfRule>
  </conditionalFormatting>
  <conditionalFormatting sqref="F28:AT29">
    <cfRule type="cellIs" dxfId="11" priority="16" operator="greaterThan">
      <formula>1</formula>
    </cfRule>
  </conditionalFormatting>
  <conditionalFormatting sqref="D3:D26">
    <cfRule type="cellIs" dxfId="7" priority="17" operator="equal">
      <formula>0</formula>
    </cfRule>
  </conditionalFormatting>
  <conditionalFormatting sqref="D3:D26">
    <cfRule type="cellIs" dxfId="4" priority="18" operator="equal">
      <formula>2</formula>
    </cfRule>
  </conditionalFormatting>
  <conditionalFormatting sqref="E3:E26">
    <cfRule type="cellIs" dxfId="7" priority="19" operator="equal">
      <formula>0</formula>
    </cfRule>
  </conditionalFormatting>
  <conditionalFormatting sqref="E3:E26">
    <cfRule type="cellIs" dxfId="4" priority="20" operator="greaterThanOrEqual">
      <formula>2</formula>
    </cfRule>
  </conditionalFormatting>
  <drawing r:id="rId2"/>
  <legacy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14.63"/>
    <col customWidth="1" hidden="1" min="2" max="2" width="11.38"/>
    <col customWidth="1" min="4" max="4" width="14.13"/>
    <col customWidth="1" min="6" max="8" width="8.63"/>
    <col customWidth="1" min="9" max="9" width="8.38"/>
    <col customWidth="1" min="10" max="10" width="8.25"/>
    <col customWidth="1" min="11" max="43" width="8.63"/>
    <col customWidth="1" min="44" max="44" width="9.5"/>
  </cols>
  <sheetData>
    <row r="1">
      <c r="A1" s="1" t="s">
        <v>127</v>
      </c>
      <c r="B1" s="1" t="s">
        <v>1</v>
      </c>
      <c r="C1" s="1" t="s">
        <v>2</v>
      </c>
      <c r="D1" s="1" t="s">
        <v>3</v>
      </c>
      <c r="E1" s="1" t="s">
        <v>4</v>
      </c>
      <c r="F1" s="4" t="s">
        <v>7</v>
      </c>
      <c r="G1" s="4" t="s">
        <v>8</v>
      </c>
      <c r="H1" s="2" t="s">
        <v>9</v>
      </c>
      <c r="I1" s="2" t="s">
        <v>10</v>
      </c>
      <c r="J1" s="3" t="s">
        <v>11</v>
      </c>
      <c r="K1" s="4" t="s">
        <v>12</v>
      </c>
      <c r="L1" s="2" t="s">
        <v>13</v>
      </c>
      <c r="M1" s="2" t="s">
        <v>5</v>
      </c>
      <c r="N1" s="3" t="s">
        <v>6</v>
      </c>
      <c r="O1" s="4" t="s">
        <v>7</v>
      </c>
      <c r="P1" s="2" t="s">
        <v>8</v>
      </c>
      <c r="Q1" s="2" t="s">
        <v>9</v>
      </c>
      <c r="R1" s="2" t="s">
        <v>10</v>
      </c>
      <c r="S1" s="2" t="s">
        <v>11</v>
      </c>
      <c r="T1" s="3" t="s">
        <v>12</v>
      </c>
      <c r="U1" s="4" t="s">
        <v>13</v>
      </c>
      <c r="V1" s="2" t="s">
        <v>5</v>
      </c>
      <c r="W1" s="2" t="s">
        <v>6</v>
      </c>
      <c r="X1" s="3" t="s">
        <v>7</v>
      </c>
      <c r="Y1" s="4" t="s">
        <v>8</v>
      </c>
      <c r="Z1" s="2" t="s">
        <v>9</v>
      </c>
      <c r="AA1" s="2" t="s">
        <v>10</v>
      </c>
      <c r="AB1" s="2" t="s">
        <v>11</v>
      </c>
      <c r="AC1" s="3" t="s">
        <v>12</v>
      </c>
      <c r="AD1" s="4" t="s">
        <v>13</v>
      </c>
      <c r="AE1" s="2" t="s">
        <v>5</v>
      </c>
      <c r="AF1" s="2" t="s">
        <v>6</v>
      </c>
      <c r="AG1" s="3" t="s">
        <v>7</v>
      </c>
      <c r="AH1" s="4" t="s">
        <v>8</v>
      </c>
      <c r="AI1" s="2" t="s">
        <v>9</v>
      </c>
      <c r="AJ1" s="2" t="s">
        <v>10</v>
      </c>
      <c r="AK1" s="3" t="s">
        <v>11</v>
      </c>
      <c r="AL1" s="4" t="s">
        <v>12</v>
      </c>
      <c r="AM1" s="2" t="s">
        <v>13</v>
      </c>
      <c r="AN1" s="2" t="s">
        <v>5</v>
      </c>
      <c r="AO1" s="3" t="s">
        <v>6</v>
      </c>
      <c r="AP1" s="4" t="s">
        <v>7</v>
      </c>
      <c r="AQ1" s="2" t="s">
        <v>8</v>
      </c>
      <c r="AR1" s="2" t="s">
        <v>9</v>
      </c>
    </row>
    <row r="2">
      <c r="F2" s="5" t="s">
        <v>128</v>
      </c>
      <c r="G2" s="5" t="s">
        <v>129</v>
      </c>
      <c r="H2" s="38">
        <v>45537.0</v>
      </c>
      <c r="I2" s="38">
        <v>45538.0</v>
      </c>
      <c r="J2" s="38">
        <v>45539.0</v>
      </c>
      <c r="K2" s="38">
        <v>45540.0</v>
      </c>
      <c r="L2" s="38">
        <v>45541.0</v>
      </c>
      <c r="M2" s="5" t="s">
        <v>130</v>
      </c>
      <c r="N2" s="5" t="s">
        <v>131</v>
      </c>
      <c r="O2" s="5" t="s">
        <v>132</v>
      </c>
      <c r="P2" s="5" t="s">
        <v>133</v>
      </c>
      <c r="Q2" s="38">
        <v>45544.0</v>
      </c>
      <c r="R2" s="38">
        <v>45545.0</v>
      </c>
      <c r="S2" s="38">
        <v>45546.0</v>
      </c>
      <c r="T2" s="38">
        <v>45547.0</v>
      </c>
      <c r="U2" s="38">
        <v>45548.0</v>
      </c>
      <c r="V2" s="5" t="s">
        <v>134</v>
      </c>
      <c r="W2" s="5" t="s">
        <v>135</v>
      </c>
      <c r="X2" s="5" t="s">
        <v>136</v>
      </c>
      <c r="Y2" s="5" t="s">
        <v>137</v>
      </c>
      <c r="Z2" s="38">
        <v>45551.0</v>
      </c>
      <c r="AA2" s="38">
        <v>45552.0</v>
      </c>
      <c r="AB2" s="38">
        <v>45553.0</v>
      </c>
      <c r="AC2" s="38">
        <v>45554.0</v>
      </c>
      <c r="AD2" s="38">
        <v>45555.0</v>
      </c>
      <c r="AE2" s="5" t="s">
        <v>138</v>
      </c>
      <c r="AF2" s="5" t="s">
        <v>139</v>
      </c>
      <c r="AG2" s="5" t="s">
        <v>140</v>
      </c>
      <c r="AH2" s="5" t="s">
        <v>141</v>
      </c>
      <c r="AI2" s="38">
        <v>45527.0</v>
      </c>
      <c r="AJ2" s="38">
        <v>45528.0</v>
      </c>
      <c r="AK2" s="38">
        <v>45529.0</v>
      </c>
      <c r="AL2" s="38">
        <v>45530.0</v>
      </c>
      <c r="AM2" s="38">
        <v>45531.0</v>
      </c>
      <c r="AN2" s="5" t="s">
        <v>142</v>
      </c>
      <c r="AO2" s="5" t="s">
        <v>143</v>
      </c>
      <c r="AP2" s="5" t="s">
        <v>144</v>
      </c>
      <c r="AQ2" s="5" t="s">
        <v>145</v>
      </c>
      <c r="AR2" s="38">
        <v>45565.0</v>
      </c>
    </row>
    <row r="3">
      <c r="A3" s="39" t="s">
        <v>38</v>
      </c>
      <c r="B3" s="40">
        <f t="shared" ref="B3:B13" si="1">SUM(C3:D3)</f>
        <v>3</v>
      </c>
      <c r="C3" s="40">
        <f t="shared" ref="C3:C32" si="2">SUM(F3:AR3)</f>
        <v>1</v>
      </c>
      <c r="D3" s="41">
        <f t="array" ref="D3">SUM(IF(F3:AR3="R",1,0))</f>
        <v>2</v>
      </c>
      <c r="E3" s="41">
        <f t="array" ref="E3">SUM(IF(F3:AR3="R2",1,0))</f>
        <v>2</v>
      </c>
      <c r="F3" s="42"/>
      <c r="H3" s="16"/>
      <c r="I3" s="16"/>
      <c r="J3" s="16"/>
      <c r="L3" s="17" t="s">
        <v>39</v>
      </c>
      <c r="N3" s="17" t="s">
        <v>40</v>
      </c>
      <c r="P3" s="17">
        <v>1.0</v>
      </c>
      <c r="T3" s="17" t="s">
        <v>39</v>
      </c>
      <c r="Y3" s="17" t="s">
        <v>40</v>
      </c>
      <c r="AD3" s="16"/>
    </row>
    <row r="4">
      <c r="A4" s="14" t="s">
        <v>114</v>
      </c>
      <c r="B4" s="10">
        <f t="shared" si="1"/>
        <v>2</v>
      </c>
      <c r="C4" s="10">
        <f t="shared" si="2"/>
        <v>1</v>
      </c>
      <c r="D4" s="11">
        <f t="array" ref="D4">SUM(IF(F4:AR4="R",1,0))</f>
        <v>1</v>
      </c>
      <c r="E4" s="11">
        <f t="array" ref="E4">SUM(IF(F4:AR4="R2",1,0))</f>
        <v>2</v>
      </c>
      <c r="F4" s="33"/>
      <c r="H4" s="17" t="s">
        <v>40</v>
      </c>
      <c r="J4" s="16"/>
      <c r="K4" s="16"/>
      <c r="L4" s="16"/>
      <c r="M4" s="16"/>
      <c r="N4" s="16"/>
      <c r="V4" s="17" t="s">
        <v>39</v>
      </c>
      <c r="AC4" s="17">
        <v>1.0</v>
      </c>
      <c r="AF4" s="17" t="s">
        <v>40</v>
      </c>
    </row>
    <row r="5">
      <c r="A5" s="14" t="s">
        <v>146</v>
      </c>
      <c r="B5" s="10">
        <f t="shared" si="1"/>
        <v>2</v>
      </c>
      <c r="C5" s="10">
        <f t="shared" si="2"/>
        <v>1</v>
      </c>
      <c r="D5" s="11">
        <f t="array" ref="D5">SUM(IF(F5:AR5="R",1,0))</f>
        <v>1</v>
      </c>
      <c r="E5" s="11">
        <f t="array" ref="E5">SUM(IF(F5:AR5="R2",1,0))</f>
        <v>2</v>
      </c>
      <c r="F5" s="16"/>
      <c r="G5" s="16"/>
      <c r="J5" s="16"/>
      <c r="K5" s="16"/>
      <c r="L5" s="16"/>
      <c r="M5" s="16"/>
      <c r="N5" s="16"/>
      <c r="T5" s="17" t="s">
        <v>40</v>
      </c>
      <c r="AB5" s="17" t="s">
        <v>40</v>
      </c>
      <c r="AC5" s="17" t="s">
        <v>39</v>
      </c>
      <c r="AF5" s="17">
        <v>1.0</v>
      </c>
    </row>
    <row r="6">
      <c r="A6" s="14" t="s">
        <v>44</v>
      </c>
      <c r="B6" s="10">
        <f t="shared" si="1"/>
        <v>2</v>
      </c>
      <c r="C6" s="10">
        <f t="shared" si="2"/>
        <v>1</v>
      </c>
      <c r="D6" s="11">
        <f t="array" ref="D6">SUM(IF(F6:AR6="R",1,0))</f>
        <v>1</v>
      </c>
      <c r="E6" s="11">
        <f t="array" ref="E6">SUM(IF(F6:AR6="R2",1,0))</f>
        <v>2</v>
      </c>
      <c r="F6" s="16"/>
      <c r="G6" s="16"/>
      <c r="J6" s="16"/>
      <c r="K6" s="16"/>
      <c r="L6" s="16"/>
      <c r="M6" s="16"/>
      <c r="N6" s="16"/>
      <c r="R6" s="17" t="s">
        <v>40</v>
      </c>
      <c r="AC6" s="17" t="s">
        <v>40</v>
      </c>
      <c r="AF6" s="17" t="s">
        <v>39</v>
      </c>
      <c r="AI6" s="17">
        <v>1.0</v>
      </c>
    </row>
    <row r="7">
      <c r="A7" s="25" t="s">
        <v>147</v>
      </c>
      <c r="B7" s="10">
        <f t="shared" si="1"/>
        <v>3</v>
      </c>
      <c r="C7" s="10">
        <f t="shared" si="2"/>
        <v>1</v>
      </c>
      <c r="D7" s="11">
        <f t="array" ref="D7">SUM(IF(F7:AR7="R",1,0))</f>
        <v>2</v>
      </c>
      <c r="E7" s="11">
        <f t="array" ref="E7">SUM(IF(F7:AR7="R2",1,0))</f>
        <v>2</v>
      </c>
      <c r="I7" s="17" t="s">
        <v>40</v>
      </c>
      <c r="K7" s="16"/>
      <c r="L7" s="16"/>
      <c r="M7" s="21"/>
      <c r="N7" s="16"/>
      <c r="P7" s="17" t="s">
        <v>40</v>
      </c>
      <c r="U7" s="17" t="s">
        <v>39</v>
      </c>
      <c r="W7" s="17" t="s">
        <v>39</v>
      </c>
      <c r="Y7" s="17">
        <v>1.0</v>
      </c>
      <c r="AD7" s="17"/>
      <c r="AF7" s="17"/>
    </row>
    <row r="8">
      <c r="A8" s="25" t="s">
        <v>47</v>
      </c>
      <c r="B8" s="10">
        <f t="shared" si="1"/>
        <v>4</v>
      </c>
      <c r="C8" s="10">
        <f t="shared" si="2"/>
        <v>2</v>
      </c>
      <c r="D8" s="11">
        <f t="array" ref="D8">SUM(IF(F8:AR8="R",1,0))</f>
        <v>2</v>
      </c>
      <c r="E8" s="11">
        <f t="array" ref="E8">SUM(IF(F8:AR8="R2",1,0))</f>
        <v>2</v>
      </c>
      <c r="H8" s="17">
        <v>1.0</v>
      </c>
      <c r="K8" s="16"/>
      <c r="L8" s="16"/>
      <c r="M8" s="16"/>
      <c r="N8" s="16"/>
      <c r="U8" s="17">
        <v>1.0</v>
      </c>
      <c r="W8" s="17" t="s">
        <v>40</v>
      </c>
      <c r="X8" s="45"/>
      <c r="Y8" s="47" t="s">
        <v>39</v>
      </c>
      <c r="Z8" s="45"/>
      <c r="AE8" s="45"/>
      <c r="AL8" s="17" t="s">
        <v>39</v>
      </c>
      <c r="AN8" s="17" t="s">
        <v>40</v>
      </c>
    </row>
    <row r="9">
      <c r="A9" s="22" t="s">
        <v>148</v>
      </c>
      <c r="B9" s="10">
        <f t="shared" si="1"/>
        <v>3</v>
      </c>
      <c r="C9" s="10">
        <f t="shared" si="2"/>
        <v>1</v>
      </c>
      <c r="D9" s="11">
        <f t="array" ref="D9">SUM(IF(F9:AR9="R",1,0))</f>
        <v>2</v>
      </c>
      <c r="E9" s="11">
        <f t="array" ref="E9">SUM(IF(F9:AR9="R2",1,0))</f>
        <v>1</v>
      </c>
      <c r="G9" s="17" t="s">
        <v>40</v>
      </c>
      <c r="J9" s="17" t="s">
        <v>39</v>
      </c>
      <c r="K9" s="16"/>
      <c r="L9" s="35"/>
      <c r="M9" s="35"/>
      <c r="N9" s="16"/>
      <c r="O9" s="16"/>
      <c r="P9" s="16"/>
      <c r="Q9" s="16"/>
      <c r="R9" s="16"/>
      <c r="S9" s="16"/>
      <c r="T9" s="16"/>
      <c r="U9" s="16"/>
      <c r="V9" s="16"/>
      <c r="W9" s="16"/>
      <c r="X9" s="16"/>
      <c r="Y9" s="16"/>
      <c r="Z9" s="16"/>
      <c r="AA9" s="16"/>
      <c r="AB9" s="16"/>
      <c r="AC9" s="16"/>
      <c r="AD9" s="16"/>
      <c r="AJ9" s="17" t="s">
        <v>39</v>
      </c>
      <c r="AL9" s="17">
        <v>1.0</v>
      </c>
    </row>
    <row r="10">
      <c r="A10" s="22" t="s">
        <v>51</v>
      </c>
      <c r="B10" s="10">
        <f t="shared" si="1"/>
        <v>4</v>
      </c>
      <c r="C10" s="10">
        <f t="shared" si="2"/>
        <v>2</v>
      </c>
      <c r="D10" s="11">
        <f t="array" ref="D10">SUM(IF(F10:AR10="R",1,0))</f>
        <v>2</v>
      </c>
      <c r="E10" s="11">
        <f t="array" ref="E10">SUM(IF(F10:AR10="R2",1,0))</f>
        <v>1</v>
      </c>
      <c r="F10" s="16"/>
      <c r="G10" s="16"/>
      <c r="I10" s="17" t="s">
        <v>39</v>
      </c>
      <c r="K10" s="16"/>
      <c r="L10" s="16"/>
      <c r="M10" s="16"/>
      <c r="N10" s="16"/>
      <c r="W10" s="17">
        <v>1.0</v>
      </c>
      <c r="AC10" s="16"/>
      <c r="AJ10" s="17">
        <v>1.0</v>
      </c>
      <c r="AM10" s="17" t="s">
        <v>40</v>
      </c>
      <c r="AO10" s="17" t="s">
        <v>39</v>
      </c>
    </row>
    <row r="11">
      <c r="A11" s="26" t="s">
        <v>55</v>
      </c>
      <c r="B11" s="10">
        <f t="shared" si="1"/>
        <v>4</v>
      </c>
      <c r="C11" s="10">
        <f t="shared" si="2"/>
        <v>2</v>
      </c>
      <c r="D11" s="11">
        <f t="array" ref="D11">SUM(IF(F11:AR11="R",1,0))</f>
        <v>2</v>
      </c>
      <c r="E11" s="11">
        <f t="array" ref="E11">SUM(IF(F11:AR11="R2",1,0))</f>
        <v>1</v>
      </c>
      <c r="F11" s="17" t="s">
        <v>40</v>
      </c>
      <c r="G11" s="48"/>
      <c r="H11" s="48"/>
      <c r="I11" s="48"/>
      <c r="J11" s="48"/>
      <c r="K11" s="16"/>
      <c r="L11" s="16"/>
      <c r="M11" s="16"/>
      <c r="N11" s="16"/>
      <c r="P11" s="48"/>
      <c r="Q11" s="48"/>
      <c r="R11" s="48"/>
      <c r="S11" s="48"/>
      <c r="T11" s="48"/>
      <c r="U11" s="48"/>
      <c r="V11" s="17">
        <v>1.0</v>
      </c>
      <c r="W11" s="48"/>
      <c r="Y11" s="48"/>
      <c r="Z11" s="48"/>
      <c r="AA11" s="48"/>
      <c r="AB11" s="48"/>
      <c r="AC11" s="48"/>
      <c r="AD11" s="48"/>
      <c r="AE11" s="17" t="s">
        <v>39</v>
      </c>
      <c r="AF11" s="48"/>
      <c r="AH11" s="48"/>
      <c r="AI11" s="48"/>
      <c r="AJ11" s="48"/>
      <c r="AK11" s="48"/>
      <c r="AL11" s="48"/>
      <c r="AM11" s="48"/>
      <c r="AN11" s="17">
        <v>1.0</v>
      </c>
      <c r="AO11" s="48"/>
      <c r="AP11" s="17" t="s">
        <v>39</v>
      </c>
      <c r="AQ11" s="48"/>
      <c r="AR11" s="48"/>
    </row>
    <row r="12" hidden="1">
      <c r="A12" s="20" t="s">
        <v>52</v>
      </c>
      <c r="B12" s="10">
        <f t="shared" si="1"/>
        <v>0</v>
      </c>
      <c r="C12" s="10">
        <f t="shared" si="2"/>
        <v>0</v>
      </c>
      <c r="D12" s="11">
        <f t="array" ref="D12">SUM(IF(F12:AR12="R",1,0))</f>
        <v>0</v>
      </c>
      <c r="E12" s="11">
        <f t="array" ref="E12">SUM(IF(F12:AR12="R2",1,0))</f>
        <v>0</v>
      </c>
    </row>
    <row r="13" hidden="1">
      <c r="A13" s="23" t="s">
        <v>53</v>
      </c>
      <c r="B13" s="10">
        <f t="shared" si="1"/>
        <v>0</v>
      </c>
      <c r="C13" s="10">
        <f t="shared" si="2"/>
        <v>0</v>
      </c>
      <c r="D13" s="11">
        <f t="array" ref="D13">SUM(IF(F13:AR13="R",1,0))</f>
        <v>0</v>
      </c>
      <c r="E13" s="11">
        <f t="array" ref="E13">SUM(IF(F13:AR13="R2",1,0))</f>
        <v>0</v>
      </c>
      <c r="I13" s="17"/>
      <c r="J13" s="17"/>
      <c r="Q13" s="17"/>
      <c r="R13" s="17"/>
      <c r="S13" s="17"/>
      <c r="T13" s="17"/>
      <c r="U13" s="17"/>
      <c r="V13" s="17"/>
      <c r="W13" s="17"/>
      <c r="X13" s="12"/>
      <c r="Y13" s="12"/>
      <c r="Z13" s="12"/>
      <c r="AA13" s="12"/>
      <c r="AB13" s="12"/>
      <c r="AC13" s="12"/>
      <c r="AD13" s="12"/>
      <c r="AE13" s="12"/>
      <c r="AF13" s="12"/>
      <c r="AG13" s="12"/>
      <c r="AH13" s="12"/>
      <c r="AI13" s="12"/>
      <c r="AJ13" s="12"/>
      <c r="AK13" s="12"/>
      <c r="AL13" s="12"/>
      <c r="AM13" s="12"/>
      <c r="AN13" s="12"/>
      <c r="AO13" s="12"/>
      <c r="AP13" s="12"/>
      <c r="AQ13" s="12"/>
      <c r="AR13" s="12"/>
    </row>
    <row r="14">
      <c r="A14" s="9" t="s">
        <v>90</v>
      </c>
      <c r="B14" s="10"/>
      <c r="C14" s="10">
        <f t="shared" si="2"/>
        <v>2</v>
      </c>
      <c r="D14" s="11">
        <f t="array" ref="D14">SUM(IF(F14:AR14="R",1,0))</f>
        <v>2</v>
      </c>
      <c r="E14" s="11">
        <f t="array" ref="E14">SUM(IF(F14:AR14="R2",1,0))</f>
        <v>2</v>
      </c>
      <c r="J14" s="17" t="s">
        <v>40</v>
      </c>
      <c r="K14" s="17" t="s">
        <v>39</v>
      </c>
      <c r="L14" s="17">
        <v>1.0</v>
      </c>
      <c r="AB14" s="17" t="s">
        <v>39</v>
      </c>
      <c r="AG14" s="17" t="s">
        <v>40</v>
      </c>
      <c r="AH14" s="17">
        <v>1.0</v>
      </c>
    </row>
    <row r="15">
      <c r="A15" s="9" t="s">
        <v>56</v>
      </c>
      <c r="B15" s="10">
        <f>SUM(C15:D15)</f>
        <v>4</v>
      </c>
      <c r="C15" s="10">
        <f t="shared" si="2"/>
        <v>2</v>
      </c>
      <c r="D15" s="11">
        <f t="array" ref="D15">SUM(IF(F15:AR15="R",1,0))</f>
        <v>2</v>
      </c>
      <c r="E15" s="11">
        <f t="array" ref="E15">SUM(IF(F15:AR15="R2",1,0))</f>
        <v>2</v>
      </c>
      <c r="F15" s="12" t="s">
        <v>39</v>
      </c>
      <c r="G15" s="13"/>
      <c r="H15" s="21"/>
      <c r="I15" s="13"/>
      <c r="J15" s="12">
        <v>1.0</v>
      </c>
      <c r="K15" s="12" t="s">
        <v>40</v>
      </c>
      <c r="L15" s="21"/>
      <c r="M15" s="12" t="s">
        <v>40</v>
      </c>
      <c r="N15" s="13"/>
      <c r="O15" s="12"/>
      <c r="P15" s="13"/>
      <c r="Q15" s="16"/>
      <c r="R15" s="13"/>
      <c r="S15" s="13"/>
      <c r="T15" s="13"/>
      <c r="U15" s="16"/>
      <c r="V15" s="12"/>
      <c r="W15" s="12"/>
      <c r="X15" s="13"/>
      <c r="Y15" s="13"/>
      <c r="Z15" s="16"/>
      <c r="AA15" s="13"/>
      <c r="AB15" s="12">
        <v>1.0</v>
      </c>
      <c r="AC15" s="13"/>
      <c r="AD15" s="16"/>
      <c r="AE15" s="12"/>
      <c r="AF15" s="13"/>
      <c r="AG15" s="13"/>
      <c r="AH15" s="13"/>
      <c r="AI15" s="16"/>
      <c r="AJ15" s="13"/>
      <c r="AK15" s="13"/>
      <c r="AL15" s="13"/>
      <c r="AM15" s="16"/>
      <c r="AN15" s="12" t="s">
        <v>39</v>
      </c>
      <c r="AO15" s="13"/>
      <c r="AP15" s="13"/>
      <c r="AQ15" s="13"/>
      <c r="AR15" s="16"/>
    </row>
    <row r="16">
      <c r="A16" s="26" t="s">
        <v>91</v>
      </c>
      <c r="B16" s="10"/>
      <c r="C16" s="10">
        <f t="shared" si="2"/>
        <v>2</v>
      </c>
      <c r="D16" s="11">
        <f t="array" ref="D16">SUM(IF(F16:AR16="R",1,0))</f>
        <v>1</v>
      </c>
      <c r="E16" s="11">
        <f t="array" ref="E16">SUM(IF(F16:AR16="R2",1,0))</f>
        <v>1</v>
      </c>
      <c r="G16" s="48"/>
      <c r="H16" s="48"/>
      <c r="I16" s="48"/>
      <c r="J16" s="48"/>
      <c r="K16" s="48"/>
      <c r="L16" s="48"/>
      <c r="M16" s="17">
        <v>1.0</v>
      </c>
      <c r="N16" s="48"/>
      <c r="O16" s="17" t="s">
        <v>40</v>
      </c>
      <c r="P16" s="48"/>
      <c r="Q16" s="48"/>
      <c r="R16" s="48"/>
      <c r="S16" s="48"/>
      <c r="T16" s="48"/>
      <c r="U16" s="48"/>
      <c r="W16" s="48"/>
      <c r="X16" s="17" t="s">
        <v>39</v>
      </c>
      <c r="Y16" s="48"/>
      <c r="Z16" s="48"/>
      <c r="AA16" s="48"/>
      <c r="AB16" s="48"/>
      <c r="AC16" s="48"/>
      <c r="AD16" s="48"/>
      <c r="AF16" s="48"/>
      <c r="AG16" s="17">
        <v>1.0</v>
      </c>
      <c r="AH16" s="48"/>
      <c r="AI16" s="48"/>
      <c r="AJ16" s="48"/>
      <c r="AK16" s="48"/>
      <c r="AL16" s="48"/>
      <c r="AM16" s="48"/>
      <c r="AN16" s="16"/>
      <c r="AO16" s="48"/>
      <c r="AP16" s="16"/>
      <c r="AQ16" s="48"/>
      <c r="AR16" s="48"/>
    </row>
    <row r="17">
      <c r="A17" s="26" t="s">
        <v>57</v>
      </c>
      <c r="B17" s="10">
        <f>SUM(C17:D17)</f>
        <v>4</v>
      </c>
      <c r="C17" s="10">
        <f t="shared" si="2"/>
        <v>2</v>
      </c>
      <c r="D17" s="11">
        <f t="array" ref="D17">SUM(IF(F17:AR17="R",1,0))</f>
        <v>2</v>
      </c>
      <c r="E17" s="11">
        <f t="array" ref="E17">SUM(IF(F17:AR17="R2",1,0))</f>
        <v>1</v>
      </c>
      <c r="G17" s="48"/>
      <c r="H17" s="48"/>
      <c r="I17" s="48"/>
      <c r="J17" s="48"/>
      <c r="K17" s="48"/>
      <c r="L17" s="48"/>
      <c r="M17" s="17" t="s">
        <v>39</v>
      </c>
      <c r="N17" s="48"/>
      <c r="O17" s="17">
        <v>1.0</v>
      </c>
      <c r="P17" s="48"/>
      <c r="Q17" s="48"/>
      <c r="R17" s="48"/>
      <c r="S17" s="48"/>
      <c r="T17" s="48"/>
      <c r="U17" s="48"/>
      <c r="W17" s="48"/>
      <c r="X17" s="17" t="s">
        <v>40</v>
      </c>
      <c r="Y17" s="48"/>
      <c r="Z17" s="48"/>
      <c r="AA17" s="48"/>
      <c r="AB17" s="48"/>
      <c r="AC17" s="48"/>
      <c r="AD17" s="48"/>
      <c r="AF17" s="48"/>
      <c r="AG17" s="17" t="s">
        <v>39</v>
      </c>
      <c r="AH17" s="48"/>
      <c r="AI17" s="48"/>
      <c r="AJ17" s="48"/>
      <c r="AK17" s="48"/>
      <c r="AL17" s="48"/>
      <c r="AM17" s="48"/>
      <c r="AO17" s="48"/>
      <c r="AP17" s="17">
        <v>1.0</v>
      </c>
      <c r="AQ17" s="48"/>
      <c r="AR17" s="48"/>
    </row>
    <row r="18">
      <c r="A18" s="26" t="s">
        <v>149</v>
      </c>
      <c r="B18" s="10"/>
      <c r="C18" s="10">
        <f t="shared" si="2"/>
        <v>2</v>
      </c>
      <c r="D18" s="11">
        <f t="array" ref="D18">SUM(IF(F18:AR18="R",1,0))</f>
        <v>1</v>
      </c>
      <c r="E18" s="11">
        <f t="array" ref="E18">SUM(IF(F18:AR18="R2",1,0))</f>
        <v>2</v>
      </c>
      <c r="F18" s="17">
        <v>1.0</v>
      </c>
      <c r="G18" s="48"/>
      <c r="H18" s="48"/>
      <c r="I18" s="48"/>
      <c r="J18" s="48"/>
      <c r="K18" s="48"/>
      <c r="L18" s="48"/>
      <c r="N18" s="48"/>
      <c r="O18" s="17" t="s">
        <v>39</v>
      </c>
      <c r="P18" s="48"/>
      <c r="Q18" s="48"/>
      <c r="R18" s="48"/>
      <c r="S18" s="48"/>
      <c r="T18" s="48"/>
      <c r="U18" s="48"/>
      <c r="V18" s="17" t="s">
        <v>40</v>
      </c>
      <c r="W18" s="48"/>
      <c r="X18" s="17">
        <v>1.0</v>
      </c>
      <c r="Y18" s="48"/>
      <c r="Z18" s="48"/>
      <c r="AA18" s="48"/>
      <c r="AB18" s="48"/>
      <c r="AC18" s="48"/>
      <c r="AD18" s="48"/>
      <c r="AF18" s="48"/>
      <c r="AH18" s="48"/>
      <c r="AI18" s="48"/>
      <c r="AJ18" s="48"/>
      <c r="AK18" s="48"/>
      <c r="AL18" s="48"/>
      <c r="AM18" s="48"/>
      <c r="AO18" s="48"/>
      <c r="AP18" s="17" t="s">
        <v>40</v>
      </c>
      <c r="AQ18" s="48"/>
      <c r="AR18" s="48"/>
    </row>
    <row r="19">
      <c r="A19" s="27" t="s">
        <v>58</v>
      </c>
      <c r="B19" s="10">
        <f t="shared" ref="B19:B22" si="3">SUM(C19:D19)</f>
        <v>3</v>
      </c>
      <c r="C19" s="10">
        <f t="shared" si="2"/>
        <v>1</v>
      </c>
      <c r="D19" s="11">
        <f t="array" ref="D19">SUM(IF(F19:AR19="R",1,0))</f>
        <v>2</v>
      </c>
      <c r="E19" s="11">
        <f t="array" ref="E19">SUM(IF(F19:AR19="R2",1,0))</f>
        <v>1</v>
      </c>
      <c r="K19" s="17">
        <v>1.0</v>
      </c>
      <c r="N19" s="17" t="s">
        <v>39</v>
      </c>
      <c r="Q19" s="17" t="s">
        <v>39</v>
      </c>
      <c r="S19" s="17" t="s">
        <v>150</v>
      </c>
      <c r="AA19" s="17" t="s">
        <v>40</v>
      </c>
    </row>
    <row r="20">
      <c r="A20" s="27" t="s">
        <v>59</v>
      </c>
      <c r="B20" s="10">
        <f t="shared" si="3"/>
        <v>3</v>
      </c>
      <c r="C20" s="10">
        <f t="shared" si="2"/>
        <v>2</v>
      </c>
      <c r="D20" s="11">
        <f t="array" ref="D20">SUM(IF(F20:AR20="R",1,0))</f>
        <v>1</v>
      </c>
      <c r="E20" s="11">
        <f t="array" ref="E20">SUM(IF(F20:AR20="R2",1,0))</f>
        <v>2</v>
      </c>
      <c r="F20" s="12"/>
      <c r="G20" s="12"/>
      <c r="H20" s="12"/>
      <c r="I20" s="12"/>
      <c r="K20" s="16"/>
      <c r="L20" s="21"/>
      <c r="M20" s="16"/>
      <c r="N20" s="16"/>
      <c r="O20" s="45"/>
      <c r="P20" s="45"/>
      <c r="Q20" s="47">
        <v>1.0</v>
      </c>
      <c r="R20" s="45"/>
      <c r="S20" s="47" t="s">
        <v>40</v>
      </c>
      <c r="T20" s="45"/>
      <c r="U20" s="45"/>
      <c r="V20" s="45"/>
      <c r="Z20" s="12"/>
      <c r="AA20" s="12" t="s">
        <v>39</v>
      </c>
      <c r="AD20" s="17" t="s">
        <v>40</v>
      </c>
      <c r="AK20" s="12"/>
      <c r="AL20" s="12"/>
      <c r="AM20" s="12">
        <v>1.0</v>
      </c>
      <c r="AN20" s="12"/>
      <c r="AO20" s="12"/>
      <c r="AP20" s="13"/>
      <c r="AQ20" s="13"/>
      <c r="AR20" s="12"/>
    </row>
    <row r="21">
      <c r="A21" s="27" t="s">
        <v>60</v>
      </c>
      <c r="B21" s="10">
        <f t="shared" si="3"/>
        <v>4</v>
      </c>
      <c r="C21" s="10">
        <f t="shared" si="2"/>
        <v>2</v>
      </c>
      <c r="D21" s="11">
        <f t="array" ref="D21">SUM(IF(F21:AR21="R",1,0))</f>
        <v>2</v>
      </c>
      <c r="E21" s="11">
        <f t="array" ref="E21">SUM(IF(F21:AR21="R2",1,0))</f>
        <v>2</v>
      </c>
      <c r="H21" s="16"/>
      <c r="K21" s="16"/>
      <c r="L21" s="16"/>
      <c r="M21" s="16"/>
      <c r="N21" s="16"/>
      <c r="Q21" s="17" t="s">
        <v>40</v>
      </c>
      <c r="S21" s="17" t="s">
        <v>39</v>
      </c>
      <c r="V21" s="16"/>
      <c r="W21" s="16"/>
      <c r="AA21" s="17">
        <v>1.0</v>
      </c>
      <c r="AE21" s="17">
        <v>1.0</v>
      </c>
      <c r="AH21" s="17" t="s">
        <v>39</v>
      </c>
      <c r="AK21" s="16"/>
      <c r="AL21" s="17" t="s">
        <v>40</v>
      </c>
    </row>
    <row r="22">
      <c r="A22" s="27" t="s">
        <v>61</v>
      </c>
      <c r="B22" s="10">
        <f t="shared" si="3"/>
        <v>4</v>
      </c>
      <c r="C22" s="10">
        <f t="shared" si="2"/>
        <v>2</v>
      </c>
      <c r="D22" s="11">
        <f t="array" ref="D22">SUM(IF(F22:AR22="R",1,0))</f>
        <v>2</v>
      </c>
      <c r="E22" s="11">
        <f t="array" ref="E22">SUM(IF(F22:AR22="R2",1,0))</f>
        <v>2</v>
      </c>
      <c r="J22" s="12"/>
      <c r="K22" s="16"/>
      <c r="L22" s="16"/>
      <c r="M22" s="16"/>
      <c r="N22" s="16"/>
      <c r="O22" s="45"/>
      <c r="P22" s="45"/>
      <c r="Q22" s="47"/>
      <c r="R22" s="45"/>
      <c r="S22" s="45"/>
      <c r="T22" s="45"/>
      <c r="U22" s="45"/>
      <c r="V22" s="12"/>
      <c r="Z22" s="12">
        <v>1.0</v>
      </c>
      <c r="AA22" s="13"/>
      <c r="AC22" s="16"/>
      <c r="AE22" s="17" t="s">
        <v>40</v>
      </c>
      <c r="AG22" s="45"/>
      <c r="AH22" s="45"/>
      <c r="AI22" s="47" t="s">
        <v>40</v>
      </c>
      <c r="AJ22" s="45"/>
      <c r="AK22" s="47"/>
      <c r="AL22" s="47"/>
      <c r="AM22" s="47" t="s">
        <v>39</v>
      </c>
      <c r="AN22" s="45"/>
      <c r="AO22" s="47">
        <v>1.0</v>
      </c>
      <c r="AP22" s="47"/>
      <c r="AQ22" s="12" t="s">
        <v>39</v>
      </c>
      <c r="AR22" s="12"/>
    </row>
    <row r="23" hidden="1">
      <c r="A23" s="27" t="s">
        <v>116</v>
      </c>
      <c r="B23" s="10"/>
      <c r="C23" s="10">
        <f t="shared" si="2"/>
        <v>0</v>
      </c>
      <c r="D23" s="11">
        <f t="array" ref="D23">SUM(IF(F23:AR23="R",1,0))</f>
        <v>0</v>
      </c>
      <c r="E23" s="11">
        <f t="array" ref="E23">SUM(IF(F23:AR23="R2",1,0))</f>
        <v>0</v>
      </c>
      <c r="F23" s="45"/>
      <c r="V23" s="45"/>
      <c r="W23" s="45"/>
      <c r="X23" s="45"/>
      <c r="Y23" s="45"/>
      <c r="Z23" s="45"/>
    </row>
    <row r="24">
      <c r="A24" s="27" t="s">
        <v>49</v>
      </c>
      <c r="B24" s="10"/>
      <c r="C24" s="10">
        <f t="shared" si="2"/>
        <v>2</v>
      </c>
      <c r="D24" s="11">
        <f t="array" ref="D24">SUM(IF(F24:AR24="R",1,0))</f>
        <v>2</v>
      </c>
      <c r="E24" s="11">
        <f t="array" ref="E24">SUM(IF(F24:AR24="R2",1,0))</f>
        <v>2</v>
      </c>
      <c r="I24" s="17">
        <v>1.0</v>
      </c>
      <c r="K24" s="16"/>
      <c r="L24" s="16"/>
      <c r="M24" s="16"/>
      <c r="N24" s="16"/>
      <c r="S24" s="17">
        <v>1.0</v>
      </c>
      <c r="Z24" s="17" t="s">
        <v>39</v>
      </c>
      <c r="AH24" s="17" t="s">
        <v>40</v>
      </c>
      <c r="AI24" s="17" t="s">
        <v>39</v>
      </c>
      <c r="AR24" s="17" t="s">
        <v>40</v>
      </c>
    </row>
    <row r="25" hidden="1">
      <c r="A25" s="26" t="s">
        <v>46</v>
      </c>
      <c r="B25" s="10">
        <f t="shared" ref="B25:B27" si="4">SUM(C25:D25)</f>
        <v>0</v>
      </c>
      <c r="C25" s="10">
        <f t="shared" si="2"/>
        <v>0</v>
      </c>
      <c r="D25" s="11">
        <f t="array" ref="D25">SUM(IF(F25:AR25="R",1,0))</f>
        <v>0</v>
      </c>
      <c r="E25" s="11">
        <f t="array" ref="E25">SUM(IF(F25:AR25="R2",1,0))</f>
        <v>0</v>
      </c>
    </row>
    <row r="26">
      <c r="A26" s="44" t="s">
        <v>117</v>
      </c>
      <c r="B26" s="10">
        <f t="shared" si="4"/>
        <v>4</v>
      </c>
      <c r="C26" s="10">
        <f t="shared" si="2"/>
        <v>2</v>
      </c>
      <c r="D26" s="11">
        <f t="array" ref="D26">SUM(IF(F26:AR26="R",1,0))</f>
        <v>2</v>
      </c>
      <c r="E26" s="11">
        <f t="array" ref="E26">SUM(IF(F26:AR26="R2",1,0))</f>
        <v>2</v>
      </c>
      <c r="F26" s="45"/>
      <c r="G26" s="47" t="s">
        <v>39</v>
      </c>
      <c r="H26" s="16"/>
      <c r="I26" s="16"/>
      <c r="J26" s="16"/>
      <c r="K26" s="16"/>
      <c r="L26" s="16"/>
      <c r="M26" s="16"/>
      <c r="N26" s="16"/>
      <c r="O26" s="45"/>
      <c r="Q26" s="12"/>
      <c r="R26" s="17" t="s">
        <v>39</v>
      </c>
      <c r="S26" s="12"/>
      <c r="T26" s="16"/>
      <c r="U26" s="12"/>
      <c r="V26" s="12"/>
      <c r="W26" s="45"/>
      <c r="Y26" s="45"/>
      <c r="Z26" s="12" t="s">
        <v>40</v>
      </c>
      <c r="AC26" s="13"/>
      <c r="AD26" s="17">
        <v>1.0</v>
      </c>
      <c r="AE26" s="17"/>
      <c r="AF26" s="45"/>
      <c r="AH26" s="45"/>
      <c r="AI26" s="13"/>
      <c r="AK26" s="12" t="s">
        <v>40</v>
      </c>
      <c r="AL26" s="13"/>
      <c r="AN26" s="17"/>
      <c r="AO26" s="45"/>
      <c r="AQ26" s="47">
        <v>1.0</v>
      </c>
      <c r="AR26" s="13"/>
    </row>
    <row r="27">
      <c r="A27" s="44" t="s">
        <v>67</v>
      </c>
      <c r="B27" s="10">
        <f t="shared" si="4"/>
        <v>3</v>
      </c>
      <c r="C27" s="10">
        <f t="shared" si="2"/>
        <v>2</v>
      </c>
      <c r="D27" s="11">
        <f t="array" ref="D27">SUM(IF(F27:AR27="R",1,0))</f>
        <v>1</v>
      </c>
      <c r="E27" s="11">
        <f t="array" ref="E27">SUM(IF(F27:AR27="R2",1,0))</f>
        <v>2</v>
      </c>
      <c r="G27" s="17">
        <v>1.0</v>
      </c>
      <c r="H27" s="16"/>
      <c r="I27" s="16"/>
      <c r="J27" s="16"/>
      <c r="K27" s="16"/>
      <c r="L27" s="16"/>
      <c r="M27" s="16"/>
      <c r="N27" s="16"/>
      <c r="R27" s="17">
        <v>1.0</v>
      </c>
      <c r="AD27" s="17" t="s">
        <v>39</v>
      </c>
      <c r="AJ27" s="17" t="s">
        <v>40</v>
      </c>
      <c r="AO27" s="17" t="s">
        <v>40</v>
      </c>
    </row>
    <row r="28">
      <c r="A28" s="17" t="s">
        <v>151</v>
      </c>
      <c r="B28" s="10"/>
      <c r="C28" s="10">
        <f t="shared" si="2"/>
        <v>2</v>
      </c>
      <c r="D28" s="11">
        <f t="array" ref="D28">SUM(IF(F28:AR28="R",1,0))</f>
        <v>2</v>
      </c>
      <c r="E28" s="11">
        <f t="array" ref="E28">SUM(IF(F28:AR28="R2",1,0))</f>
        <v>2</v>
      </c>
      <c r="G28" s="17"/>
      <c r="H28" s="17" t="s">
        <v>39</v>
      </c>
      <c r="L28" s="17" t="s">
        <v>40</v>
      </c>
      <c r="N28" s="17">
        <v>1.0</v>
      </c>
      <c r="R28" s="17"/>
      <c r="U28" s="17" t="s">
        <v>40</v>
      </c>
      <c r="AK28" s="17">
        <v>1.0</v>
      </c>
      <c r="AR28" s="17" t="s">
        <v>39</v>
      </c>
    </row>
    <row r="29">
      <c r="A29" s="17" t="s">
        <v>152</v>
      </c>
      <c r="B29" s="10"/>
      <c r="C29" s="10">
        <f t="shared" si="2"/>
        <v>2</v>
      </c>
      <c r="D29" s="11">
        <f t="array" ref="D29">SUM(IF(F29:AR29="R",1,0))</f>
        <v>2</v>
      </c>
      <c r="E29" s="11">
        <f t="array" ref="E29">SUM(IF(F29:AR29="R2",1,0))</f>
        <v>1</v>
      </c>
      <c r="G29" s="17"/>
      <c r="P29" s="17" t="s">
        <v>39</v>
      </c>
      <c r="R29" s="17"/>
      <c r="T29" s="17">
        <v>1.0</v>
      </c>
      <c r="AK29" s="17" t="s">
        <v>39</v>
      </c>
      <c r="AQ29" s="17" t="s">
        <v>40</v>
      </c>
      <c r="AR29" s="17">
        <v>1.0</v>
      </c>
    </row>
    <row r="30">
      <c r="A30" s="17" t="s">
        <v>68</v>
      </c>
      <c r="B30" s="10">
        <f>SUM(B4:B13)</f>
        <v>24</v>
      </c>
      <c r="C30" s="10">
        <f t="shared" si="2"/>
        <v>39</v>
      </c>
      <c r="D30" s="11"/>
      <c r="E30" s="11"/>
      <c r="F30" s="28">
        <f t="shared" ref="F30:AR30" si="5">SUM(F3:F29)</f>
        <v>1</v>
      </c>
      <c r="G30" s="28">
        <f t="shared" si="5"/>
        <v>1</v>
      </c>
      <c r="H30" s="28">
        <f t="shared" si="5"/>
        <v>1</v>
      </c>
      <c r="I30" s="28">
        <f t="shared" si="5"/>
        <v>1</v>
      </c>
      <c r="J30" s="28">
        <f t="shared" si="5"/>
        <v>1</v>
      </c>
      <c r="K30" s="28">
        <f t="shared" si="5"/>
        <v>1</v>
      </c>
      <c r="L30" s="28">
        <f t="shared" si="5"/>
        <v>1</v>
      </c>
      <c r="M30" s="28">
        <f t="shared" si="5"/>
        <v>1</v>
      </c>
      <c r="N30" s="28">
        <f t="shared" si="5"/>
        <v>1</v>
      </c>
      <c r="O30" s="28">
        <f t="shared" si="5"/>
        <v>1</v>
      </c>
      <c r="P30" s="28">
        <f t="shared" si="5"/>
        <v>1</v>
      </c>
      <c r="Q30" s="28">
        <f t="shared" si="5"/>
        <v>1</v>
      </c>
      <c r="R30" s="28">
        <f t="shared" si="5"/>
        <v>1</v>
      </c>
      <c r="S30" s="28">
        <f t="shared" si="5"/>
        <v>1</v>
      </c>
      <c r="T30" s="28">
        <f t="shared" si="5"/>
        <v>1</v>
      </c>
      <c r="U30" s="28">
        <f t="shared" si="5"/>
        <v>1</v>
      </c>
      <c r="V30" s="28">
        <f t="shared" si="5"/>
        <v>1</v>
      </c>
      <c r="W30" s="28">
        <f t="shared" si="5"/>
        <v>1</v>
      </c>
      <c r="X30" s="28">
        <f t="shared" si="5"/>
        <v>1</v>
      </c>
      <c r="Y30" s="28">
        <f t="shared" si="5"/>
        <v>1</v>
      </c>
      <c r="Z30" s="28">
        <f t="shared" si="5"/>
        <v>1</v>
      </c>
      <c r="AA30" s="28">
        <f t="shared" si="5"/>
        <v>1</v>
      </c>
      <c r="AB30" s="28">
        <f t="shared" si="5"/>
        <v>1</v>
      </c>
      <c r="AC30" s="28">
        <f t="shared" si="5"/>
        <v>1</v>
      </c>
      <c r="AD30" s="28">
        <f t="shared" si="5"/>
        <v>1</v>
      </c>
      <c r="AE30" s="28">
        <f t="shared" si="5"/>
        <v>1</v>
      </c>
      <c r="AF30" s="28">
        <f t="shared" si="5"/>
        <v>1</v>
      </c>
      <c r="AG30" s="28">
        <f t="shared" si="5"/>
        <v>1</v>
      </c>
      <c r="AH30" s="28">
        <f t="shared" si="5"/>
        <v>1</v>
      </c>
      <c r="AI30" s="28">
        <f t="shared" si="5"/>
        <v>1</v>
      </c>
      <c r="AJ30" s="28">
        <f t="shared" si="5"/>
        <v>1</v>
      </c>
      <c r="AK30" s="28">
        <f t="shared" si="5"/>
        <v>1</v>
      </c>
      <c r="AL30" s="28">
        <f t="shared" si="5"/>
        <v>1</v>
      </c>
      <c r="AM30" s="28">
        <f t="shared" si="5"/>
        <v>1</v>
      </c>
      <c r="AN30" s="28">
        <f t="shared" si="5"/>
        <v>1</v>
      </c>
      <c r="AO30" s="28">
        <f t="shared" si="5"/>
        <v>1</v>
      </c>
      <c r="AP30" s="28">
        <f t="shared" si="5"/>
        <v>1</v>
      </c>
      <c r="AQ30" s="28">
        <f t="shared" si="5"/>
        <v>1</v>
      </c>
      <c r="AR30" s="28">
        <f t="shared" si="5"/>
        <v>1</v>
      </c>
    </row>
    <row r="31">
      <c r="A31" s="17" t="s">
        <v>69</v>
      </c>
      <c r="B31" s="28">
        <f t="shared" ref="B31:B32" si="6">SUM(F31:AR31)</f>
        <v>39</v>
      </c>
      <c r="C31" s="10">
        <f t="shared" si="2"/>
        <v>39</v>
      </c>
      <c r="F31" s="11">
        <f t="array" ref="F31">SUM(IF(F3:F29="R",1,0))</f>
        <v>1</v>
      </c>
      <c r="G31" s="11">
        <f t="array" ref="G31">SUM(IF(G3:G29="R",1,0))</f>
        <v>1</v>
      </c>
      <c r="H31" s="11">
        <f t="array" ref="H31">SUM(IF(H3:H29="R",1,0))</f>
        <v>1</v>
      </c>
      <c r="I31" s="11">
        <f t="array" ref="I31">SUM(IF(I3:I29="R",1,0))</f>
        <v>1</v>
      </c>
      <c r="J31" s="11">
        <f t="array" ref="J31">SUM(IF(J3:J29="R",1,0))</f>
        <v>1</v>
      </c>
      <c r="K31" s="11">
        <f t="array" ref="K31">SUM(IF(K3:K29="R",1,0))</f>
        <v>1</v>
      </c>
      <c r="L31" s="11">
        <f t="array" ref="L31">SUM(IF(L3:L29="R",1,0))</f>
        <v>1</v>
      </c>
      <c r="M31" s="11">
        <f t="array" ref="M31">SUM(IF(M3:M29="R",1,0))</f>
        <v>1</v>
      </c>
      <c r="N31" s="11">
        <f t="array" ref="N31">SUM(IF(N3:N29="R",1,0))</f>
        <v>1</v>
      </c>
      <c r="O31" s="11">
        <f t="array" ref="O31">SUM(IF(O3:O29="R",1,0))</f>
        <v>1</v>
      </c>
      <c r="P31" s="11">
        <f t="array" ref="P31">SUM(IF(P3:P29="R",1,0))</f>
        <v>1</v>
      </c>
      <c r="Q31" s="11">
        <f t="array" ref="Q31">SUM(IF(Q3:Q29="R",1,0))</f>
        <v>1</v>
      </c>
      <c r="R31" s="11">
        <f t="array" ref="R31">SUM(IF(R3:R29="R",1,0))</f>
        <v>1</v>
      </c>
      <c r="S31" s="11">
        <f t="array" ref="S31">SUM(IF(S3:S29="R",1,0))</f>
        <v>1</v>
      </c>
      <c r="T31" s="11">
        <f t="array" ref="T31">SUM(IF(T3:T29="R",1,0))</f>
        <v>1</v>
      </c>
      <c r="U31" s="11">
        <f t="array" ref="U31">SUM(IF(U3:U29="R",1,0))</f>
        <v>1</v>
      </c>
      <c r="V31" s="11">
        <f t="array" ref="V31">SUM(IF(V3:V29="R",1,0))</f>
        <v>1</v>
      </c>
      <c r="W31" s="11">
        <f t="array" ref="W31">SUM(IF(W3:W29="R",1,0))</f>
        <v>1</v>
      </c>
      <c r="X31" s="11">
        <f t="array" ref="X31">SUM(IF(X3:X29="R",1,0))</f>
        <v>1</v>
      </c>
      <c r="Y31" s="11">
        <f t="array" ref="Y31">SUM(IF(Y3:Y29="R",1,0))</f>
        <v>1</v>
      </c>
      <c r="Z31" s="11">
        <f t="array" ref="Z31">SUM(IF(Z3:Z29="R",1,0))</f>
        <v>1</v>
      </c>
      <c r="AA31" s="11">
        <f t="array" ref="AA31">SUM(IF(AA3:AA29="R",1,0))</f>
        <v>1</v>
      </c>
      <c r="AB31" s="11">
        <f t="array" ref="AB31">SUM(IF(AB3:AB29="R",1,0))</f>
        <v>1</v>
      </c>
      <c r="AC31" s="11">
        <f t="array" ref="AC31">SUM(IF(AC3:AC29="R",1,0))</f>
        <v>1</v>
      </c>
      <c r="AD31" s="11">
        <f t="array" ref="AD31">SUM(IF(AD3:AD29="R",1,0))</f>
        <v>1</v>
      </c>
      <c r="AE31" s="11">
        <f t="array" ref="AE31">SUM(IF(AE3:AE29="R",1,0))</f>
        <v>1</v>
      </c>
      <c r="AF31" s="11">
        <f t="array" ref="AF31">SUM(IF(AF3:AF29="R",1,0))</f>
        <v>1</v>
      </c>
      <c r="AG31" s="11">
        <f t="array" ref="AG31">SUM(IF(AG3:AG29="R",1,0))</f>
        <v>1</v>
      </c>
      <c r="AH31" s="11">
        <f t="array" ref="AH31">SUM(IF(AH3:AH29="R",1,0))</f>
        <v>1</v>
      </c>
      <c r="AI31" s="11">
        <f t="array" ref="AI31">SUM(IF(AI3:AI29="R",1,0))</f>
        <v>1</v>
      </c>
      <c r="AJ31" s="11">
        <f t="array" ref="AJ31">SUM(IF(AJ3:AJ29="R",1,0))</f>
        <v>1</v>
      </c>
      <c r="AK31" s="11">
        <f t="array" ref="AK31">SUM(IF(AK3:AK29="R",1,0))</f>
        <v>1</v>
      </c>
      <c r="AL31" s="11">
        <f t="array" ref="AL31">SUM(IF(AL3:AL29="R",1,0))</f>
        <v>1</v>
      </c>
      <c r="AM31" s="11">
        <f t="array" ref="AM31">SUM(IF(AM3:AM29="R",1,0))</f>
        <v>1</v>
      </c>
      <c r="AN31" s="11">
        <f t="array" ref="AN31">SUM(IF(AN3:AN29="R",1,0))</f>
        <v>1</v>
      </c>
      <c r="AO31" s="11">
        <f t="array" ref="AO31">SUM(IF(AO3:AO29="R",1,0))</f>
        <v>1</v>
      </c>
      <c r="AP31" s="11">
        <f t="array" ref="AP31">SUM(IF(AP3:AP29="R",1,0))</f>
        <v>1</v>
      </c>
      <c r="AQ31" s="11">
        <f t="array" ref="AQ31">SUM(IF(AQ3:AQ29="R",1,0))</f>
        <v>1</v>
      </c>
      <c r="AR31" s="11">
        <f t="array" ref="AR31">SUM(IF(AR3:AR29="R",1,0))</f>
        <v>1</v>
      </c>
    </row>
    <row r="32">
      <c r="A32" s="17" t="s">
        <v>70</v>
      </c>
      <c r="B32" s="28">
        <f t="shared" si="6"/>
        <v>39</v>
      </c>
      <c r="C32" s="10">
        <f t="shared" si="2"/>
        <v>39</v>
      </c>
      <c r="F32" s="11">
        <f t="array" ref="F32">SUM(IF(F3:F29="R2",1,0))</f>
        <v>1</v>
      </c>
      <c r="G32" s="11">
        <f t="array" ref="G32">SUM(IF(G3:G29="R2",1,0))</f>
        <v>1</v>
      </c>
      <c r="H32" s="11">
        <f t="array" ref="H32">SUM(IF(H3:H29="R2",1,0))</f>
        <v>1</v>
      </c>
      <c r="I32" s="11">
        <f t="array" ref="I32">SUM(IF(I3:I29="R2",1,0))</f>
        <v>1</v>
      </c>
      <c r="J32" s="11">
        <f t="array" ref="J32">SUM(IF(J3:J29="R2",1,0))</f>
        <v>1</v>
      </c>
      <c r="K32" s="11">
        <f t="array" ref="K32">SUM(IF(K3:K29="R2",1,0))</f>
        <v>1</v>
      </c>
      <c r="L32" s="11">
        <f t="array" ref="L32">SUM(IF(L3:L29="R2",1,0))</f>
        <v>1</v>
      </c>
      <c r="M32" s="11">
        <f t="array" ref="M32">SUM(IF(M3:M29="R2",1,0))</f>
        <v>1</v>
      </c>
      <c r="N32" s="11">
        <f t="array" ref="N32">SUM(IF(N3:N29="R2",1,0))</f>
        <v>1</v>
      </c>
      <c r="O32" s="11">
        <f t="array" ref="O32">SUM(IF(O3:O29="R2",1,0))</f>
        <v>1</v>
      </c>
      <c r="P32" s="11">
        <f t="array" ref="P32">SUM(IF(P3:P29="R2",1,0))</f>
        <v>1</v>
      </c>
      <c r="Q32" s="11">
        <f t="array" ref="Q32">SUM(IF(Q3:Q29="R2",1,0))</f>
        <v>1</v>
      </c>
      <c r="R32" s="11">
        <f t="array" ref="R32">SUM(IF(R3:R29="R2",1,0))</f>
        <v>1</v>
      </c>
      <c r="S32" s="11">
        <f t="array" ref="S32">SUM(IF(S3:S29="R2",1,0))</f>
        <v>1</v>
      </c>
      <c r="T32" s="11">
        <f t="array" ref="T32">SUM(IF(T3:T29="R2",1,0))</f>
        <v>1</v>
      </c>
      <c r="U32" s="11">
        <f t="array" ref="U32">SUM(IF(U3:U29="R2",1,0))</f>
        <v>1</v>
      </c>
      <c r="V32" s="11">
        <f t="array" ref="V32">SUM(IF(V3:V29="R2",1,0))</f>
        <v>1</v>
      </c>
      <c r="W32" s="11">
        <f t="array" ref="W32">SUM(IF(W3:W29="R2",1,0))</f>
        <v>1</v>
      </c>
      <c r="X32" s="11">
        <f t="array" ref="X32">SUM(IF(X3:X29="R2",1,0))</f>
        <v>1</v>
      </c>
      <c r="Y32" s="11">
        <f t="array" ref="Y32">SUM(IF(Y3:Y29="R2",1,0))</f>
        <v>1</v>
      </c>
      <c r="Z32" s="11">
        <f t="array" ref="Z32">SUM(IF(Z3:Z29="R2",1,0))</f>
        <v>1</v>
      </c>
      <c r="AA32" s="11">
        <f t="array" ref="AA32">SUM(IF(AA3:AA29="R2",1,0))</f>
        <v>1</v>
      </c>
      <c r="AB32" s="11">
        <f t="array" ref="AB32">SUM(IF(AB3:AB29="R2",1,0))</f>
        <v>1</v>
      </c>
      <c r="AC32" s="11">
        <f t="array" ref="AC32">SUM(IF(AC3:AC29="R2",1,0))</f>
        <v>1</v>
      </c>
      <c r="AD32" s="11">
        <f t="array" ref="AD32">SUM(IF(AD3:AD29="R2",1,0))</f>
        <v>1</v>
      </c>
      <c r="AE32" s="11">
        <f t="array" ref="AE32">SUM(IF(AE3:AE29="R2",1,0))</f>
        <v>1</v>
      </c>
      <c r="AF32" s="11">
        <f t="array" ref="AF32">SUM(IF(AF3:AF29="R2",1,0))</f>
        <v>1</v>
      </c>
      <c r="AG32" s="11">
        <f t="array" ref="AG32">SUM(IF(AG3:AG29="R2",1,0))</f>
        <v>1</v>
      </c>
      <c r="AH32" s="11">
        <f t="array" ref="AH32">SUM(IF(AH3:AH29="R2",1,0))</f>
        <v>1</v>
      </c>
      <c r="AI32" s="11">
        <f t="array" ref="AI32">SUM(IF(AI3:AI29="R2",1,0))</f>
        <v>1</v>
      </c>
      <c r="AJ32" s="11">
        <f t="array" ref="AJ32">SUM(IF(AJ3:AJ29="R2",1,0))</f>
        <v>1</v>
      </c>
      <c r="AK32" s="11">
        <f t="array" ref="AK32">SUM(IF(AK3:AK29="R2",1,0))</f>
        <v>1</v>
      </c>
      <c r="AL32" s="11">
        <f t="array" ref="AL32">SUM(IF(AL3:AL29="R2",1,0))</f>
        <v>1</v>
      </c>
      <c r="AM32" s="11">
        <f t="array" ref="AM32">SUM(IF(AM3:AM29="R2",1,0))</f>
        <v>1</v>
      </c>
      <c r="AN32" s="11">
        <f t="array" ref="AN32">SUM(IF(AN3:AN29="R2",1,0))</f>
        <v>1</v>
      </c>
      <c r="AO32" s="11">
        <f t="array" ref="AO32">SUM(IF(AO3:AO29="R2",1,0))</f>
        <v>1</v>
      </c>
      <c r="AP32" s="11">
        <f t="array" ref="AP32">SUM(IF(AP3:AP29="R2",1,0))</f>
        <v>1</v>
      </c>
      <c r="AQ32" s="11">
        <f t="array" ref="AQ32">SUM(IF(AQ3:AQ29="R2",1,0))</f>
        <v>1</v>
      </c>
      <c r="AR32" s="11">
        <f t="array" ref="AR32">SUM(IF(AR3:AR29="R2",1,0))</f>
        <v>1</v>
      </c>
    </row>
    <row r="33">
      <c r="A33" s="17" t="s">
        <v>153</v>
      </c>
      <c r="C33" s="49">
        <f>COUNTA(F1:AR1)</f>
        <v>39</v>
      </c>
      <c r="E33" s="46" t="s">
        <v>71</v>
      </c>
      <c r="F33" s="29" t="str">
        <f t="shared" ref="F33:AR33" si="7">IFERROR(INDEX($A$3:$A$29, MATCH(1, INDEX($F$3:$AR$29, 0, MATCH(F2, $F$2:$AR$2, 0)), 0)), INDEX($A$3:$A$29, MATCH(1, INDEX($F$3:$AR$29, 0, MATCH(F2&amp;" AM", $F$2:$AR$2, 0)), 0)))</f>
        <v>REC ASH</v>
      </c>
      <c r="G33" s="29" t="str">
        <f t="shared" si="7"/>
        <v>PTE JIREH</v>
      </c>
      <c r="H33" s="29" t="str">
        <f t="shared" si="7"/>
        <v>LCP AMIRUL</v>
      </c>
      <c r="I33" s="29" t="str">
        <f t="shared" si="7"/>
        <v>PTE HOI REI</v>
      </c>
      <c r="J33" s="29" t="str">
        <f t="shared" si="7"/>
        <v>PTE JASPER</v>
      </c>
      <c r="K33" s="29" t="str">
        <f t="shared" si="7"/>
        <v>PTE HAQIMI</v>
      </c>
      <c r="L33" s="29" t="str">
        <f t="shared" si="7"/>
        <v>PTE AMIN</v>
      </c>
      <c r="M33" s="29" t="str">
        <f t="shared" si="7"/>
        <v>REC PARAM</v>
      </c>
      <c r="N33" s="29" t="str">
        <f t="shared" si="7"/>
        <v>PTE IDHAR</v>
      </c>
      <c r="O33" s="29" t="str">
        <f t="shared" si="7"/>
        <v>PTE RIFQI</v>
      </c>
      <c r="P33" s="29" t="str">
        <f t="shared" si="7"/>
        <v>PTE EZRA</v>
      </c>
      <c r="Q33" s="29" t="str">
        <f t="shared" si="7"/>
        <v>PTE DARREN</v>
      </c>
      <c r="R33" s="29" t="str">
        <f t="shared" si="7"/>
        <v>PTE JIREH</v>
      </c>
      <c r="S33" s="29" t="str">
        <f t="shared" si="7"/>
        <v>PTE HOI REI</v>
      </c>
      <c r="T33" s="29" t="str">
        <f t="shared" si="7"/>
        <v>PTE OREDAIN</v>
      </c>
      <c r="U33" s="29" t="str">
        <f t="shared" si="7"/>
        <v>LCP AMIRUL</v>
      </c>
      <c r="V33" s="29" t="str">
        <f t="shared" si="7"/>
        <v>REC RUI FENG</v>
      </c>
      <c r="W33" s="29" t="str">
        <f t="shared" si="7"/>
        <v>PTE ANGELO</v>
      </c>
      <c r="X33" s="29" t="str">
        <f t="shared" si="7"/>
        <v>REC ASH</v>
      </c>
      <c r="Y33" s="29" t="str">
        <f t="shared" si="7"/>
        <v>LCP ADAM</v>
      </c>
      <c r="Z33" s="29" t="str">
        <f t="shared" si="7"/>
        <v>PTE XIAO YU</v>
      </c>
      <c r="AA33" s="29" t="str">
        <f t="shared" si="7"/>
        <v>PTE SAMEER</v>
      </c>
      <c r="AB33" s="29" t="str">
        <f t="shared" si="7"/>
        <v>PTE JASPER</v>
      </c>
      <c r="AC33" s="29" t="str">
        <f t="shared" si="7"/>
        <v>LCP ERNEST</v>
      </c>
      <c r="AD33" s="29" t="str">
        <f t="shared" si="7"/>
        <v>PTE HAO QIAN</v>
      </c>
      <c r="AE33" s="29" t="str">
        <f t="shared" si="7"/>
        <v>PTE SAMEER</v>
      </c>
      <c r="AF33" s="29" t="str">
        <f t="shared" si="7"/>
        <v>LCP FIRMAN</v>
      </c>
      <c r="AG33" s="29" t="str">
        <f t="shared" si="7"/>
        <v>REC PARAM</v>
      </c>
      <c r="AH33" s="29" t="str">
        <f t="shared" si="7"/>
        <v>PTE AMIN</v>
      </c>
      <c r="AI33" s="29" t="str">
        <f t="shared" si="7"/>
        <v>PTE AFIF</v>
      </c>
      <c r="AJ33" s="29" t="str">
        <f t="shared" si="7"/>
        <v>PTE ANGELO</v>
      </c>
      <c r="AK33" s="29" t="str">
        <f t="shared" si="7"/>
        <v>PTE IDHAR</v>
      </c>
      <c r="AL33" s="29" t="str">
        <f t="shared" si="7"/>
        <v>SCT DANIEL</v>
      </c>
      <c r="AM33" s="29" t="str">
        <f t="shared" si="7"/>
        <v>PTE DARREN</v>
      </c>
      <c r="AN33" s="29" t="str">
        <f t="shared" si="7"/>
        <v>REC RUI FENG</v>
      </c>
      <c r="AO33" s="29" t="str">
        <f t="shared" si="7"/>
        <v>PTE XIAO YU</v>
      </c>
      <c r="AP33" s="29" t="str">
        <f t="shared" si="7"/>
        <v>PTE RIFQI</v>
      </c>
      <c r="AQ33" s="29" t="str">
        <f t="shared" si="7"/>
        <v>PTE HAO QIAN</v>
      </c>
      <c r="AR33" s="29" t="str">
        <f t="shared" si="7"/>
        <v>PTE OREDAIN</v>
      </c>
    </row>
    <row r="34">
      <c r="A34" s="17" t="s">
        <v>154</v>
      </c>
      <c r="C34" s="50">
        <f>SUBTOTAL(103, $A$3:$A$29)
</f>
        <v>23</v>
      </c>
      <c r="E34" s="46" t="s">
        <v>72</v>
      </c>
      <c r="F34" s="28" t="str">
        <f t="shared" ref="F34:AR34" si="8">INDEX($A$3:$A$29, MATCH("R", INDEX($F$3:$AR$29, 0, MATCH(F2, $F$2:$AR$2, 0)), 0))</f>
        <v>PTE JASPER</v>
      </c>
      <c r="G34" s="28" t="str">
        <f t="shared" si="8"/>
        <v>PTE HAO QIAN</v>
      </c>
      <c r="H34" s="28" t="str">
        <f t="shared" si="8"/>
        <v>PTE IDHAR</v>
      </c>
      <c r="I34" s="28" t="str">
        <f t="shared" si="8"/>
        <v>PTE ANGELO</v>
      </c>
      <c r="J34" s="28" t="str">
        <f t="shared" si="8"/>
        <v>SCT DANIEL</v>
      </c>
      <c r="K34" s="28" t="str">
        <f t="shared" si="8"/>
        <v>PTE AMIN</v>
      </c>
      <c r="L34" s="28" t="str">
        <f t="shared" si="8"/>
        <v>PTE EZRA</v>
      </c>
      <c r="M34" s="28" t="str">
        <f t="shared" si="8"/>
        <v>PTE RIFQI</v>
      </c>
      <c r="N34" s="28" t="str">
        <f t="shared" si="8"/>
        <v>PTE HAQIMI</v>
      </c>
      <c r="O34" s="28" t="str">
        <f t="shared" si="8"/>
        <v>REC ASH</v>
      </c>
      <c r="P34" s="28" t="str">
        <f t="shared" si="8"/>
        <v>PTE OREDAIN</v>
      </c>
      <c r="Q34" s="28" t="str">
        <f t="shared" si="8"/>
        <v>PTE HAQIMI</v>
      </c>
      <c r="R34" s="28" t="str">
        <f t="shared" si="8"/>
        <v>PTE HAO QIAN</v>
      </c>
      <c r="S34" s="28" t="str">
        <f t="shared" si="8"/>
        <v>PTE SAMEER</v>
      </c>
      <c r="T34" s="28" t="str">
        <f t="shared" si="8"/>
        <v>PTE EZRA</v>
      </c>
      <c r="U34" s="28" t="str">
        <f t="shared" si="8"/>
        <v>LCP ADAM</v>
      </c>
      <c r="V34" s="28" t="str">
        <f t="shared" si="8"/>
        <v>LCP ERNEST</v>
      </c>
      <c r="W34" s="28" t="str">
        <f t="shared" si="8"/>
        <v>LCP ADAM</v>
      </c>
      <c r="X34" s="28" t="str">
        <f t="shared" si="8"/>
        <v>REC PARAM</v>
      </c>
      <c r="Y34" s="28" t="str">
        <f t="shared" si="8"/>
        <v>LCP AMIRUL</v>
      </c>
      <c r="Z34" s="28" t="str">
        <f t="shared" si="8"/>
        <v>PTE HOI REI</v>
      </c>
      <c r="AA34" s="28" t="str">
        <f t="shared" si="8"/>
        <v>PTE DARREN</v>
      </c>
      <c r="AB34" s="28" t="str">
        <f t="shared" si="8"/>
        <v>PTE AMIN</v>
      </c>
      <c r="AC34" s="28" t="str">
        <f t="shared" si="8"/>
        <v>LCP FIRMAN</v>
      </c>
      <c r="AD34" s="28" t="str">
        <f t="shared" si="8"/>
        <v>PTE JIREH</v>
      </c>
      <c r="AE34" s="28" t="str">
        <f t="shared" si="8"/>
        <v>REC RUI FENG</v>
      </c>
      <c r="AF34" s="28" t="str">
        <f t="shared" si="8"/>
        <v>PTE AFIF</v>
      </c>
      <c r="AG34" s="28" t="str">
        <f t="shared" si="8"/>
        <v>PTE RIFQI</v>
      </c>
      <c r="AH34" s="28" t="str">
        <f t="shared" si="8"/>
        <v>PTE SAMEER</v>
      </c>
      <c r="AI34" s="28" t="str">
        <f t="shared" si="8"/>
        <v>PTE HOI REI</v>
      </c>
      <c r="AJ34" s="28" t="str">
        <f t="shared" si="8"/>
        <v>SCT DANIEL</v>
      </c>
      <c r="AK34" s="28" t="str">
        <f t="shared" si="8"/>
        <v>PTE OREDAIN</v>
      </c>
      <c r="AL34" s="28" t="str">
        <f t="shared" si="8"/>
        <v>LCP AMIRUL</v>
      </c>
      <c r="AM34" s="28" t="str">
        <f t="shared" si="8"/>
        <v>PTE XIAO YU</v>
      </c>
      <c r="AN34" s="28" t="str">
        <f t="shared" si="8"/>
        <v>PTE JASPER</v>
      </c>
      <c r="AO34" s="28" t="str">
        <f t="shared" si="8"/>
        <v>PTE ANGELO</v>
      </c>
      <c r="AP34" s="28" t="str">
        <f t="shared" si="8"/>
        <v>REC RUI FENG</v>
      </c>
      <c r="AQ34" s="28" t="str">
        <f t="shared" si="8"/>
        <v>PTE XIAO YU</v>
      </c>
      <c r="AR34" s="28" t="str">
        <f t="shared" si="8"/>
        <v>PTE IDHAR</v>
      </c>
    </row>
    <row r="35">
      <c r="E35" s="46" t="s">
        <v>70</v>
      </c>
      <c r="F35" s="30" t="str">
        <f t="shared" ref="F35:AR35" si="9">INDEX($A$3:$A$29, MATCH("R2", INDEX($F$3:$AR$29, 0, MATCH(F2, $F$2:$AR$2, 0)), 0))</f>
        <v>REC RUI FENG</v>
      </c>
      <c r="G35" s="30" t="str">
        <f t="shared" si="9"/>
        <v>SCT DANIEL</v>
      </c>
      <c r="H35" s="30" t="str">
        <f t="shared" si="9"/>
        <v>LCP ERNEST</v>
      </c>
      <c r="I35" s="30" t="str">
        <f t="shared" si="9"/>
        <v>LCP ADAM</v>
      </c>
      <c r="J35" s="30" t="str">
        <f t="shared" si="9"/>
        <v>PTE AMIN</v>
      </c>
      <c r="K35" s="30" t="str">
        <f t="shared" si="9"/>
        <v>PTE JASPER</v>
      </c>
      <c r="L35" s="30" t="str">
        <f t="shared" si="9"/>
        <v>PTE IDHAR</v>
      </c>
      <c r="M35" s="30" t="str">
        <f t="shared" si="9"/>
        <v>PTE JASPER</v>
      </c>
      <c r="N35" s="30" t="str">
        <f t="shared" si="9"/>
        <v>PTE EZRA</v>
      </c>
      <c r="O35" s="30" t="str">
        <f t="shared" si="9"/>
        <v>REC PARAM</v>
      </c>
      <c r="P35" s="30" t="str">
        <f t="shared" si="9"/>
        <v>LCP ADAM</v>
      </c>
      <c r="Q35" s="30" t="str">
        <f t="shared" si="9"/>
        <v>PTE SAMEER</v>
      </c>
      <c r="R35" s="30" t="str">
        <f t="shared" si="9"/>
        <v>PTE AFIF</v>
      </c>
      <c r="S35" s="30" t="str">
        <f t="shared" si="9"/>
        <v>PTE DARREN</v>
      </c>
      <c r="T35" s="30" t="str">
        <f t="shared" si="9"/>
        <v>LCP FIRMAN</v>
      </c>
      <c r="U35" s="30" t="str">
        <f t="shared" si="9"/>
        <v>PTE IDHAR</v>
      </c>
      <c r="V35" s="30" t="str">
        <f t="shared" si="9"/>
        <v>REC ASH</v>
      </c>
      <c r="W35" s="30" t="str">
        <f t="shared" si="9"/>
        <v>LCP AMIRUL</v>
      </c>
      <c r="X35" s="30" t="str">
        <f t="shared" si="9"/>
        <v>PTE RIFQI</v>
      </c>
      <c r="Y35" s="30" t="str">
        <f t="shared" si="9"/>
        <v>PTE EZRA</v>
      </c>
      <c r="Z35" s="30" t="str">
        <f t="shared" si="9"/>
        <v>PTE HAO QIAN</v>
      </c>
      <c r="AA35" s="30" t="str">
        <f t="shared" si="9"/>
        <v>PTE HAQIMI</v>
      </c>
      <c r="AB35" s="30" t="str">
        <f t="shared" si="9"/>
        <v>LCP FIRMAN</v>
      </c>
      <c r="AC35" s="30" t="str">
        <f t="shared" si="9"/>
        <v>PTE AFIF</v>
      </c>
      <c r="AD35" s="30" t="str">
        <f t="shared" si="9"/>
        <v>PTE DARREN</v>
      </c>
      <c r="AE35" s="30" t="str">
        <f t="shared" si="9"/>
        <v>PTE XIAO YU</v>
      </c>
      <c r="AF35" s="30" t="str">
        <f t="shared" si="9"/>
        <v>LCP ERNEST</v>
      </c>
      <c r="AG35" s="30" t="str">
        <f t="shared" si="9"/>
        <v>PTE AMIN</v>
      </c>
      <c r="AH35" s="30" t="str">
        <f t="shared" si="9"/>
        <v>PTE HOI REI</v>
      </c>
      <c r="AI35" s="30" t="str">
        <f t="shared" si="9"/>
        <v>PTE XIAO YU</v>
      </c>
      <c r="AJ35" s="30" t="str">
        <f t="shared" si="9"/>
        <v>PTE JIREH</v>
      </c>
      <c r="AK35" s="30" t="str">
        <f t="shared" si="9"/>
        <v>PTE HAO QIAN</v>
      </c>
      <c r="AL35" s="30" t="str">
        <f t="shared" si="9"/>
        <v>PTE SAMEER</v>
      </c>
      <c r="AM35" s="30" t="str">
        <f t="shared" si="9"/>
        <v>PTE ANGELO</v>
      </c>
      <c r="AN35" s="30" t="str">
        <f t="shared" si="9"/>
        <v>LCP AMIRUL</v>
      </c>
      <c r="AO35" s="30" t="str">
        <f t="shared" si="9"/>
        <v>PTE JIREH</v>
      </c>
      <c r="AP35" s="30" t="str">
        <f t="shared" si="9"/>
        <v>REC ASH</v>
      </c>
      <c r="AQ35" s="30" t="str">
        <f t="shared" si="9"/>
        <v>PTE OREDAIN</v>
      </c>
      <c r="AR35" s="30" t="str">
        <f t="shared" si="9"/>
        <v>PTE HOI REI</v>
      </c>
    </row>
    <row r="36">
      <c r="G36" s="31"/>
    </row>
    <row r="37">
      <c r="G37" s="31"/>
    </row>
    <row r="38">
      <c r="G38" s="31"/>
    </row>
    <row r="39">
      <c r="A39" s="26" t="s">
        <v>118</v>
      </c>
      <c r="G39" s="31"/>
    </row>
    <row r="40">
      <c r="A40" s="25" t="s">
        <v>119</v>
      </c>
      <c r="G40" s="31"/>
    </row>
    <row r="41">
      <c r="A41" s="22" t="s">
        <v>120</v>
      </c>
      <c r="G41" s="31"/>
    </row>
    <row r="42">
      <c r="A42" s="20" t="s">
        <v>121</v>
      </c>
      <c r="G42" s="31"/>
    </row>
    <row r="43">
      <c r="A43" s="23" t="s">
        <v>122</v>
      </c>
      <c r="G43" s="31"/>
    </row>
    <row r="44">
      <c r="A44" s="14" t="s">
        <v>123</v>
      </c>
      <c r="G44" s="31"/>
    </row>
    <row r="45">
      <c r="A45" s="27" t="s">
        <v>124</v>
      </c>
      <c r="G45" s="31"/>
    </row>
    <row r="46">
      <c r="A46" s="9" t="s">
        <v>125</v>
      </c>
      <c r="C46" s="31"/>
      <c r="G46" s="31"/>
    </row>
    <row r="47">
      <c r="A47" s="44" t="s">
        <v>126</v>
      </c>
      <c r="G47" s="31"/>
    </row>
    <row r="48">
      <c r="G48" s="31"/>
    </row>
    <row r="49">
      <c r="G49" s="31"/>
    </row>
    <row r="50">
      <c r="G50" s="31"/>
    </row>
    <row r="51">
      <c r="G51" s="31"/>
    </row>
    <row r="52">
      <c r="G52" s="31"/>
    </row>
    <row r="53">
      <c r="G53" s="31"/>
    </row>
    <row r="54">
      <c r="G54" s="31"/>
    </row>
    <row r="55">
      <c r="G55" s="31"/>
    </row>
    <row r="56">
      <c r="G56" s="31"/>
    </row>
    <row r="57">
      <c r="G57" s="31"/>
    </row>
    <row r="58">
      <c r="G58" s="31"/>
    </row>
    <row r="59">
      <c r="G59" s="31"/>
    </row>
    <row r="60">
      <c r="G60" s="31"/>
    </row>
    <row r="61">
      <c r="G61" s="31"/>
    </row>
    <row r="62">
      <c r="G62" s="31"/>
    </row>
    <row r="63">
      <c r="G63" s="31"/>
    </row>
    <row r="64">
      <c r="G64" s="31"/>
    </row>
    <row r="65">
      <c r="G65" s="31"/>
    </row>
    <row r="66">
      <c r="G66" s="31"/>
    </row>
    <row r="67">
      <c r="G67" s="31"/>
    </row>
    <row r="68">
      <c r="G68" s="31"/>
    </row>
    <row r="69">
      <c r="G69" s="31"/>
    </row>
    <row r="70">
      <c r="G70" s="31"/>
    </row>
    <row r="71">
      <c r="G71" s="31"/>
    </row>
    <row r="72">
      <c r="G72" s="31"/>
    </row>
    <row r="73">
      <c r="G73" s="31"/>
    </row>
    <row r="74">
      <c r="G74" s="31"/>
    </row>
    <row r="75">
      <c r="G75" s="31"/>
    </row>
    <row r="76">
      <c r="G76" s="31"/>
    </row>
    <row r="77">
      <c r="G77" s="31"/>
    </row>
    <row r="78">
      <c r="G78" s="31"/>
    </row>
    <row r="79">
      <c r="G79" s="31"/>
    </row>
    <row r="80">
      <c r="G80" s="31"/>
    </row>
    <row r="81">
      <c r="G81" s="31"/>
    </row>
    <row r="82">
      <c r="G82" s="31"/>
    </row>
    <row r="83">
      <c r="G83" s="31"/>
    </row>
    <row r="84">
      <c r="G84" s="31"/>
    </row>
    <row r="85">
      <c r="G85" s="31"/>
    </row>
    <row r="86">
      <c r="G86" s="31"/>
    </row>
    <row r="87">
      <c r="G87" s="31"/>
    </row>
    <row r="88">
      <c r="G88" s="31"/>
    </row>
    <row r="89">
      <c r="G89" s="31"/>
    </row>
    <row r="90">
      <c r="G90" s="31"/>
    </row>
    <row r="91">
      <c r="G91" s="31"/>
    </row>
    <row r="92">
      <c r="G92" s="31"/>
    </row>
    <row r="93">
      <c r="G93" s="31"/>
    </row>
    <row r="94">
      <c r="G94" s="31"/>
    </row>
    <row r="95">
      <c r="G95" s="31"/>
    </row>
    <row r="96">
      <c r="G96" s="31"/>
    </row>
    <row r="97">
      <c r="G97" s="31"/>
    </row>
    <row r="98">
      <c r="G98" s="31"/>
    </row>
    <row r="99">
      <c r="G99" s="31"/>
    </row>
    <row r="100">
      <c r="G100" s="31"/>
    </row>
    <row r="101">
      <c r="G101" s="31"/>
    </row>
    <row r="102">
      <c r="G102" s="31"/>
    </row>
    <row r="103">
      <c r="G103" s="31"/>
    </row>
    <row r="104">
      <c r="G104" s="31"/>
    </row>
    <row r="105">
      <c r="G105" s="31"/>
    </row>
    <row r="106">
      <c r="G106" s="31"/>
    </row>
    <row r="107">
      <c r="G107" s="31"/>
    </row>
    <row r="108">
      <c r="G108" s="31"/>
    </row>
    <row r="109">
      <c r="G109" s="31"/>
    </row>
    <row r="110">
      <c r="G110" s="31"/>
    </row>
    <row r="111">
      <c r="G111" s="31"/>
    </row>
    <row r="112">
      <c r="G112" s="31"/>
    </row>
    <row r="113">
      <c r="G113" s="31"/>
    </row>
    <row r="114">
      <c r="G114" s="31"/>
    </row>
    <row r="115">
      <c r="G115" s="31"/>
    </row>
    <row r="116">
      <c r="G116" s="31"/>
    </row>
    <row r="117">
      <c r="G117" s="31"/>
    </row>
    <row r="118">
      <c r="G118" s="31"/>
    </row>
    <row r="119">
      <c r="G119" s="31"/>
    </row>
    <row r="120">
      <c r="G120" s="31"/>
    </row>
    <row r="121">
      <c r="G121" s="31"/>
    </row>
    <row r="122">
      <c r="G122" s="31"/>
    </row>
    <row r="123">
      <c r="G123" s="31"/>
    </row>
    <row r="124">
      <c r="G124" s="31"/>
    </row>
    <row r="125">
      <c r="G125" s="31"/>
    </row>
    <row r="126">
      <c r="G126" s="31"/>
    </row>
    <row r="127">
      <c r="G127" s="31"/>
    </row>
    <row r="128">
      <c r="G128" s="31"/>
    </row>
    <row r="129">
      <c r="G129" s="31"/>
    </row>
    <row r="130">
      <c r="G130" s="31"/>
    </row>
    <row r="131">
      <c r="G131" s="31"/>
    </row>
    <row r="132">
      <c r="G132" s="31"/>
    </row>
    <row r="133">
      <c r="G133" s="31"/>
    </row>
    <row r="134">
      <c r="G134" s="31"/>
    </row>
    <row r="135">
      <c r="G135" s="31"/>
    </row>
    <row r="136">
      <c r="G136" s="31"/>
    </row>
    <row r="137">
      <c r="G137" s="31"/>
    </row>
    <row r="138">
      <c r="G138" s="31"/>
    </row>
    <row r="139">
      <c r="G139" s="31"/>
    </row>
    <row r="140">
      <c r="G140" s="31"/>
    </row>
    <row r="141">
      <c r="G141" s="31"/>
    </row>
    <row r="142">
      <c r="G142" s="31"/>
    </row>
    <row r="143">
      <c r="G143" s="31"/>
    </row>
    <row r="144">
      <c r="G144" s="31"/>
    </row>
    <row r="145">
      <c r="G145" s="31"/>
    </row>
    <row r="146">
      <c r="G146" s="31"/>
    </row>
    <row r="147">
      <c r="G147" s="31"/>
    </row>
    <row r="148">
      <c r="G148" s="31"/>
    </row>
    <row r="149">
      <c r="G149" s="31"/>
    </row>
    <row r="150">
      <c r="G150" s="31"/>
    </row>
    <row r="151">
      <c r="G151" s="31"/>
    </row>
    <row r="152">
      <c r="G152" s="31"/>
    </row>
    <row r="153">
      <c r="G153" s="31"/>
    </row>
    <row r="154">
      <c r="G154" s="31"/>
    </row>
    <row r="155">
      <c r="G155" s="31"/>
    </row>
    <row r="156">
      <c r="G156" s="31"/>
    </row>
    <row r="157">
      <c r="G157" s="31"/>
    </row>
    <row r="158">
      <c r="G158" s="31"/>
    </row>
    <row r="159">
      <c r="G159" s="31"/>
    </row>
    <row r="160">
      <c r="G160" s="31"/>
    </row>
    <row r="161">
      <c r="G161" s="31"/>
    </row>
    <row r="162">
      <c r="G162" s="31"/>
    </row>
    <row r="163">
      <c r="G163" s="31"/>
    </row>
    <row r="164">
      <c r="G164" s="31"/>
    </row>
    <row r="165">
      <c r="G165" s="31"/>
    </row>
    <row r="166">
      <c r="G166" s="31"/>
    </row>
    <row r="167">
      <c r="G167" s="31"/>
    </row>
    <row r="168">
      <c r="G168" s="31"/>
    </row>
    <row r="169">
      <c r="G169" s="31"/>
    </row>
    <row r="170">
      <c r="G170" s="31"/>
    </row>
    <row r="171">
      <c r="G171" s="31"/>
    </row>
    <row r="172">
      <c r="G172" s="31"/>
    </row>
    <row r="173">
      <c r="G173" s="31"/>
    </row>
    <row r="174">
      <c r="G174" s="31"/>
    </row>
    <row r="175">
      <c r="G175" s="31"/>
    </row>
    <row r="176">
      <c r="G176" s="31"/>
    </row>
    <row r="177">
      <c r="G177" s="31"/>
    </row>
    <row r="178">
      <c r="G178" s="31"/>
    </row>
    <row r="179">
      <c r="G179" s="31"/>
    </row>
    <row r="180">
      <c r="G180" s="31"/>
    </row>
    <row r="181">
      <c r="G181" s="31"/>
    </row>
    <row r="182">
      <c r="G182" s="31"/>
    </row>
    <row r="183">
      <c r="G183" s="31"/>
    </row>
    <row r="184">
      <c r="G184" s="31"/>
    </row>
    <row r="185">
      <c r="G185" s="31"/>
    </row>
    <row r="186">
      <c r="G186" s="31"/>
    </row>
    <row r="187">
      <c r="G187" s="31"/>
    </row>
    <row r="188">
      <c r="G188" s="31"/>
    </row>
    <row r="189">
      <c r="G189" s="31"/>
    </row>
    <row r="190">
      <c r="G190" s="31"/>
    </row>
    <row r="191">
      <c r="G191" s="31"/>
    </row>
    <row r="192">
      <c r="G192" s="31"/>
    </row>
    <row r="193">
      <c r="G193" s="31"/>
    </row>
    <row r="194">
      <c r="G194" s="31"/>
    </row>
    <row r="195">
      <c r="G195" s="31"/>
    </row>
    <row r="196">
      <c r="G196" s="31"/>
    </row>
    <row r="197">
      <c r="G197" s="31"/>
    </row>
    <row r="198">
      <c r="G198" s="31"/>
    </row>
    <row r="199">
      <c r="G199" s="31"/>
    </row>
    <row r="200">
      <c r="G200" s="31"/>
    </row>
    <row r="201">
      <c r="G201" s="31"/>
    </row>
    <row r="202">
      <c r="G202" s="31"/>
    </row>
    <row r="203">
      <c r="G203" s="31"/>
    </row>
    <row r="204">
      <c r="G204" s="31"/>
    </row>
    <row r="205">
      <c r="G205" s="31"/>
    </row>
    <row r="206">
      <c r="G206" s="31"/>
    </row>
    <row r="207">
      <c r="G207" s="31"/>
    </row>
    <row r="208">
      <c r="G208" s="31"/>
    </row>
    <row r="209">
      <c r="G209" s="31"/>
    </row>
    <row r="210">
      <c r="G210" s="31"/>
    </row>
    <row r="211">
      <c r="G211" s="31"/>
    </row>
    <row r="212">
      <c r="G212" s="31"/>
    </row>
    <row r="213">
      <c r="G213" s="31"/>
    </row>
    <row r="214">
      <c r="G214" s="31"/>
    </row>
    <row r="215">
      <c r="G215" s="31"/>
    </row>
    <row r="216">
      <c r="G216" s="31"/>
    </row>
    <row r="217">
      <c r="G217" s="31"/>
    </row>
    <row r="218">
      <c r="G218" s="31"/>
    </row>
    <row r="219">
      <c r="G219" s="31"/>
    </row>
    <row r="220">
      <c r="G220" s="31"/>
    </row>
    <row r="221">
      <c r="G221" s="31"/>
    </row>
    <row r="222">
      <c r="G222" s="31"/>
    </row>
    <row r="223">
      <c r="G223" s="31"/>
    </row>
    <row r="224">
      <c r="G224" s="31"/>
    </row>
    <row r="225">
      <c r="G225" s="31"/>
    </row>
    <row r="226">
      <c r="G226" s="31"/>
    </row>
    <row r="227">
      <c r="G227" s="31"/>
    </row>
    <row r="228">
      <c r="G228" s="31"/>
    </row>
    <row r="229">
      <c r="G229" s="31"/>
    </row>
    <row r="230">
      <c r="G230" s="31"/>
    </row>
    <row r="231">
      <c r="G231" s="31"/>
    </row>
    <row r="232">
      <c r="G232" s="31"/>
    </row>
    <row r="233">
      <c r="G233" s="31"/>
    </row>
    <row r="234">
      <c r="G234" s="31"/>
    </row>
    <row r="235">
      <c r="G235" s="31"/>
    </row>
    <row r="236">
      <c r="G236" s="31"/>
    </row>
    <row r="237">
      <c r="G237" s="31"/>
    </row>
    <row r="238">
      <c r="G238" s="31"/>
    </row>
    <row r="239">
      <c r="G239" s="31"/>
    </row>
    <row r="240">
      <c r="G240" s="31"/>
    </row>
    <row r="241">
      <c r="G241" s="31"/>
    </row>
    <row r="242">
      <c r="G242" s="31"/>
    </row>
    <row r="243">
      <c r="G243" s="31"/>
    </row>
    <row r="244">
      <c r="G244" s="31"/>
    </row>
    <row r="245">
      <c r="G245" s="31"/>
    </row>
    <row r="246">
      <c r="G246" s="31"/>
    </row>
    <row r="247">
      <c r="G247" s="31"/>
    </row>
    <row r="248">
      <c r="G248" s="31"/>
    </row>
    <row r="249">
      <c r="G249" s="31"/>
    </row>
    <row r="250">
      <c r="G250" s="31"/>
    </row>
    <row r="251">
      <c r="G251" s="31"/>
    </row>
    <row r="252">
      <c r="G252" s="31"/>
    </row>
    <row r="253">
      <c r="G253" s="31"/>
    </row>
    <row r="254">
      <c r="G254" s="31"/>
    </row>
    <row r="255">
      <c r="G255" s="31"/>
    </row>
    <row r="256">
      <c r="G256" s="31"/>
    </row>
    <row r="257">
      <c r="G257" s="31"/>
    </row>
    <row r="258">
      <c r="G258" s="31"/>
    </row>
    <row r="259">
      <c r="G259" s="31"/>
    </row>
    <row r="260">
      <c r="G260" s="31"/>
    </row>
    <row r="261">
      <c r="G261" s="31"/>
    </row>
    <row r="262">
      <c r="G262" s="31"/>
    </row>
    <row r="263">
      <c r="G263" s="31"/>
    </row>
    <row r="264">
      <c r="G264" s="31"/>
    </row>
    <row r="265">
      <c r="G265" s="31"/>
    </row>
    <row r="266">
      <c r="G266" s="31"/>
    </row>
    <row r="267">
      <c r="G267" s="31"/>
    </row>
    <row r="268">
      <c r="G268" s="31"/>
    </row>
    <row r="269">
      <c r="G269" s="31"/>
    </row>
    <row r="270">
      <c r="G270" s="31"/>
    </row>
    <row r="271">
      <c r="G271" s="31"/>
    </row>
    <row r="272">
      <c r="G272" s="31"/>
    </row>
    <row r="273">
      <c r="G273" s="31"/>
    </row>
    <row r="274">
      <c r="G274" s="31"/>
    </row>
    <row r="275">
      <c r="G275" s="31"/>
    </row>
    <row r="276">
      <c r="G276" s="31"/>
    </row>
    <row r="277">
      <c r="G277" s="31"/>
    </row>
    <row r="278">
      <c r="G278" s="31"/>
    </row>
    <row r="279">
      <c r="G279" s="31"/>
    </row>
    <row r="280">
      <c r="G280" s="31"/>
    </row>
    <row r="281">
      <c r="G281" s="31"/>
    </row>
    <row r="282">
      <c r="G282" s="31"/>
    </row>
    <row r="283">
      <c r="G283" s="31"/>
    </row>
    <row r="284">
      <c r="G284" s="31"/>
    </row>
    <row r="285">
      <c r="G285" s="31"/>
    </row>
    <row r="286">
      <c r="G286" s="31"/>
    </row>
    <row r="287">
      <c r="G287" s="31"/>
    </row>
    <row r="288">
      <c r="G288" s="31"/>
    </row>
    <row r="289">
      <c r="G289" s="31"/>
    </row>
    <row r="290">
      <c r="G290" s="31"/>
    </row>
    <row r="291">
      <c r="G291" s="31"/>
    </row>
    <row r="292">
      <c r="G292" s="31"/>
    </row>
    <row r="293">
      <c r="G293" s="31"/>
    </row>
    <row r="294">
      <c r="G294" s="31"/>
    </row>
    <row r="295">
      <c r="G295" s="31"/>
    </row>
    <row r="296">
      <c r="G296" s="31"/>
    </row>
    <row r="297">
      <c r="G297" s="31"/>
    </row>
    <row r="298">
      <c r="G298" s="31"/>
    </row>
    <row r="299">
      <c r="G299" s="31"/>
    </row>
    <row r="300">
      <c r="G300" s="31"/>
    </row>
    <row r="301">
      <c r="G301" s="31"/>
    </row>
    <row r="302">
      <c r="G302" s="31"/>
    </row>
    <row r="303">
      <c r="G303" s="31"/>
    </row>
    <row r="304">
      <c r="G304" s="31"/>
    </row>
    <row r="305">
      <c r="G305" s="31"/>
    </row>
    <row r="306">
      <c r="G306" s="31"/>
    </row>
    <row r="307">
      <c r="G307" s="31"/>
    </row>
    <row r="308">
      <c r="G308" s="31"/>
    </row>
    <row r="309">
      <c r="G309" s="31"/>
    </row>
    <row r="310">
      <c r="G310" s="31"/>
    </row>
    <row r="311">
      <c r="G311" s="31"/>
    </row>
    <row r="312">
      <c r="G312" s="31"/>
    </row>
    <row r="313">
      <c r="G313" s="31"/>
    </row>
    <row r="314">
      <c r="G314" s="31"/>
    </row>
    <row r="315">
      <c r="G315" s="31"/>
    </row>
    <row r="316">
      <c r="G316" s="31"/>
    </row>
    <row r="317">
      <c r="G317" s="31"/>
    </row>
    <row r="318">
      <c r="G318" s="31"/>
    </row>
    <row r="319">
      <c r="G319" s="31"/>
    </row>
    <row r="320">
      <c r="G320" s="31"/>
    </row>
    <row r="321">
      <c r="G321" s="31"/>
    </row>
    <row r="322">
      <c r="G322" s="31"/>
    </row>
    <row r="323">
      <c r="G323" s="31"/>
    </row>
    <row r="324">
      <c r="G324" s="31"/>
    </row>
    <row r="325">
      <c r="G325" s="31"/>
    </row>
    <row r="326">
      <c r="G326" s="31"/>
    </row>
    <row r="327">
      <c r="G327" s="31"/>
    </row>
    <row r="328">
      <c r="G328" s="31"/>
    </row>
    <row r="329">
      <c r="G329" s="31"/>
    </row>
    <row r="330">
      <c r="G330" s="31"/>
    </row>
    <row r="331">
      <c r="G331" s="31"/>
    </row>
    <row r="332">
      <c r="G332" s="31"/>
    </row>
    <row r="333">
      <c r="G333" s="31"/>
    </row>
    <row r="334">
      <c r="G334" s="31"/>
    </row>
    <row r="335">
      <c r="G335" s="31"/>
    </row>
    <row r="336">
      <c r="G336" s="31"/>
    </row>
    <row r="337">
      <c r="G337" s="31"/>
    </row>
    <row r="338">
      <c r="G338" s="31"/>
    </row>
    <row r="339">
      <c r="G339" s="31"/>
    </row>
    <row r="340">
      <c r="G340" s="31"/>
    </row>
    <row r="341">
      <c r="G341" s="31"/>
    </row>
    <row r="342">
      <c r="G342" s="31"/>
    </row>
    <row r="343">
      <c r="G343" s="31"/>
    </row>
    <row r="344">
      <c r="G344" s="31"/>
    </row>
    <row r="345">
      <c r="G345" s="31"/>
    </row>
    <row r="346">
      <c r="G346" s="31"/>
    </row>
    <row r="347">
      <c r="G347" s="31"/>
    </row>
    <row r="348">
      <c r="G348" s="31"/>
    </row>
    <row r="349">
      <c r="G349" s="31"/>
    </row>
    <row r="350">
      <c r="G350" s="31"/>
    </row>
    <row r="351">
      <c r="G351" s="31"/>
    </row>
    <row r="352">
      <c r="G352" s="31"/>
    </row>
    <row r="353">
      <c r="G353" s="31"/>
    </row>
    <row r="354">
      <c r="G354" s="31"/>
    </row>
    <row r="355">
      <c r="G355" s="31"/>
    </row>
    <row r="356">
      <c r="G356" s="31"/>
    </row>
    <row r="357">
      <c r="G357" s="31"/>
    </row>
    <row r="358">
      <c r="G358" s="31"/>
    </row>
    <row r="359">
      <c r="G359" s="31"/>
    </row>
    <row r="360">
      <c r="G360" s="31"/>
    </row>
    <row r="361">
      <c r="G361" s="31"/>
    </row>
    <row r="362">
      <c r="G362" s="31"/>
    </row>
    <row r="363">
      <c r="G363" s="31"/>
    </row>
    <row r="364">
      <c r="G364" s="31"/>
    </row>
    <row r="365">
      <c r="G365" s="31"/>
    </row>
    <row r="366">
      <c r="G366" s="31"/>
    </row>
    <row r="367">
      <c r="G367" s="31"/>
    </row>
    <row r="368">
      <c r="G368" s="31"/>
    </row>
    <row r="369">
      <c r="G369" s="31"/>
    </row>
    <row r="370">
      <c r="G370" s="31"/>
    </row>
    <row r="371">
      <c r="G371" s="31"/>
    </row>
    <row r="372">
      <c r="G372" s="31"/>
    </row>
    <row r="373">
      <c r="G373" s="31"/>
    </row>
    <row r="374">
      <c r="G374" s="31"/>
    </row>
    <row r="375">
      <c r="G375" s="31"/>
    </row>
    <row r="376">
      <c r="G376" s="31"/>
    </row>
    <row r="377">
      <c r="G377" s="31"/>
    </row>
    <row r="378">
      <c r="G378" s="31"/>
    </row>
    <row r="379">
      <c r="G379" s="31"/>
    </row>
    <row r="380">
      <c r="G380" s="31"/>
    </row>
    <row r="381">
      <c r="G381" s="31"/>
    </row>
    <row r="382">
      <c r="G382" s="31"/>
    </row>
    <row r="383">
      <c r="G383" s="31"/>
    </row>
    <row r="384">
      <c r="G384" s="31"/>
    </row>
    <row r="385">
      <c r="G385" s="31"/>
    </row>
    <row r="386">
      <c r="G386" s="31"/>
    </row>
    <row r="387">
      <c r="G387" s="31"/>
    </row>
    <row r="388">
      <c r="G388" s="31"/>
    </row>
    <row r="389">
      <c r="G389" s="31"/>
    </row>
    <row r="390">
      <c r="G390" s="31"/>
    </row>
    <row r="391">
      <c r="G391" s="31"/>
    </row>
    <row r="392">
      <c r="G392" s="31"/>
    </row>
    <row r="393">
      <c r="G393" s="31"/>
    </row>
    <row r="394">
      <c r="G394" s="31"/>
    </row>
    <row r="395">
      <c r="G395" s="31"/>
    </row>
    <row r="396">
      <c r="G396" s="31"/>
    </row>
    <row r="397">
      <c r="G397" s="31"/>
    </row>
    <row r="398">
      <c r="G398" s="31"/>
    </row>
    <row r="399">
      <c r="G399" s="31"/>
    </row>
    <row r="400">
      <c r="G400" s="31"/>
    </row>
    <row r="401">
      <c r="G401" s="31"/>
    </row>
    <row r="402">
      <c r="G402" s="31"/>
    </row>
    <row r="403">
      <c r="G403" s="31"/>
    </row>
    <row r="404">
      <c r="G404" s="31"/>
    </row>
    <row r="405">
      <c r="G405" s="31"/>
    </row>
    <row r="406">
      <c r="G406" s="31"/>
    </row>
    <row r="407">
      <c r="G407" s="31"/>
    </row>
    <row r="408">
      <c r="G408" s="31"/>
    </row>
    <row r="409">
      <c r="G409" s="31"/>
    </row>
    <row r="410">
      <c r="G410" s="31"/>
    </row>
    <row r="411">
      <c r="G411" s="31"/>
    </row>
    <row r="412">
      <c r="G412" s="31"/>
    </row>
    <row r="413">
      <c r="G413" s="31"/>
    </row>
    <row r="414">
      <c r="G414" s="31"/>
    </row>
    <row r="415">
      <c r="G415" s="31"/>
    </row>
    <row r="416">
      <c r="G416" s="31"/>
    </row>
    <row r="417">
      <c r="G417" s="31"/>
    </row>
    <row r="418">
      <c r="G418" s="31"/>
    </row>
    <row r="419">
      <c r="G419" s="31"/>
    </row>
    <row r="420">
      <c r="G420" s="31"/>
    </row>
    <row r="421">
      <c r="G421" s="31"/>
    </row>
    <row r="422">
      <c r="G422" s="31"/>
    </row>
    <row r="423">
      <c r="G423" s="31"/>
    </row>
    <row r="424">
      <c r="G424" s="31"/>
    </row>
    <row r="425">
      <c r="G425" s="31"/>
    </row>
    <row r="426">
      <c r="G426" s="31"/>
    </row>
    <row r="427">
      <c r="G427" s="31"/>
    </row>
    <row r="428">
      <c r="G428" s="31"/>
    </row>
    <row r="429">
      <c r="G429" s="31"/>
    </row>
    <row r="430">
      <c r="G430" s="31"/>
    </row>
    <row r="431">
      <c r="G431" s="31"/>
    </row>
    <row r="432">
      <c r="G432" s="31"/>
    </row>
    <row r="433">
      <c r="G433" s="31"/>
    </row>
    <row r="434">
      <c r="G434" s="31"/>
    </row>
    <row r="435">
      <c r="G435" s="31"/>
    </row>
    <row r="436">
      <c r="G436" s="31"/>
    </row>
    <row r="437">
      <c r="G437" s="31"/>
    </row>
    <row r="438">
      <c r="G438" s="31"/>
    </row>
    <row r="439">
      <c r="G439" s="31"/>
    </row>
    <row r="440">
      <c r="G440" s="31"/>
    </row>
    <row r="441">
      <c r="G441" s="31"/>
    </row>
    <row r="442">
      <c r="G442" s="31"/>
    </row>
    <row r="443">
      <c r="G443" s="31"/>
    </row>
    <row r="444">
      <c r="G444" s="31"/>
    </row>
    <row r="445">
      <c r="G445" s="31"/>
    </row>
    <row r="446">
      <c r="G446" s="31"/>
    </row>
    <row r="447">
      <c r="G447" s="31"/>
    </row>
    <row r="448">
      <c r="G448" s="31"/>
    </row>
    <row r="449">
      <c r="G449" s="31"/>
    </row>
    <row r="450">
      <c r="G450" s="31"/>
    </row>
    <row r="451">
      <c r="G451" s="31"/>
    </row>
    <row r="452">
      <c r="G452" s="31"/>
    </row>
    <row r="453">
      <c r="G453" s="31"/>
    </row>
    <row r="454">
      <c r="G454" s="31"/>
    </row>
    <row r="455">
      <c r="G455" s="31"/>
    </row>
    <row r="456">
      <c r="G456" s="31"/>
    </row>
    <row r="457">
      <c r="G457" s="31"/>
    </row>
    <row r="458">
      <c r="G458" s="31"/>
    </row>
    <row r="459">
      <c r="G459" s="31"/>
    </row>
    <row r="460">
      <c r="G460" s="31"/>
    </row>
    <row r="461">
      <c r="G461" s="31"/>
    </row>
    <row r="462">
      <c r="G462" s="31"/>
    </row>
    <row r="463">
      <c r="G463" s="31"/>
    </row>
    <row r="464">
      <c r="G464" s="31"/>
    </row>
    <row r="465">
      <c r="G465" s="31"/>
    </row>
    <row r="466">
      <c r="G466" s="31"/>
    </row>
    <row r="467">
      <c r="G467" s="31"/>
    </row>
    <row r="468">
      <c r="G468" s="31"/>
    </row>
    <row r="469">
      <c r="G469" s="31"/>
    </row>
    <row r="470">
      <c r="G470" s="31"/>
    </row>
    <row r="471">
      <c r="G471" s="31"/>
    </row>
    <row r="472">
      <c r="G472" s="31"/>
    </row>
    <row r="473">
      <c r="G473" s="31"/>
    </row>
    <row r="474">
      <c r="G474" s="31"/>
    </row>
    <row r="475">
      <c r="G475" s="31"/>
    </row>
    <row r="476">
      <c r="G476" s="31"/>
    </row>
    <row r="477">
      <c r="G477" s="31"/>
    </row>
    <row r="478">
      <c r="G478" s="31"/>
    </row>
    <row r="479">
      <c r="G479" s="31"/>
    </row>
    <row r="480">
      <c r="G480" s="31"/>
    </row>
    <row r="481">
      <c r="G481" s="31"/>
    </row>
    <row r="482">
      <c r="G482" s="31"/>
    </row>
    <row r="483">
      <c r="G483" s="31"/>
    </row>
    <row r="484">
      <c r="G484" s="31"/>
    </row>
    <row r="485">
      <c r="G485" s="31"/>
    </row>
    <row r="486">
      <c r="G486" s="31"/>
    </row>
    <row r="487">
      <c r="G487" s="31"/>
    </row>
    <row r="488">
      <c r="G488" s="31"/>
    </row>
    <row r="489">
      <c r="G489" s="31"/>
    </row>
    <row r="490">
      <c r="G490" s="31"/>
    </row>
    <row r="491">
      <c r="G491" s="31"/>
    </row>
    <row r="492">
      <c r="G492" s="31"/>
    </row>
    <row r="493">
      <c r="G493" s="31"/>
    </row>
    <row r="494">
      <c r="G494" s="31"/>
    </row>
    <row r="495">
      <c r="G495" s="31"/>
    </row>
    <row r="496">
      <c r="G496" s="31"/>
    </row>
    <row r="497">
      <c r="G497" s="31"/>
    </row>
    <row r="498">
      <c r="G498" s="31"/>
    </row>
    <row r="499">
      <c r="G499" s="31"/>
    </row>
    <row r="500">
      <c r="G500" s="31"/>
    </row>
    <row r="501">
      <c r="G501" s="31"/>
    </row>
    <row r="502">
      <c r="G502" s="31"/>
    </row>
    <row r="503">
      <c r="G503" s="31"/>
    </row>
    <row r="504">
      <c r="G504" s="31"/>
    </row>
    <row r="505">
      <c r="G505" s="31"/>
    </row>
    <row r="506">
      <c r="G506" s="31"/>
    </row>
    <row r="507">
      <c r="G507" s="31"/>
    </row>
    <row r="508">
      <c r="G508" s="31"/>
    </row>
    <row r="509">
      <c r="G509" s="31"/>
    </row>
    <row r="510">
      <c r="G510" s="31"/>
    </row>
    <row r="511">
      <c r="G511" s="31"/>
    </row>
    <row r="512">
      <c r="G512" s="31"/>
    </row>
    <row r="513">
      <c r="G513" s="31"/>
    </row>
    <row r="514">
      <c r="G514" s="31"/>
    </row>
    <row r="515">
      <c r="G515" s="31"/>
    </row>
    <row r="516">
      <c r="G516" s="31"/>
    </row>
    <row r="517">
      <c r="G517" s="31"/>
    </row>
    <row r="518">
      <c r="G518" s="31"/>
    </row>
    <row r="519">
      <c r="G519" s="31"/>
    </row>
    <row r="520">
      <c r="G520" s="31"/>
    </row>
    <row r="521">
      <c r="G521" s="31"/>
    </row>
    <row r="522">
      <c r="G522" s="31"/>
    </row>
    <row r="523">
      <c r="G523" s="31"/>
    </row>
    <row r="524">
      <c r="G524" s="31"/>
    </row>
    <row r="525">
      <c r="G525" s="31"/>
    </row>
    <row r="526">
      <c r="G526" s="31"/>
    </row>
    <row r="527">
      <c r="G527" s="31"/>
    </row>
    <row r="528">
      <c r="G528" s="31"/>
    </row>
    <row r="529">
      <c r="G529" s="31"/>
    </row>
    <row r="530">
      <c r="G530" s="31"/>
    </row>
    <row r="531">
      <c r="G531" s="31"/>
    </row>
    <row r="532">
      <c r="G532" s="31"/>
    </row>
    <row r="533">
      <c r="G533" s="31"/>
    </row>
    <row r="534">
      <c r="G534" s="31"/>
    </row>
    <row r="535">
      <c r="G535" s="31"/>
    </row>
    <row r="536">
      <c r="G536" s="31"/>
    </row>
    <row r="537">
      <c r="G537" s="31"/>
    </row>
    <row r="538">
      <c r="G538" s="31"/>
    </row>
    <row r="539">
      <c r="G539" s="31"/>
    </row>
    <row r="540">
      <c r="G540" s="31"/>
    </row>
    <row r="541">
      <c r="G541" s="31"/>
    </row>
    <row r="542">
      <c r="G542" s="31"/>
    </row>
    <row r="543">
      <c r="G543" s="31"/>
    </row>
    <row r="544">
      <c r="G544" s="31"/>
    </row>
    <row r="545">
      <c r="G545" s="31"/>
    </row>
    <row r="546">
      <c r="G546" s="31"/>
    </row>
    <row r="547">
      <c r="G547" s="31"/>
    </row>
    <row r="548">
      <c r="G548" s="31"/>
    </row>
    <row r="549">
      <c r="G549" s="31"/>
    </row>
    <row r="550">
      <c r="G550" s="31"/>
    </row>
    <row r="551">
      <c r="G551" s="31"/>
    </row>
    <row r="552">
      <c r="G552" s="31"/>
    </row>
    <row r="553">
      <c r="G553" s="31"/>
    </row>
    <row r="554">
      <c r="G554" s="31"/>
    </row>
    <row r="555">
      <c r="G555" s="31"/>
    </row>
    <row r="556">
      <c r="G556" s="31"/>
    </row>
    <row r="557">
      <c r="G557" s="31"/>
    </row>
    <row r="558">
      <c r="G558" s="31"/>
    </row>
    <row r="559">
      <c r="G559" s="31"/>
    </row>
    <row r="560">
      <c r="G560" s="31"/>
    </row>
    <row r="561">
      <c r="G561" s="31"/>
    </row>
    <row r="562">
      <c r="G562" s="31"/>
    </row>
    <row r="563">
      <c r="G563" s="31"/>
    </row>
    <row r="564">
      <c r="G564" s="31"/>
    </row>
    <row r="565">
      <c r="G565" s="31"/>
    </row>
    <row r="566">
      <c r="G566" s="31"/>
    </row>
    <row r="567">
      <c r="G567" s="31"/>
    </row>
    <row r="568">
      <c r="G568" s="31"/>
    </row>
    <row r="569">
      <c r="G569" s="31"/>
    </row>
    <row r="570">
      <c r="G570" s="31"/>
    </row>
    <row r="571">
      <c r="G571" s="31"/>
    </row>
    <row r="572">
      <c r="G572" s="31"/>
    </row>
    <row r="573">
      <c r="G573" s="31"/>
    </row>
    <row r="574">
      <c r="G574" s="31"/>
    </row>
    <row r="575">
      <c r="G575" s="31"/>
    </row>
    <row r="576">
      <c r="G576" s="31"/>
    </row>
    <row r="577">
      <c r="G577" s="31"/>
    </row>
    <row r="578">
      <c r="G578" s="31"/>
    </row>
    <row r="579">
      <c r="G579" s="31"/>
    </row>
    <row r="580">
      <c r="G580" s="31"/>
    </row>
    <row r="581">
      <c r="G581" s="31"/>
    </row>
    <row r="582">
      <c r="G582" s="31"/>
    </row>
    <row r="583">
      <c r="G583" s="31"/>
    </row>
    <row r="584">
      <c r="G584" s="31"/>
    </row>
    <row r="585">
      <c r="G585" s="31"/>
    </row>
    <row r="586">
      <c r="G586" s="31"/>
    </row>
    <row r="587">
      <c r="G587" s="31"/>
    </row>
    <row r="588">
      <c r="G588" s="31"/>
    </row>
    <row r="589">
      <c r="G589" s="31"/>
    </row>
    <row r="590">
      <c r="G590" s="31"/>
    </row>
    <row r="591">
      <c r="G591" s="31"/>
    </row>
    <row r="592">
      <c r="G592" s="31"/>
    </row>
    <row r="593">
      <c r="G593" s="31"/>
    </row>
    <row r="594">
      <c r="G594" s="31"/>
    </row>
    <row r="595">
      <c r="G595" s="31"/>
    </row>
    <row r="596">
      <c r="G596" s="31"/>
    </row>
    <row r="597">
      <c r="G597" s="31"/>
    </row>
    <row r="598">
      <c r="G598" s="31"/>
    </row>
    <row r="599">
      <c r="G599" s="31"/>
    </row>
    <row r="600">
      <c r="G600" s="31"/>
    </row>
    <row r="601">
      <c r="G601" s="31"/>
    </row>
    <row r="602">
      <c r="G602" s="31"/>
    </row>
    <row r="603">
      <c r="G603" s="31"/>
    </row>
    <row r="604">
      <c r="G604" s="31"/>
    </row>
    <row r="605">
      <c r="G605" s="31"/>
    </row>
    <row r="606">
      <c r="G606" s="31"/>
    </row>
    <row r="607">
      <c r="G607" s="31"/>
    </row>
    <row r="608">
      <c r="G608" s="31"/>
    </row>
    <row r="609">
      <c r="G609" s="31"/>
    </row>
    <row r="610">
      <c r="G610" s="31"/>
    </row>
    <row r="611">
      <c r="G611" s="31"/>
    </row>
    <row r="612">
      <c r="G612" s="31"/>
    </row>
    <row r="613">
      <c r="G613" s="31"/>
    </row>
    <row r="614">
      <c r="G614" s="31"/>
    </row>
    <row r="615">
      <c r="G615" s="31"/>
    </row>
    <row r="616">
      <c r="G616" s="31"/>
    </row>
    <row r="617">
      <c r="G617" s="31"/>
    </row>
    <row r="618">
      <c r="G618" s="31"/>
    </row>
    <row r="619">
      <c r="G619" s="31"/>
    </row>
    <row r="620">
      <c r="G620" s="31"/>
    </row>
    <row r="621">
      <c r="G621" s="31"/>
    </row>
    <row r="622">
      <c r="G622" s="31"/>
    </row>
    <row r="623">
      <c r="G623" s="31"/>
    </row>
    <row r="624">
      <c r="G624" s="31"/>
    </row>
    <row r="625">
      <c r="G625" s="31"/>
    </row>
    <row r="626">
      <c r="G626" s="31"/>
    </row>
    <row r="627">
      <c r="G627" s="31"/>
    </row>
    <row r="628">
      <c r="G628" s="31"/>
    </row>
    <row r="629">
      <c r="G629" s="31"/>
    </row>
    <row r="630">
      <c r="G630" s="31"/>
    </row>
    <row r="631">
      <c r="G631" s="31"/>
    </row>
    <row r="632">
      <c r="G632" s="31"/>
    </row>
    <row r="633">
      <c r="G633" s="31"/>
    </row>
    <row r="634">
      <c r="G634" s="31"/>
    </row>
    <row r="635">
      <c r="G635" s="31"/>
    </row>
    <row r="636">
      <c r="G636" s="31"/>
    </row>
    <row r="637">
      <c r="G637" s="31"/>
    </row>
    <row r="638">
      <c r="G638" s="31"/>
    </row>
    <row r="639">
      <c r="G639" s="31"/>
    </row>
    <row r="640">
      <c r="G640" s="31"/>
    </row>
    <row r="641">
      <c r="G641" s="31"/>
    </row>
    <row r="642">
      <c r="G642" s="31"/>
    </row>
    <row r="643">
      <c r="G643" s="31"/>
    </row>
    <row r="644">
      <c r="G644" s="31"/>
    </row>
    <row r="645">
      <c r="G645" s="31"/>
    </row>
    <row r="646">
      <c r="G646" s="31"/>
    </row>
    <row r="647">
      <c r="G647" s="31"/>
    </row>
    <row r="648">
      <c r="G648" s="31"/>
    </row>
    <row r="649">
      <c r="G649" s="31"/>
    </row>
    <row r="650">
      <c r="G650" s="31"/>
    </row>
    <row r="651">
      <c r="G651" s="31"/>
    </row>
    <row r="652">
      <c r="G652" s="31"/>
    </row>
    <row r="653">
      <c r="G653" s="31"/>
    </row>
    <row r="654">
      <c r="G654" s="31"/>
    </row>
    <row r="655">
      <c r="G655" s="31"/>
    </row>
    <row r="656">
      <c r="G656" s="31"/>
    </row>
    <row r="657">
      <c r="G657" s="31"/>
    </row>
    <row r="658">
      <c r="G658" s="31"/>
    </row>
    <row r="659">
      <c r="G659" s="31"/>
    </row>
    <row r="660">
      <c r="G660" s="31"/>
    </row>
    <row r="661">
      <c r="G661" s="31"/>
    </row>
    <row r="662">
      <c r="G662" s="31"/>
    </row>
    <row r="663">
      <c r="G663" s="31"/>
    </row>
    <row r="664">
      <c r="G664" s="31"/>
    </row>
    <row r="665">
      <c r="G665" s="31"/>
    </row>
    <row r="666">
      <c r="G666" s="31"/>
    </row>
    <row r="667">
      <c r="G667" s="31"/>
    </row>
    <row r="668">
      <c r="G668" s="31"/>
    </row>
    <row r="669">
      <c r="G669" s="31"/>
    </row>
    <row r="670">
      <c r="G670" s="31"/>
    </row>
    <row r="671">
      <c r="G671" s="31"/>
    </row>
    <row r="672">
      <c r="G672" s="31"/>
    </row>
    <row r="673">
      <c r="G673" s="31"/>
    </row>
    <row r="674">
      <c r="G674" s="31"/>
    </row>
    <row r="675">
      <c r="G675" s="31"/>
    </row>
    <row r="676">
      <c r="G676" s="31"/>
    </row>
    <row r="677">
      <c r="G677" s="31"/>
    </row>
    <row r="678">
      <c r="G678" s="31"/>
    </row>
    <row r="679">
      <c r="G679" s="31"/>
    </row>
    <row r="680">
      <c r="G680" s="31"/>
    </row>
    <row r="681">
      <c r="G681" s="31"/>
    </row>
    <row r="682">
      <c r="G682" s="31"/>
    </row>
    <row r="683">
      <c r="G683" s="31"/>
    </row>
    <row r="684">
      <c r="G684" s="31"/>
    </row>
    <row r="685">
      <c r="G685" s="31"/>
    </row>
    <row r="686">
      <c r="G686" s="31"/>
    </row>
    <row r="687">
      <c r="G687" s="31"/>
    </row>
    <row r="688">
      <c r="G688" s="31"/>
    </row>
    <row r="689">
      <c r="G689" s="31"/>
    </row>
    <row r="690">
      <c r="G690" s="31"/>
    </row>
    <row r="691">
      <c r="G691" s="31"/>
    </row>
    <row r="692">
      <c r="G692" s="31"/>
    </row>
    <row r="693">
      <c r="G693" s="31"/>
    </row>
    <row r="694">
      <c r="G694" s="31"/>
    </row>
    <row r="695">
      <c r="G695" s="31"/>
    </row>
    <row r="696">
      <c r="G696" s="31"/>
    </row>
    <row r="697">
      <c r="G697" s="31"/>
    </row>
    <row r="698">
      <c r="G698" s="31"/>
    </row>
    <row r="699">
      <c r="G699" s="31"/>
    </row>
    <row r="700">
      <c r="G700" s="31"/>
    </row>
    <row r="701">
      <c r="G701" s="31"/>
    </row>
    <row r="702">
      <c r="G702" s="31"/>
    </row>
    <row r="703">
      <c r="G703" s="31"/>
    </row>
    <row r="704">
      <c r="G704" s="31"/>
    </row>
    <row r="705">
      <c r="G705" s="31"/>
    </row>
    <row r="706">
      <c r="G706" s="31"/>
    </row>
    <row r="707">
      <c r="G707" s="31"/>
    </row>
    <row r="708">
      <c r="G708" s="31"/>
    </row>
    <row r="709">
      <c r="G709" s="31"/>
    </row>
    <row r="710">
      <c r="G710" s="31"/>
    </row>
    <row r="711">
      <c r="G711" s="31"/>
    </row>
    <row r="712">
      <c r="G712" s="31"/>
    </row>
    <row r="713">
      <c r="G713" s="31"/>
    </row>
    <row r="714">
      <c r="G714" s="31"/>
    </row>
    <row r="715">
      <c r="G715" s="31"/>
    </row>
    <row r="716">
      <c r="G716" s="31"/>
    </row>
    <row r="717">
      <c r="G717" s="31"/>
    </row>
    <row r="718">
      <c r="G718" s="31"/>
    </row>
    <row r="719">
      <c r="G719" s="31"/>
    </row>
    <row r="720">
      <c r="G720" s="31"/>
    </row>
    <row r="721">
      <c r="G721" s="31"/>
    </row>
    <row r="722">
      <c r="G722" s="31"/>
    </row>
    <row r="723">
      <c r="G723" s="31"/>
    </row>
    <row r="724">
      <c r="G724" s="31"/>
    </row>
    <row r="725">
      <c r="G725" s="31"/>
    </row>
    <row r="726">
      <c r="G726" s="31"/>
    </row>
    <row r="727">
      <c r="G727" s="31"/>
    </row>
    <row r="728">
      <c r="G728" s="31"/>
    </row>
    <row r="729">
      <c r="G729" s="31"/>
    </row>
    <row r="730">
      <c r="G730" s="31"/>
    </row>
    <row r="731">
      <c r="G731" s="31"/>
    </row>
    <row r="732">
      <c r="G732" s="31"/>
    </row>
    <row r="733">
      <c r="G733" s="31"/>
    </row>
    <row r="734">
      <c r="G734" s="31"/>
    </row>
    <row r="735">
      <c r="G735" s="31"/>
    </row>
    <row r="736">
      <c r="G736" s="31"/>
    </row>
    <row r="737">
      <c r="G737" s="31"/>
    </row>
    <row r="738">
      <c r="G738" s="31"/>
    </row>
    <row r="739">
      <c r="G739" s="31"/>
    </row>
    <row r="740">
      <c r="G740" s="31"/>
    </row>
    <row r="741">
      <c r="G741" s="31"/>
    </row>
    <row r="742">
      <c r="G742" s="31"/>
    </row>
    <row r="743">
      <c r="G743" s="31"/>
    </row>
    <row r="744">
      <c r="G744" s="31"/>
    </row>
    <row r="745">
      <c r="G745" s="31"/>
    </row>
    <row r="746">
      <c r="G746" s="31"/>
    </row>
    <row r="747">
      <c r="G747" s="31"/>
    </row>
    <row r="748">
      <c r="G748" s="31"/>
    </row>
    <row r="749">
      <c r="G749" s="31"/>
    </row>
    <row r="750">
      <c r="G750" s="31"/>
    </row>
    <row r="751">
      <c r="G751" s="31"/>
    </row>
    <row r="752">
      <c r="G752" s="31"/>
    </row>
    <row r="753">
      <c r="G753" s="31"/>
    </row>
    <row r="754">
      <c r="G754" s="31"/>
    </row>
    <row r="755">
      <c r="G755" s="31"/>
    </row>
    <row r="756">
      <c r="G756" s="31"/>
    </row>
    <row r="757">
      <c r="G757" s="31"/>
    </row>
    <row r="758">
      <c r="G758" s="31"/>
    </row>
    <row r="759">
      <c r="G759" s="31"/>
    </row>
    <row r="760">
      <c r="G760" s="31"/>
    </row>
    <row r="761">
      <c r="G761" s="31"/>
    </row>
    <row r="762">
      <c r="G762" s="31"/>
    </row>
    <row r="763">
      <c r="G763" s="31"/>
    </row>
    <row r="764">
      <c r="G764" s="31"/>
    </row>
    <row r="765">
      <c r="G765" s="31"/>
    </row>
    <row r="766">
      <c r="G766" s="31"/>
    </row>
    <row r="767">
      <c r="G767" s="31"/>
    </row>
    <row r="768">
      <c r="G768" s="31"/>
    </row>
    <row r="769">
      <c r="G769" s="31"/>
    </row>
    <row r="770">
      <c r="G770" s="31"/>
    </row>
    <row r="771">
      <c r="G771" s="31"/>
    </row>
    <row r="772">
      <c r="G772" s="31"/>
    </row>
    <row r="773">
      <c r="G773" s="31"/>
    </row>
    <row r="774">
      <c r="G774" s="31"/>
    </row>
    <row r="775">
      <c r="G775" s="31"/>
    </row>
    <row r="776">
      <c r="G776" s="31"/>
    </row>
    <row r="777">
      <c r="G777" s="31"/>
    </row>
    <row r="778">
      <c r="G778" s="31"/>
    </row>
    <row r="779">
      <c r="G779" s="31"/>
    </row>
    <row r="780">
      <c r="G780" s="31"/>
    </row>
    <row r="781">
      <c r="G781" s="31"/>
    </row>
    <row r="782">
      <c r="G782" s="31"/>
    </row>
    <row r="783">
      <c r="G783" s="31"/>
    </row>
    <row r="784">
      <c r="G784" s="31"/>
    </row>
    <row r="785">
      <c r="G785" s="31"/>
    </row>
    <row r="786">
      <c r="G786" s="31"/>
    </row>
    <row r="787">
      <c r="G787" s="31"/>
    </row>
    <row r="788">
      <c r="G788" s="31"/>
    </row>
    <row r="789">
      <c r="G789" s="31"/>
    </row>
    <row r="790">
      <c r="G790" s="31"/>
    </row>
    <row r="791">
      <c r="G791" s="31"/>
    </row>
    <row r="792">
      <c r="G792" s="31"/>
    </row>
    <row r="793">
      <c r="G793" s="31"/>
    </row>
    <row r="794">
      <c r="G794" s="31"/>
    </row>
    <row r="795">
      <c r="G795" s="31"/>
    </row>
    <row r="796">
      <c r="G796" s="31"/>
    </row>
    <row r="797">
      <c r="G797" s="31"/>
    </row>
    <row r="798">
      <c r="G798" s="31"/>
    </row>
    <row r="799">
      <c r="G799" s="31"/>
    </row>
    <row r="800">
      <c r="G800" s="31"/>
    </row>
    <row r="801">
      <c r="G801" s="31"/>
    </row>
    <row r="802">
      <c r="G802" s="31"/>
    </row>
    <row r="803">
      <c r="G803" s="31"/>
    </row>
    <row r="804">
      <c r="G804" s="31"/>
    </row>
    <row r="805">
      <c r="G805" s="31"/>
    </row>
    <row r="806">
      <c r="G806" s="31"/>
    </row>
    <row r="807">
      <c r="G807" s="31"/>
    </row>
    <row r="808">
      <c r="G808" s="31"/>
    </row>
    <row r="809">
      <c r="G809" s="31"/>
    </row>
    <row r="810">
      <c r="G810" s="31"/>
    </row>
    <row r="811">
      <c r="G811" s="31"/>
    </row>
    <row r="812">
      <c r="G812" s="31"/>
    </row>
    <row r="813">
      <c r="G813" s="31"/>
    </row>
    <row r="814">
      <c r="G814" s="31"/>
    </row>
    <row r="815">
      <c r="G815" s="31"/>
    </row>
    <row r="816">
      <c r="G816" s="31"/>
    </row>
    <row r="817">
      <c r="G817" s="31"/>
    </row>
    <row r="818">
      <c r="G818" s="31"/>
    </row>
    <row r="819">
      <c r="G819" s="31"/>
    </row>
    <row r="820">
      <c r="G820" s="31"/>
    </row>
    <row r="821">
      <c r="G821" s="31"/>
    </row>
    <row r="822">
      <c r="G822" s="31"/>
    </row>
    <row r="823">
      <c r="G823" s="31"/>
    </row>
    <row r="824">
      <c r="G824" s="31"/>
    </row>
    <row r="825">
      <c r="G825" s="31"/>
    </row>
    <row r="826">
      <c r="G826" s="31"/>
    </row>
    <row r="827">
      <c r="G827" s="31"/>
    </row>
    <row r="828">
      <c r="G828" s="31"/>
    </row>
    <row r="829">
      <c r="G829" s="31"/>
    </row>
    <row r="830">
      <c r="G830" s="31"/>
    </row>
    <row r="831">
      <c r="G831" s="31"/>
    </row>
    <row r="832">
      <c r="G832" s="31"/>
    </row>
    <row r="833">
      <c r="G833" s="31"/>
    </row>
    <row r="834">
      <c r="G834" s="31"/>
    </row>
    <row r="835">
      <c r="G835" s="31"/>
    </row>
    <row r="836">
      <c r="G836" s="31"/>
    </row>
    <row r="837">
      <c r="G837" s="31"/>
    </row>
    <row r="838">
      <c r="G838" s="31"/>
    </row>
    <row r="839">
      <c r="G839" s="31"/>
    </row>
    <row r="840">
      <c r="G840" s="31"/>
    </row>
    <row r="841">
      <c r="G841" s="31"/>
    </row>
    <row r="842">
      <c r="G842" s="31"/>
    </row>
    <row r="843">
      <c r="G843" s="31"/>
    </row>
    <row r="844">
      <c r="G844" s="31"/>
    </row>
    <row r="845">
      <c r="G845" s="31"/>
    </row>
    <row r="846">
      <c r="G846" s="31"/>
    </row>
    <row r="847">
      <c r="G847" s="31"/>
    </row>
    <row r="848">
      <c r="G848" s="31"/>
    </row>
    <row r="849">
      <c r="G849" s="31"/>
    </row>
    <row r="850">
      <c r="G850" s="31"/>
    </row>
    <row r="851">
      <c r="G851" s="31"/>
    </row>
    <row r="852">
      <c r="G852" s="31"/>
    </row>
    <row r="853">
      <c r="G853" s="31"/>
    </row>
    <row r="854">
      <c r="G854" s="31"/>
    </row>
    <row r="855">
      <c r="G855" s="31"/>
    </row>
    <row r="856">
      <c r="G856" s="31"/>
    </row>
    <row r="857">
      <c r="G857" s="31"/>
    </row>
    <row r="858">
      <c r="G858" s="31"/>
    </row>
    <row r="859">
      <c r="G859" s="31"/>
    </row>
    <row r="860">
      <c r="G860" s="31"/>
    </row>
    <row r="861">
      <c r="G861" s="31"/>
    </row>
    <row r="862">
      <c r="G862" s="31"/>
    </row>
    <row r="863">
      <c r="G863" s="31"/>
    </row>
    <row r="864">
      <c r="G864" s="31"/>
    </row>
    <row r="865">
      <c r="G865" s="31"/>
    </row>
    <row r="866">
      <c r="G866" s="31"/>
    </row>
    <row r="867">
      <c r="G867" s="31"/>
    </row>
    <row r="868">
      <c r="G868" s="31"/>
    </row>
    <row r="869">
      <c r="G869" s="31"/>
    </row>
    <row r="870">
      <c r="G870" s="31"/>
    </row>
    <row r="871">
      <c r="G871" s="31"/>
    </row>
    <row r="872">
      <c r="G872" s="31"/>
    </row>
    <row r="873">
      <c r="G873" s="31"/>
    </row>
    <row r="874">
      <c r="G874" s="31"/>
    </row>
    <row r="875">
      <c r="G875" s="31"/>
    </row>
    <row r="876">
      <c r="G876" s="31"/>
    </row>
    <row r="877">
      <c r="G877" s="31"/>
    </row>
    <row r="878">
      <c r="G878" s="31"/>
    </row>
    <row r="879">
      <c r="G879" s="31"/>
    </row>
    <row r="880">
      <c r="G880" s="31"/>
    </row>
    <row r="881">
      <c r="G881" s="31"/>
    </row>
    <row r="882">
      <c r="G882" s="31"/>
    </row>
    <row r="883">
      <c r="G883" s="31"/>
    </row>
    <row r="884">
      <c r="G884" s="31"/>
    </row>
    <row r="885">
      <c r="G885" s="31"/>
    </row>
    <row r="886">
      <c r="G886" s="31"/>
    </row>
    <row r="887">
      <c r="G887" s="31"/>
    </row>
    <row r="888">
      <c r="G888" s="31"/>
    </row>
    <row r="889">
      <c r="G889" s="31"/>
    </row>
    <row r="890">
      <c r="G890" s="31"/>
    </row>
    <row r="891">
      <c r="G891" s="31"/>
    </row>
    <row r="892">
      <c r="G892" s="31"/>
    </row>
    <row r="893">
      <c r="G893" s="31"/>
    </row>
    <row r="894">
      <c r="G894" s="31"/>
    </row>
    <row r="895">
      <c r="G895" s="31"/>
    </row>
    <row r="896">
      <c r="G896" s="31"/>
    </row>
    <row r="897">
      <c r="G897" s="31"/>
    </row>
    <row r="898">
      <c r="G898" s="31"/>
    </row>
    <row r="899">
      <c r="G899" s="31"/>
    </row>
    <row r="900">
      <c r="G900" s="31"/>
    </row>
    <row r="901">
      <c r="G901" s="31"/>
    </row>
    <row r="902">
      <c r="G902" s="31"/>
    </row>
    <row r="903">
      <c r="G903" s="31"/>
    </row>
    <row r="904">
      <c r="G904" s="31"/>
    </row>
    <row r="905">
      <c r="G905" s="31"/>
    </row>
    <row r="906">
      <c r="G906" s="31"/>
    </row>
    <row r="907">
      <c r="G907" s="31"/>
    </row>
    <row r="908">
      <c r="G908" s="31"/>
    </row>
    <row r="909">
      <c r="G909" s="31"/>
    </row>
    <row r="910">
      <c r="G910" s="31"/>
    </row>
    <row r="911">
      <c r="G911" s="31"/>
    </row>
    <row r="912">
      <c r="G912" s="31"/>
    </row>
    <row r="913">
      <c r="G913" s="31"/>
    </row>
    <row r="914">
      <c r="G914" s="31"/>
    </row>
    <row r="915">
      <c r="G915" s="31"/>
    </row>
    <row r="916">
      <c r="G916" s="31"/>
    </row>
    <row r="917">
      <c r="G917" s="31"/>
    </row>
    <row r="918">
      <c r="G918" s="31"/>
    </row>
    <row r="919">
      <c r="G919" s="31"/>
    </row>
    <row r="920">
      <c r="G920" s="31"/>
    </row>
    <row r="921">
      <c r="G921" s="31"/>
    </row>
    <row r="922">
      <c r="G922" s="31"/>
    </row>
    <row r="923">
      <c r="G923" s="31"/>
    </row>
    <row r="924">
      <c r="G924" s="31"/>
    </row>
    <row r="925">
      <c r="G925" s="31"/>
    </row>
    <row r="926">
      <c r="G926" s="31"/>
    </row>
    <row r="927">
      <c r="G927" s="31"/>
    </row>
    <row r="928">
      <c r="G928" s="31"/>
    </row>
    <row r="929">
      <c r="G929" s="31"/>
    </row>
    <row r="930">
      <c r="G930" s="31"/>
    </row>
    <row r="931">
      <c r="G931" s="31"/>
    </row>
    <row r="932">
      <c r="G932" s="31"/>
    </row>
    <row r="933">
      <c r="G933" s="31"/>
    </row>
    <row r="934">
      <c r="G934" s="31"/>
    </row>
    <row r="935">
      <c r="G935" s="31"/>
    </row>
    <row r="936">
      <c r="G936" s="31"/>
    </row>
    <row r="937">
      <c r="G937" s="31"/>
    </row>
    <row r="938">
      <c r="G938" s="31"/>
    </row>
    <row r="939">
      <c r="G939" s="31"/>
    </row>
    <row r="940">
      <c r="G940" s="31"/>
    </row>
    <row r="941">
      <c r="G941" s="31"/>
    </row>
    <row r="942">
      <c r="G942" s="31"/>
    </row>
    <row r="943">
      <c r="G943" s="31"/>
    </row>
    <row r="944">
      <c r="G944" s="31"/>
    </row>
    <row r="945">
      <c r="G945" s="31"/>
    </row>
    <row r="946">
      <c r="G946" s="31"/>
    </row>
    <row r="947">
      <c r="G947" s="31"/>
    </row>
    <row r="948">
      <c r="G948" s="31"/>
    </row>
    <row r="949">
      <c r="G949" s="31"/>
    </row>
    <row r="950">
      <c r="G950" s="31"/>
    </row>
    <row r="951">
      <c r="G951" s="31"/>
    </row>
    <row r="952">
      <c r="G952" s="31"/>
    </row>
    <row r="953">
      <c r="G953" s="31"/>
    </row>
    <row r="954">
      <c r="G954" s="31"/>
    </row>
    <row r="955">
      <c r="G955" s="31"/>
    </row>
    <row r="956">
      <c r="G956" s="31"/>
    </row>
    <row r="957">
      <c r="G957" s="31"/>
    </row>
    <row r="958">
      <c r="G958" s="31"/>
    </row>
    <row r="959">
      <c r="G959" s="31"/>
    </row>
    <row r="960">
      <c r="G960" s="31"/>
    </row>
    <row r="961">
      <c r="G961" s="31"/>
    </row>
    <row r="962">
      <c r="G962" s="31"/>
    </row>
    <row r="963">
      <c r="G963" s="31"/>
    </row>
    <row r="964">
      <c r="G964" s="31"/>
    </row>
    <row r="965">
      <c r="G965" s="31"/>
    </row>
    <row r="966">
      <c r="G966" s="31"/>
    </row>
    <row r="967">
      <c r="G967" s="31"/>
    </row>
    <row r="968">
      <c r="G968" s="31"/>
    </row>
    <row r="969">
      <c r="G969" s="31"/>
    </row>
    <row r="970">
      <c r="G970" s="31"/>
    </row>
    <row r="971">
      <c r="G971" s="31"/>
    </row>
    <row r="972">
      <c r="G972" s="31"/>
    </row>
    <row r="973">
      <c r="G973" s="31"/>
    </row>
    <row r="974">
      <c r="G974" s="31"/>
    </row>
    <row r="975">
      <c r="G975" s="31"/>
    </row>
    <row r="976">
      <c r="G976" s="31"/>
    </row>
    <row r="977">
      <c r="G977" s="31"/>
    </row>
    <row r="978">
      <c r="G978" s="31"/>
    </row>
    <row r="979">
      <c r="G979" s="31"/>
    </row>
    <row r="980">
      <c r="G980" s="31"/>
    </row>
    <row r="981">
      <c r="G981" s="31"/>
    </row>
    <row r="982">
      <c r="G982" s="31"/>
    </row>
    <row r="983">
      <c r="G983" s="31"/>
    </row>
    <row r="984">
      <c r="G984" s="31"/>
    </row>
    <row r="985">
      <c r="G985" s="31"/>
    </row>
    <row r="986">
      <c r="G986" s="31"/>
    </row>
    <row r="987">
      <c r="G987" s="31"/>
    </row>
    <row r="988">
      <c r="G988" s="31"/>
    </row>
    <row r="989">
      <c r="G989" s="31"/>
    </row>
    <row r="990">
      <c r="G990" s="31"/>
    </row>
  </sheetData>
  <mergeCells count="5">
    <mergeCell ref="A1:A2"/>
    <mergeCell ref="B1:B2"/>
    <mergeCell ref="C1:C2"/>
    <mergeCell ref="D1:D2"/>
    <mergeCell ref="E1:E2"/>
  </mergeCells>
  <conditionalFormatting sqref="F3:AR29">
    <cfRule type="cellIs" dxfId="3" priority="1" operator="equal">
      <formula>1</formula>
    </cfRule>
  </conditionalFormatting>
  <conditionalFormatting sqref="F3:AR29">
    <cfRule type="cellIs" dxfId="4" priority="2" operator="equal">
      <formula>"R"</formula>
    </cfRule>
  </conditionalFormatting>
  <conditionalFormatting sqref="B3:C29">
    <cfRule type="cellIs" dxfId="5" priority="3" operator="greaterThanOrEqual">
      <formula>3</formula>
    </cfRule>
  </conditionalFormatting>
  <conditionalFormatting sqref="B3:B29">
    <cfRule type="cellIs" dxfId="6" priority="4" operator="lessThan">
      <formula>1</formula>
    </cfRule>
  </conditionalFormatting>
  <conditionalFormatting sqref="B3:B30 C3:C32">
    <cfRule type="cellIs" dxfId="7" priority="5" operator="equal">
      <formula>0</formula>
    </cfRule>
  </conditionalFormatting>
  <conditionalFormatting sqref="B3:C29">
    <cfRule type="cellIs" dxfId="8" priority="6" operator="lessThan">
      <formula>2</formula>
    </cfRule>
  </conditionalFormatting>
  <conditionalFormatting sqref="B3:C29">
    <cfRule type="cellIs" dxfId="9" priority="7" operator="lessThan">
      <formula>3</formula>
    </cfRule>
  </conditionalFormatting>
  <conditionalFormatting sqref="B3:B30 C3:C32">
    <cfRule type="containsBlanks" dxfId="6" priority="8">
      <formula>LEN(TRIM(B3))=0</formula>
    </cfRule>
  </conditionalFormatting>
  <conditionalFormatting sqref="F3:AR29">
    <cfRule type="cellIs" dxfId="10" priority="9" operator="equal">
      <formula>"R2"</formula>
    </cfRule>
  </conditionalFormatting>
  <conditionalFormatting sqref="F30:AR30">
    <cfRule type="cellIs" dxfId="7" priority="10" operator="lessThan">
      <formula>1</formula>
    </cfRule>
  </conditionalFormatting>
  <conditionalFormatting sqref="F30:AR30">
    <cfRule type="cellIs" dxfId="3" priority="11" operator="equal">
      <formula>1</formula>
    </cfRule>
  </conditionalFormatting>
  <conditionalFormatting sqref="F30:AR30">
    <cfRule type="cellIs" dxfId="11" priority="12" operator="greaterThan">
      <formula>1</formula>
    </cfRule>
  </conditionalFormatting>
  <conditionalFormatting sqref="D3:E30">
    <cfRule type="cellIs" dxfId="9" priority="13" operator="equal">
      <formula>1</formula>
    </cfRule>
  </conditionalFormatting>
  <conditionalFormatting sqref="F31:AR32">
    <cfRule type="cellIs" dxfId="7" priority="14" operator="lessThan">
      <formula>1</formula>
    </cfRule>
  </conditionalFormatting>
  <conditionalFormatting sqref="F31:AR32">
    <cfRule type="cellIs" dxfId="12" priority="15" operator="equal">
      <formula>1</formula>
    </cfRule>
  </conditionalFormatting>
  <conditionalFormatting sqref="F31:AR32">
    <cfRule type="cellIs" dxfId="11" priority="16" operator="greaterThan">
      <formula>1</formula>
    </cfRule>
  </conditionalFormatting>
  <conditionalFormatting sqref="D3:D29">
    <cfRule type="cellIs" dxfId="7" priority="17" operator="equal">
      <formula>0</formula>
    </cfRule>
  </conditionalFormatting>
  <conditionalFormatting sqref="D3:D29">
    <cfRule type="cellIs" dxfId="4" priority="18" operator="equal">
      <formula>2</formula>
    </cfRule>
  </conditionalFormatting>
  <conditionalFormatting sqref="E3:E29">
    <cfRule type="cellIs" dxfId="7" priority="19" operator="equal">
      <formula>0</formula>
    </cfRule>
  </conditionalFormatting>
  <conditionalFormatting sqref="E3:E29">
    <cfRule type="cellIs" dxfId="4" priority="20" operator="greaterThanOrEqual">
      <formula>2</formula>
    </cfRule>
  </conditionalFormatting>
  <conditionalFormatting sqref="C33">
    <cfRule type="notContainsBlanks" dxfId="3" priority="21">
      <formula>LEN(TRIM(C33))&gt;0</formula>
    </cfRule>
  </conditionalFormatting>
  <drawing r:id="rId2"/>
  <legacy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14.63"/>
    <col customWidth="1" hidden="1" min="2" max="2" width="11.38"/>
    <col customWidth="1" min="4" max="4" width="14.13"/>
    <col customWidth="1" min="6" max="8" width="8.63"/>
    <col customWidth="1" min="9" max="9" width="8.38"/>
    <col customWidth="1" min="10" max="10" width="8.25"/>
    <col customWidth="1" min="11" max="43" width="8.63"/>
    <col customWidth="1" min="44" max="45" width="9.5"/>
  </cols>
  <sheetData>
    <row r="1">
      <c r="A1" s="1" t="s">
        <v>0</v>
      </c>
      <c r="B1" s="1" t="s">
        <v>1</v>
      </c>
      <c r="C1" s="1" t="s">
        <v>2</v>
      </c>
      <c r="D1" s="1" t="s">
        <v>3</v>
      </c>
      <c r="E1" s="1" t="s">
        <v>4</v>
      </c>
      <c r="F1" s="2" t="s">
        <v>10</v>
      </c>
      <c r="G1" s="3" t="s">
        <v>11</v>
      </c>
      <c r="H1" s="4" t="s">
        <v>12</v>
      </c>
      <c r="I1" s="2" t="s">
        <v>13</v>
      </c>
      <c r="J1" s="2" t="s">
        <v>5</v>
      </c>
      <c r="K1" s="3" t="s">
        <v>6</v>
      </c>
      <c r="L1" s="4" t="s">
        <v>7</v>
      </c>
      <c r="M1" s="2" t="s">
        <v>8</v>
      </c>
      <c r="N1" s="2" t="s">
        <v>9</v>
      </c>
      <c r="O1" s="2" t="s">
        <v>10</v>
      </c>
      <c r="P1" s="2" t="s">
        <v>11</v>
      </c>
      <c r="Q1" s="3" t="s">
        <v>12</v>
      </c>
      <c r="R1" s="4" t="s">
        <v>13</v>
      </c>
      <c r="S1" s="2" t="s">
        <v>5</v>
      </c>
      <c r="T1" s="2" t="s">
        <v>6</v>
      </c>
      <c r="U1" s="3" t="s">
        <v>7</v>
      </c>
      <c r="V1" s="4" t="s">
        <v>8</v>
      </c>
      <c r="W1" s="2" t="s">
        <v>9</v>
      </c>
      <c r="X1" s="2" t="s">
        <v>10</v>
      </c>
      <c r="Y1" s="2" t="s">
        <v>11</v>
      </c>
      <c r="Z1" s="3" t="s">
        <v>12</v>
      </c>
      <c r="AA1" s="4" t="s">
        <v>13</v>
      </c>
      <c r="AB1" s="2" t="s">
        <v>5</v>
      </c>
      <c r="AC1" s="2" t="s">
        <v>6</v>
      </c>
      <c r="AD1" s="3" t="s">
        <v>7</v>
      </c>
      <c r="AE1" s="4" t="s">
        <v>8</v>
      </c>
      <c r="AF1" s="2" t="s">
        <v>9</v>
      </c>
      <c r="AG1" s="2" t="s">
        <v>10</v>
      </c>
      <c r="AH1" s="2" t="s">
        <v>11</v>
      </c>
      <c r="AI1" s="3" t="s">
        <v>12</v>
      </c>
      <c r="AJ1" s="4" t="s">
        <v>13</v>
      </c>
      <c r="AK1" s="2" t="s">
        <v>5</v>
      </c>
      <c r="AL1" s="2" t="s">
        <v>6</v>
      </c>
      <c r="AM1" s="3" t="s">
        <v>7</v>
      </c>
      <c r="AN1" s="4" t="s">
        <v>8</v>
      </c>
      <c r="AO1" s="2" t="s">
        <v>9</v>
      </c>
      <c r="AP1" s="2" t="s">
        <v>10</v>
      </c>
      <c r="AQ1" s="2" t="s">
        <v>11</v>
      </c>
      <c r="AR1" s="3" t="s">
        <v>155</v>
      </c>
      <c r="AS1" s="4" t="s">
        <v>156</v>
      </c>
    </row>
    <row r="2">
      <c r="F2" s="38">
        <v>45566.0</v>
      </c>
      <c r="G2" s="38">
        <v>45567.0</v>
      </c>
      <c r="H2" s="38">
        <v>45568.0</v>
      </c>
      <c r="I2" s="38">
        <v>45569.0</v>
      </c>
      <c r="J2" s="51" t="s">
        <v>157</v>
      </c>
      <c r="K2" s="51" t="s">
        <v>158</v>
      </c>
      <c r="L2" s="51" t="s">
        <v>159</v>
      </c>
      <c r="M2" s="51" t="s">
        <v>160</v>
      </c>
      <c r="N2" s="38">
        <v>45572.0</v>
      </c>
      <c r="O2" s="38">
        <v>45573.0</v>
      </c>
      <c r="P2" s="38">
        <v>45574.0</v>
      </c>
      <c r="Q2" s="38">
        <v>45575.0</v>
      </c>
      <c r="R2" s="38">
        <v>45576.0</v>
      </c>
      <c r="S2" s="51" t="s">
        <v>161</v>
      </c>
      <c r="T2" s="51" t="s">
        <v>162</v>
      </c>
      <c r="U2" s="51" t="s">
        <v>163</v>
      </c>
      <c r="V2" s="51" t="s">
        <v>164</v>
      </c>
      <c r="W2" s="38">
        <v>45579.0</v>
      </c>
      <c r="X2" s="38">
        <v>45580.0</v>
      </c>
      <c r="Y2" s="38">
        <v>45581.0</v>
      </c>
      <c r="Z2" s="38">
        <v>45582.0</v>
      </c>
      <c r="AA2" s="38">
        <v>45583.0</v>
      </c>
      <c r="AB2" s="51" t="s">
        <v>165</v>
      </c>
      <c r="AC2" s="51" t="s">
        <v>166</v>
      </c>
      <c r="AD2" s="51" t="s">
        <v>167</v>
      </c>
      <c r="AE2" s="51" t="s">
        <v>168</v>
      </c>
      <c r="AF2" s="38">
        <v>45586.0</v>
      </c>
      <c r="AG2" s="38">
        <v>45587.0</v>
      </c>
      <c r="AH2" s="38">
        <v>45588.0</v>
      </c>
      <c r="AI2" s="38">
        <v>45589.0</v>
      </c>
      <c r="AJ2" s="38">
        <v>45590.0</v>
      </c>
      <c r="AK2" s="51" t="s">
        <v>169</v>
      </c>
      <c r="AL2" s="51" t="s">
        <v>170</v>
      </c>
      <c r="AM2" s="51" t="s">
        <v>171</v>
      </c>
      <c r="AN2" s="51" t="s">
        <v>172</v>
      </c>
      <c r="AO2" s="38">
        <v>45593.0</v>
      </c>
      <c r="AP2" s="38">
        <v>45594.0</v>
      </c>
      <c r="AQ2" s="38">
        <v>45595.0</v>
      </c>
      <c r="AR2" s="37" t="s">
        <v>173</v>
      </c>
      <c r="AS2" s="37" t="s">
        <v>174</v>
      </c>
    </row>
    <row r="3">
      <c r="A3" s="39" t="s">
        <v>38</v>
      </c>
      <c r="B3" s="40">
        <f t="shared" ref="B3:B6" si="1">SUM(C3:D3)</f>
        <v>3</v>
      </c>
      <c r="C3" s="10">
        <f t="shared" ref="C3:C33" si="2">SUM(F3:AS3)</f>
        <v>2</v>
      </c>
      <c r="D3" s="11">
        <f t="array" ref="D3">SUM(IF(F3:AS3="R",1,0))</f>
        <v>1</v>
      </c>
      <c r="E3" s="11">
        <f t="array" ref="E3">SUM(IF(F3:AS3="R2",1,0))</f>
        <v>1</v>
      </c>
      <c r="F3" s="42"/>
      <c r="L3" s="17" t="s">
        <v>62</v>
      </c>
      <c r="N3" s="16"/>
      <c r="O3" s="16"/>
      <c r="R3" s="16"/>
      <c r="W3" s="17" t="s">
        <v>39</v>
      </c>
      <c r="X3" s="16"/>
      <c r="Y3" s="16"/>
      <c r="Z3" s="16"/>
      <c r="AA3" s="16"/>
      <c r="AC3" s="17">
        <v>1.0</v>
      </c>
      <c r="AR3" s="17">
        <v>1.0</v>
      </c>
    </row>
    <row r="4">
      <c r="A4" s="14" t="s">
        <v>114</v>
      </c>
      <c r="B4" s="10">
        <f t="shared" si="1"/>
        <v>4</v>
      </c>
      <c r="C4" s="10">
        <f t="shared" si="2"/>
        <v>2</v>
      </c>
      <c r="D4" s="11">
        <f t="array" ref="D4">SUM(IF(F4:AS4="R",1,0))</f>
        <v>2</v>
      </c>
      <c r="E4" s="11">
        <f t="array" ref="E4">SUM(IF(F4:AS4="R2",1,0))</f>
        <v>1</v>
      </c>
      <c r="F4" s="16"/>
      <c r="G4" s="16"/>
      <c r="H4" s="16"/>
      <c r="M4" s="17">
        <v>1.0</v>
      </c>
      <c r="O4" s="16"/>
      <c r="R4" s="17" t="s">
        <v>40</v>
      </c>
      <c r="S4" s="16"/>
      <c r="T4" s="16"/>
      <c r="U4" s="16"/>
      <c r="V4" s="16"/>
      <c r="W4" s="16"/>
      <c r="X4" s="16"/>
      <c r="Y4" s="16"/>
      <c r="Z4" s="16"/>
      <c r="AE4" s="17" t="s">
        <v>39</v>
      </c>
      <c r="AG4" s="17" t="s">
        <v>39</v>
      </c>
      <c r="AI4" s="16"/>
      <c r="AP4" s="17">
        <v>1.0</v>
      </c>
    </row>
    <row r="5">
      <c r="A5" s="14" t="s">
        <v>146</v>
      </c>
      <c r="B5" s="10">
        <f t="shared" si="1"/>
        <v>3</v>
      </c>
      <c r="C5" s="10">
        <f t="shared" si="2"/>
        <v>2</v>
      </c>
      <c r="D5" s="11">
        <f t="array" ref="D5">SUM(IF(F5:AS5="R",1,0))</f>
        <v>1</v>
      </c>
      <c r="E5" s="11">
        <f t="array" ref="E5">SUM(IF(F5:AS5="R2",1,0))</f>
        <v>2</v>
      </c>
      <c r="F5" s="16"/>
      <c r="G5" s="16"/>
      <c r="H5" s="16"/>
      <c r="I5" s="16"/>
      <c r="O5" s="16"/>
      <c r="R5" s="16"/>
      <c r="T5" s="17">
        <v>1.0</v>
      </c>
      <c r="V5" s="17" t="s">
        <v>40</v>
      </c>
      <c r="Y5" s="16"/>
      <c r="Z5" s="16"/>
      <c r="AI5" s="16"/>
      <c r="AM5" s="17">
        <v>1.0</v>
      </c>
      <c r="AN5" s="17" t="s">
        <v>40</v>
      </c>
      <c r="AP5" s="17" t="s">
        <v>39</v>
      </c>
    </row>
    <row r="6">
      <c r="A6" s="14" t="s">
        <v>44</v>
      </c>
      <c r="B6" s="10">
        <f t="shared" si="1"/>
        <v>4</v>
      </c>
      <c r="C6" s="10">
        <f t="shared" si="2"/>
        <v>2</v>
      </c>
      <c r="D6" s="11">
        <f t="array" ref="D6">SUM(IF(F6:AS6="R",1,0))</f>
        <v>2</v>
      </c>
      <c r="E6" s="11">
        <f t="array" ref="E6">SUM(IF(F6:AS6="R2",1,0))</f>
        <v>2</v>
      </c>
      <c r="F6" s="16"/>
      <c r="G6" s="16"/>
      <c r="H6" s="16"/>
      <c r="O6" s="16"/>
      <c r="R6" s="16"/>
      <c r="Y6" s="16"/>
      <c r="Z6" s="16"/>
      <c r="AD6" s="17">
        <v>1.0</v>
      </c>
      <c r="AI6" s="16"/>
      <c r="AM6" s="17" t="s">
        <v>40</v>
      </c>
      <c r="AN6" s="17">
        <v>1.0</v>
      </c>
      <c r="AP6" s="17" t="s">
        <v>40</v>
      </c>
      <c r="AQ6" s="17" t="s">
        <v>39</v>
      </c>
      <c r="AS6" s="17" t="s">
        <v>39</v>
      </c>
    </row>
    <row r="7">
      <c r="A7" s="14" t="s">
        <v>175</v>
      </c>
      <c r="B7" s="10"/>
      <c r="C7" s="10">
        <f t="shared" si="2"/>
        <v>1</v>
      </c>
      <c r="D7" s="11">
        <f t="array" ref="D7">SUM(IF(F7:AS7="R",1,0))</f>
        <v>1</v>
      </c>
      <c r="E7" s="11">
        <f t="array" ref="E7">SUM(IF(F7:AS7="R2",1,0))</f>
        <v>1</v>
      </c>
      <c r="F7" s="16"/>
      <c r="G7" s="16"/>
      <c r="H7" s="16"/>
      <c r="O7" s="16"/>
      <c r="R7" s="16"/>
      <c r="W7" s="17"/>
      <c r="Y7" s="16"/>
      <c r="Z7" s="16"/>
      <c r="AD7" s="17" t="s">
        <v>63</v>
      </c>
      <c r="AI7" s="16"/>
      <c r="AP7" s="17"/>
      <c r="AQ7" s="17">
        <v>1.0</v>
      </c>
      <c r="AR7" s="17" t="s">
        <v>40</v>
      </c>
    </row>
    <row r="8">
      <c r="A8" s="23" t="s">
        <v>176</v>
      </c>
      <c r="B8" s="10"/>
      <c r="C8" s="10">
        <f t="shared" si="2"/>
        <v>1</v>
      </c>
      <c r="D8" s="11">
        <f t="array" ref="D8">SUM(IF(F8:AS8="R",1,0))</f>
        <v>2</v>
      </c>
      <c r="E8" s="11">
        <f t="array" ref="E8">SUM(IF(F8:AS8="R2",1,0))</f>
        <v>2</v>
      </c>
      <c r="G8" s="16"/>
      <c r="H8" s="16"/>
      <c r="I8" s="16"/>
      <c r="N8" s="16"/>
      <c r="O8" s="16"/>
      <c r="R8" s="16"/>
      <c r="U8" s="17" t="s">
        <v>39</v>
      </c>
      <c r="W8" s="17" t="s">
        <v>40</v>
      </c>
      <c r="Z8" s="16"/>
      <c r="AE8" s="17">
        <v>1.0</v>
      </c>
      <c r="AI8" s="16"/>
      <c r="AK8" s="17" t="s">
        <v>40</v>
      </c>
      <c r="AO8" s="17" t="s">
        <v>63</v>
      </c>
    </row>
    <row r="9">
      <c r="A9" s="25" t="s">
        <v>147</v>
      </c>
      <c r="B9" s="10">
        <f t="shared" ref="B9:B14" si="3">SUM(C9:D9)</f>
        <v>3</v>
      </c>
      <c r="C9" s="10">
        <f t="shared" si="2"/>
        <v>1</v>
      </c>
      <c r="D9" s="11">
        <f t="array" ref="D9">SUM(IF(F9:AS9="R",1,0))</f>
        <v>2</v>
      </c>
      <c r="E9" s="11">
        <f t="array" ref="E9">SUM(IF(F9:AS9="R2",1,0))</f>
        <v>2</v>
      </c>
      <c r="F9" s="17" t="s">
        <v>40</v>
      </c>
      <c r="M9" s="17"/>
      <c r="AG9" s="17" t="s">
        <v>40</v>
      </c>
      <c r="AL9" s="17" t="s">
        <v>39</v>
      </c>
      <c r="AN9" s="17" t="s">
        <v>39</v>
      </c>
      <c r="AS9" s="17">
        <v>1.0</v>
      </c>
    </row>
    <row r="10">
      <c r="A10" s="25" t="s">
        <v>47</v>
      </c>
      <c r="B10" s="10">
        <f t="shared" si="3"/>
        <v>6</v>
      </c>
      <c r="C10" s="10">
        <f t="shared" si="2"/>
        <v>4</v>
      </c>
      <c r="D10" s="11">
        <f t="array" ref="D10">SUM(IF(F10:AS10="R",1,0))</f>
        <v>2</v>
      </c>
      <c r="E10" s="11">
        <f t="array" ref="E10">SUM(IF(F10:AS10="R2",1,0))</f>
        <v>2</v>
      </c>
      <c r="F10" s="17">
        <v>1.0</v>
      </c>
      <c r="J10" s="17">
        <v>1.0</v>
      </c>
      <c r="P10" s="17" t="s">
        <v>39</v>
      </c>
      <c r="R10" s="17" t="s">
        <v>39</v>
      </c>
      <c r="X10" s="45"/>
      <c r="Y10" s="47"/>
      <c r="Z10" s="35"/>
      <c r="AC10" s="17" t="s">
        <v>40</v>
      </c>
      <c r="AE10" s="45"/>
      <c r="AF10" s="17">
        <v>1.0</v>
      </c>
      <c r="AL10" s="17">
        <v>1.0</v>
      </c>
      <c r="AO10" s="17" t="s">
        <v>40</v>
      </c>
    </row>
    <row r="11">
      <c r="A11" s="26" t="s">
        <v>55</v>
      </c>
      <c r="B11" s="10">
        <f t="shared" si="3"/>
        <v>4</v>
      </c>
      <c r="C11" s="10">
        <f t="shared" si="2"/>
        <v>2</v>
      </c>
      <c r="D11" s="11">
        <f t="array" ref="D11">SUM(IF(F11:AS11="R",1,0))</f>
        <v>2</v>
      </c>
      <c r="E11" s="11">
        <f t="array" ref="E11">SUM(IF(F11:AS11="R2",1,0))</f>
        <v>1</v>
      </c>
      <c r="F11" s="48"/>
      <c r="G11" s="48"/>
      <c r="H11" s="48"/>
      <c r="I11" s="48"/>
      <c r="K11" s="48"/>
      <c r="L11" s="17">
        <v>1.0</v>
      </c>
      <c r="M11" s="48"/>
      <c r="N11" s="48"/>
      <c r="O11" s="48"/>
      <c r="P11" s="48"/>
      <c r="Q11" s="48"/>
      <c r="R11" s="48"/>
      <c r="T11" s="48"/>
      <c r="U11" s="17">
        <v>1.0</v>
      </c>
      <c r="V11" s="48"/>
      <c r="W11" s="48"/>
      <c r="X11" s="48"/>
      <c r="Y11" s="48"/>
      <c r="Z11" s="48"/>
      <c r="AA11" s="48"/>
      <c r="AB11" s="17" t="s">
        <v>39</v>
      </c>
      <c r="AC11" s="48"/>
      <c r="AD11" s="17" t="s">
        <v>40</v>
      </c>
      <c r="AE11" s="48"/>
      <c r="AF11" s="48"/>
      <c r="AG11" s="48"/>
      <c r="AH11" s="48"/>
      <c r="AI11" s="48"/>
      <c r="AJ11" s="48"/>
      <c r="AK11" s="17" t="s">
        <v>39</v>
      </c>
      <c r="AL11" s="48"/>
      <c r="AN11" s="48"/>
      <c r="AO11" s="48"/>
      <c r="AP11" s="48"/>
      <c r="AQ11" s="48"/>
      <c r="AS11" s="48"/>
    </row>
    <row r="12">
      <c r="A12" s="22" t="s">
        <v>177</v>
      </c>
      <c r="B12" s="10">
        <f t="shared" si="3"/>
        <v>3</v>
      </c>
      <c r="C12" s="10">
        <f t="shared" si="2"/>
        <v>2</v>
      </c>
      <c r="D12" s="11">
        <f t="array" ref="D12">SUM(IF(F12:AS12="R",1,0))</f>
        <v>1</v>
      </c>
      <c r="E12" s="11">
        <f t="array" ref="E12">SUM(IF(F12:AS12="R2",1,0))</f>
        <v>2</v>
      </c>
      <c r="F12" s="16"/>
      <c r="G12" s="16"/>
      <c r="H12" s="16"/>
      <c r="I12" s="17">
        <v>1.0</v>
      </c>
      <c r="L12" s="45"/>
      <c r="M12" s="45"/>
      <c r="P12" s="17" t="s">
        <v>40</v>
      </c>
      <c r="R12" s="16"/>
      <c r="W12" s="16"/>
      <c r="X12" s="17" t="s">
        <v>39</v>
      </c>
      <c r="Y12" s="17" t="s">
        <v>40</v>
      </c>
      <c r="AA12" s="16"/>
      <c r="AB12" s="17">
        <v>1.0</v>
      </c>
      <c r="AI12" s="16"/>
      <c r="AJ12" s="21"/>
    </row>
    <row r="13">
      <c r="A13" s="22" t="s">
        <v>51</v>
      </c>
      <c r="B13" s="10">
        <f t="shared" si="3"/>
        <v>3</v>
      </c>
      <c r="C13" s="10">
        <f t="shared" si="2"/>
        <v>1</v>
      </c>
      <c r="D13" s="11">
        <f t="array" ref="D13">SUM(IF(F13:AS13="R",1,0))</f>
        <v>2</v>
      </c>
      <c r="E13" s="11">
        <f t="array" ref="E13">SUM(IF(F13:AS13="R2",1,0))</f>
        <v>1</v>
      </c>
      <c r="F13" s="16"/>
      <c r="G13" s="16"/>
      <c r="H13" s="16"/>
      <c r="J13" s="16"/>
      <c r="K13" s="16"/>
      <c r="L13" s="16"/>
      <c r="M13" s="16"/>
      <c r="N13" s="16"/>
      <c r="O13" s="16"/>
      <c r="P13" s="16"/>
      <c r="Q13" s="16"/>
      <c r="R13" s="16"/>
      <c r="T13" s="17" t="s">
        <v>40</v>
      </c>
      <c r="X13" s="17">
        <v>1.0</v>
      </c>
      <c r="AI13" s="16"/>
      <c r="AM13" s="17" t="s">
        <v>39</v>
      </c>
      <c r="AR13" s="17" t="s">
        <v>39</v>
      </c>
    </row>
    <row r="14" hidden="1">
      <c r="A14" s="23" t="s">
        <v>53</v>
      </c>
      <c r="B14" s="10">
        <f t="shared" si="3"/>
        <v>0</v>
      </c>
      <c r="C14" s="10">
        <f t="shared" si="2"/>
        <v>0</v>
      </c>
      <c r="D14" s="11">
        <f t="array" ref="D14">SUM(IF(F14:AS14="R",1,0))</f>
        <v>0</v>
      </c>
      <c r="E14" s="11">
        <f t="array" ref="E14">SUM(IF(F14:AS14="R2",1,0))</f>
        <v>0</v>
      </c>
      <c r="X14" s="12"/>
      <c r="Y14" s="12"/>
      <c r="Z14" s="12"/>
      <c r="AA14" s="12"/>
      <c r="AB14" s="12"/>
      <c r="AC14" s="12"/>
      <c r="AD14" s="12"/>
      <c r="AE14" s="12"/>
      <c r="AF14" s="12"/>
      <c r="AG14" s="12"/>
      <c r="AH14" s="12"/>
      <c r="AI14" s="12"/>
      <c r="AJ14" s="12"/>
      <c r="AK14" s="12"/>
      <c r="AL14" s="12"/>
      <c r="AM14" s="12"/>
      <c r="AN14" s="12"/>
      <c r="AO14" s="12"/>
      <c r="AP14" s="12"/>
      <c r="AQ14" s="12"/>
      <c r="AR14" s="12"/>
      <c r="AS14" s="12"/>
    </row>
    <row r="15">
      <c r="A15" s="9" t="s">
        <v>90</v>
      </c>
      <c r="B15" s="10"/>
      <c r="C15" s="10">
        <f t="shared" si="2"/>
        <v>2</v>
      </c>
      <c r="D15" s="11">
        <f t="array" ref="D15">SUM(IF(F15:AS15="R",1,0))</f>
        <v>2</v>
      </c>
      <c r="E15" s="11">
        <f t="array" ref="E15">SUM(IF(F15:AS15="R2",1,0))</f>
        <v>2</v>
      </c>
      <c r="J15" s="17" t="s">
        <v>39</v>
      </c>
      <c r="K15" s="17" t="s">
        <v>40</v>
      </c>
      <c r="N15" s="17">
        <v>1.0</v>
      </c>
      <c r="R15" s="17">
        <v>1.0</v>
      </c>
      <c r="AF15" s="17" t="s">
        <v>40</v>
      </c>
      <c r="AH15" s="17" t="s">
        <v>39</v>
      </c>
    </row>
    <row r="16">
      <c r="A16" s="9" t="s">
        <v>56</v>
      </c>
      <c r="B16" s="10">
        <f>SUM(C16:D16)</f>
        <v>4</v>
      </c>
      <c r="C16" s="10">
        <f t="shared" si="2"/>
        <v>2</v>
      </c>
      <c r="D16" s="11">
        <f t="array" ref="D16">SUM(IF(F16:AS16="R",1,0))</f>
        <v>2</v>
      </c>
      <c r="E16" s="11">
        <f t="array" ref="E16">SUM(IF(F16:AS16="R2",1,0))</f>
        <v>2</v>
      </c>
      <c r="F16" s="12"/>
      <c r="G16" s="13"/>
      <c r="H16" s="17"/>
      <c r="I16" s="13"/>
      <c r="J16" s="12" t="s">
        <v>40</v>
      </c>
      <c r="K16" s="12">
        <v>1.0</v>
      </c>
      <c r="L16" s="17"/>
      <c r="M16" s="12"/>
      <c r="N16" s="12" t="s">
        <v>39</v>
      </c>
      <c r="O16" s="12"/>
      <c r="P16" s="13"/>
      <c r="R16" s="12"/>
      <c r="S16" s="13"/>
      <c r="T16" s="13"/>
      <c r="V16" s="12"/>
      <c r="W16" s="21"/>
      <c r="X16" s="13"/>
      <c r="Y16" s="12" t="s">
        <v>39</v>
      </c>
      <c r="Z16" s="17">
        <v>1.0</v>
      </c>
      <c r="AA16" s="13"/>
      <c r="AB16" s="12"/>
      <c r="AC16" s="12"/>
      <c r="AE16" s="12" t="s">
        <v>40</v>
      </c>
      <c r="AF16" s="13"/>
      <c r="AG16" s="13"/>
      <c r="AH16" s="13"/>
      <c r="AJ16" s="13"/>
      <c r="AK16" s="13"/>
      <c r="AL16" s="13"/>
      <c r="AN16" s="12"/>
      <c r="AO16" s="13"/>
      <c r="AP16" s="13"/>
      <c r="AQ16" s="13"/>
    </row>
    <row r="17">
      <c r="A17" s="9" t="s">
        <v>178</v>
      </c>
      <c r="B17" s="10"/>
      <c r="C17" s="10">
        <f t="shared" si="2"/>
        <v>2</v>
      </c>
      <c r="D17" s="11">
        <f t="array" ref="D17">SUM(IF(F17:AS17="R",1,0))</f>
        <v>2</v>
      </c>
      <c r="E17" s="11">
        <f t="array" ref="E17">SUM(IF(F17:AS17="R2",1,0))</f>
        <v>2</v>
      </c>
      <c r="F17" s="12"/>
      <c r="G17" s="13"/>
      <c r="H17" s="17"/>
      <c r="I17" s="13"/>
      <c r="J17" s="12"/>
      <c r="K17" s="12" t="s">
        <v>39</v>
      </c>
      <c r="L17" s="17"/>
      <c r="M17" s="12"/>
      <c r="N17" s="12"/>
      <c r="O17" s="12"/>
      <c r="P17" s="13"/>
      <c r="R17" s="13"/>
      <c r="S17" s="13"/>
      <c r="T17" s="13"/>
      <c r="V17" s="12"/>
      <c r="W17" s="12"/>
      <c r="X17" s="13"/>
      <c r="Y17" s="12">
        <v>1.0</v>
      </c>
      <c r="Z17" s="17" t="s">
        <v>40</v>
      </c>
      <c r="AA17" s="13"/>
      <c r="AB17" s="12"/>
      <c r="AC17" s="12" t="s">
        <v>39</v>
      </c>
      <c r="AE17" s="12"/>
      <c r="AF17" s="13"/>
      <c r="AG17" s="13"/>
      <c r="AH17" s="12">
        <v>1.0</v>
      </c>
      <c r="AJ17" s="13"/>
      <c r="AK17" s="13"/>
      <c r="AL17" s="13"/>
      <c r="AN17" s="12"/>
      <c r="AO17" s="13"/>
      <c r="AP17" s="13"/>
      <c r="AQ17" s="12" t="s">
        <v>40</v>
      </c>
    </row>
    <row r="18">
      <c r="A18" s="26" t="s">
        <v>91</v>
      </c>
      <c r="B18" s="10"/>
      <c r="C18" s="10">
        <f t="shared" si="2"/>
        <v>2</v>
      </c>
      <c r="D18" s="11">
        <f t="array" ref="D18">SUM(IF(F18:AS18="R",1,0))</f>
        <v>1</v>
      </c>
      <c r="E18" s="11">
        <f t="array" ref="E18">SUM(IF(F18:AS18="R2",1,0))</f>
        <v>2</v>
      </c>
      <c r="F18" s="48"/>
      <c r="G18" s="48"/>
      <c r="H18" s="48"/>
      <c r="I18" s="48"/>
      <c r="K18" s="48"/>
      <c r="L18" s="17" t="s">
        <v>63</v>
      </c>
      <c r="M18" s="48"/>
      <c r="N18" s="48"/>
      <c r="O18" s="48"/>
      <c r="P18" s="48"/>
      <c r="Q18" s="48"/>
      <c r="R18" s="48"/>
      <c r="S18" s="17">
        <v>1.0</v>
      </c>
      <c r="T18" s="48"/>
      <c r="U18" s="17" t="s">
        <v>40</v>
      </c>
      <c r="V18" s="48"/>
      <c r="W18" s="48"/>
      <c r="X18" s="48"/>
      <c r="Y18" s="48"/>
      <c r="Z18" s="48"/>
      <c r="AA18" s="48"/>
      <c r="AB18" s="17" t="s">
        <v>40</v>
      </c>
      <c r="AC18" s="48"/>
      <c r="AE18" s="48"/>
      <c r="AF18" s="48"/>
      <c r="AG18" s="48"/>
      <c r="AH18" s="48"/>
      <c r="AI18" s="48"/>
      <c r="AJ18" s="48"/>
      <c r="AK18" s="17">
        <v>1.0</v>
      </c>
      <c r="AL18" s="48"/>
      <c r="AN18" s="48"/>
      <c r="AO18" s="48"/>
      <c r="AP18" s="48"/>
      <c r="AQ18" s="48"/>
      <c r="AS18" s="48"/>
    </row>
    <row r="19" hidden="1">
      <c r="A19" s="26" t="s">
        <v>57</v>
      </c>
      <c r="B19" s="10">
        <f>SUM(C19:D19)</f>
        <v>0</v>
      </c>
      <c r="C19" s="10">
        <f t="shared" si="2"/>
        <v>0</v>
      </c>
      <c r="D19" s="11">
        <f t="array" ref="D19">SUM(IF(F19:AS19="R",1,0))</f>
        <v>0</v>
      </c>
      <c r="E19" s="11">
        <f t="array" ref="E19">SUM(IF(F19:AS19="R2",1,0))</f>
        <v>0</v>
      </c>
      <c r="F19" s="48"/>
      <c r="G19" s="48"/>
      <c r="H19" s="48"/>
      <c r="I19" s="48"/>
      <c r="K19" s="48"/>
      <c r="M19" s="48"/>
      <c r="N19" s="48"/>
      <c r="O19" s="48"/>
      <c r="P19" s="48"/>
      <c r="Q19" s="48"/>
      <c r="R19" s="48"/>
      <c r="T19" s="48"/>
      <c r="V19" s="48"/>
      <c r="W19" s="48"/>
      <c r="X19" s="48"/>
      <c r="Y19" s="48"/>
      <c r="Z19" s="48"/>
      <c r="AA19" s="48"/>
      <c r="AC19" s="48"/>
      <c r="AE19" s="48"/>
      <c r="AF19" s="48"/>
      <c r="AG19" s="48"/>
      <c r="AH19" s="48"/>
      <c r="AI19" s="48"/>
      <c r="AJ19" s="48"/>
      <c r="AL19" s="48"/>
      <c r="AN19" s="48"/>
      <c r="AO19" s="48"/>
      <c r="AP19" s="48"/>
      <c r="AQ19" s="48"/>
      <c r="AS19" s="48"/>
    </row>
    <row r="20">
      <c r="A20" s="27" t="s">
        <v>149</v>
      </c>
      <c r="B20" s="10"/>
      <c r="C20" s="10">
        <f t="shared" si="2"/>
        <v>2</v>
      </c>
      <c r="D20" s="11">
        <f t="array" ref="D20">SUM(IF(F20:AS20="R",1,0))</f>
        <v>1</v>
      </c>
      <c r="E20" s="11">
        <f t="array" ref="E20">SUM(IF(F20:AS20="R2",1,0))</f>
        <v>1</v>
      </c>
      <c r="G20" s="17">
        <v>1.0</v>
      </c>
      <c r="J20" s="52"/>
      <c r="K20" s="52"/>
      <c r="L20" s="52"/>
      <c r="M20" s="52"/>
      <c r="O20" s="17" t="s">
        <v>40</v>
      </c>
      <c r="R20" s="16"/>
      <c r="S20" s="52"/>
      <c r="T20" s="52"/>
      <c r="U20" s="52"/>
      <c r="V20" s="52"/>
      <c r="AA20" s="17">
        <v>1.0</v>
      </c>
      <c r="AB20" s="52"/>
      <c r="AC20" s="52"/>
      <c r="AD20" s="52"/>
      <c r="AE20" s="52"/>
      <c r="AI20" s="17" t="s">
        <v>39</v>
      </c>
      <c r="AK20" s="52"/>
      <c r="AL20" s="52"/>
      <c r="AM20" s="52"/>
      <c r="AN20" s="52"/>
    </row>
    <row r="21">
      <c r="A21" s="27" t="s">
        <v>58</v>
      </c>
      <c r="B21" s="10">
        <f t="shared" ref="B21:B24" si="4">SUM(C21:D21)</f>
        <v>3</v>
      </c>
      <c r="C21" s="10">
        <f t="shared" si="2"/>
        <v>2</v>
      </c>
      <c r="D21" s="11">
        <f t="array" ref="D21">SUM(IF(F21:AS21="R",1,0))</f>
        <v>1</v>
      </c>
      <c r="E21" s="11">
        <f t="array" ref="E21">SUM(IF(F21:AS21="R2",1,0))</f>
        <v>1</v>
      </c>
      <c r="O21" s="17" t="s">
        <v>39</v>
      </c>
      <c r="Q21" s="17">
        <v>1.0</v>
      </c>
      <c r="AI21" s="17" t="s">
        <v>40</v>
      </c>
      <c r="AJ21" s="17">
        <v>1.0</v>
      </c>
    </row>
    <row r="22">
      <c r="A22" s="27" t="s">
        <v>59</v>
      </c>
      <c r="B22" s="10">
        <f t="shared" si="4"/>
        <v>3</v>
      </c>
      <c r="C22" s="10">
        <f t="shared" si="2"/>
        <v>1</v>
      </c>
      <c r="D22" s="11">
        <f t="array" ref="D22">SUM(IF(F22:AS22="R",1,0))</f>
        <v>2</v>
      </c>
      <c r="E22" s="11">
        <f t="array" ref="E22">SUM(IF(F22:AS22="R2",1,0))</f>
        <v>2</v>
      </c>
      <c r="H22" s="17" t="s">
        <v>39</v>
      </c>
      <c r="M22" s="17" t="s">
        <v>39</v>
      </c>
      <c r="N22" s="17" t="s">
        <v>40</v>
      </c>
      <c r="AA22" s="17" t="s">
        <v>40</v>
      </c>
      <c r="AG22" s="17">
        <v>1.0</v>
      </c>
    </row>
    <row r="23">
      <c r="A23" s="27" t="s">
        <v>60</v>
      </c>
      <c r="B23" s="10">
        <f t="shared" si="4"/>
        <v>3</v>
      </c>
      <c r="C23" s="10">
        <f t="shared" si="2"/>
        <v>0</v>
      </c>
      <c r="D23" s="11">
        <f t="array" ref="D23">SUM(IF(F23:AS23="R",1,0))</f>
        <v>3</v>
      </c>
      <c r="E23" s="11">
        <f t="array" ref="E23">SUM(IF(F23:AS23="R2",1,0))</f>
        <v>3</v>
      </c>
      <c r="G23" s="17" t="s">
        <v>39</v>
      </c>
      <c r="H23" s="17" t="s">
        <v>40</v>
      </c>
      <c r="X23" s="17" t="s">
        <v>40</v>
      </c>
      <c r="Z23" s="17" t="s">
        <v>39</v>
      </c>
      <c r="AF23" s="17" t="s">
        <v>39</v>
      </c>
      <c r="AS23" s="17" t="s">
        <v>40</v>
      </c>
    </row>
    <row r="24">
      <c r="A24" s="27" t="s">
        <v>61</v>
      </c>
      <c r="B24" s="10">
        <f t="shared" si="4"/>
        <v>2</v>
      </c>
      <c r="C24" s="10">
        <f t="shared" si="2"/>
        <v>1</v>
      </c>
      <c r="D24" s="11">
        <f t="array" ref="D24">SUM(IF(F24:AS24="R",1,0))</f>
        <v>1</v>
      </c>
      <c r="E24" s="11">
        <f t="array" ref="E24">SUM(IF(F24:AS24="R2",1,0))</f>
        <v>1</v>
      </c>
      <c r="M24" s="17" t="s">
        <v>40</v>
      </c>
      <c r="V24" s="17" t="s">
        <v>39</v>
      </c>
      <c r="AI24" s="17">
        <v>1.0</v>
      </c>
    </row>
    <row r="25" hidden="1">
      <c r="A25" s="27" t="s">
        <v>116</v>
      </c>
      <c r="B25" s="10"/>
      <c r="C25" s="10">
        <f t="shared" si="2"/>
        <v>0</v>
      </c>
      <c r="D25" s="11">
        <f t="array" ref="D25">SUM(IF(F25:AS25="R",1,0))</f>
        <v>0</v>
      </c>
      <c r="E25" s="11">
        <f t="array" ref="E25">SUM(IF(F25:AS25="R2",1,0))</f>
        <v>0</v>
      </c>
    </row>
    <row r="26">
      <c r="A26" s="27" t="s">
        <v>49</v>
      </c>
      <c r="B26" s="10"/>
      <c r="C26" s="10">
        <f t="shared" si="2"/>
        <v>1</v>
      </c>
      <c r="D26" s="11">
        <f t="array" ref="D26">SUM(IF(F26:AS26="R",1,0))</f>
        <v>2</v>
      </c>
      <c r="E26" s="11">
        <f t="array" ref="E26">SUM(IF(F26:AS26="R2",1,0))</f>
        <v>2</v>
      </c>
      <c r="F26" s="16"/>
      <c r="G26" s="16"/>
      <c r="H26" s="16"/>
      <c r="O26" s="17">
        <v>1.0</v>
      </c>
      <c r="P26" s="16"/>
      <c r="Q26" s="17" t="s">
        <v>40</v>
      </c>
      <c r="S26" s="17" t="s">
        <v>39</v>
      </c>
      <c r="AA26" s="17" t="s">
        <v>39</v>
      </c>
      <c r="AH26" s="16"/>
      <c r="AI26" s="16"/>
      <c r="AL26" s="17" t="s">
        <v>40</v>
      </c>
      <c r="AQ26" s="16"/>
    </row>
    <row r="27" hidden="1">
      <c r="A27" s="26" t="s">
        <v>46</v>
      </c>
      <c r="B27" s="10">
        <f t="shared" ref="B27:B29" si="5">SUM(C27:D27)</f>
        <v>0</v>
      </c>
      <c r="C27" s="10">
        <f t="shared" si="2"/>
        <v>0</v>
      </c>
      <c r="D27" s="11">
        <f t="array" ref="D27">SUM(IF(F27:AS27="R",1,0))</f>
        <v>0</v>
      </c>
      <c r="E27" s="11">
        <f t="array" ref="E27">SUM(IF(F27:AS27="R2",1,0))</f>
        <v>0</v>
      </c>
    </row>
    <row r="28">
      <c r="A28" s="44" t="s">
        <v>117</v>
      </c>
      <c r="B28" s="10">
        <f t="shared" si="5"/>
        <v>2</v>
      </c>
      <c r="C28" s="10">
        <f t="shared" si="2"/>
        <v>1</v>
      </c>
      <c r="D28" s="11">
        <f t="array" ref="D28">SUM(IF(F28:AS28="R",1,0))</f>
        <v>1</v>
      </c>
      <c r="E28" s="11">
        <f t="array" ref="E28">SUM(IF(F28:AS28="R2",1,0))</f>
        <v>1</v>
      </c>
      <c r="F28" s="52"/>
      <c r="H28" s="53">
        <v>1.0</v>
      </c>
      <c r="I28" s="17" t="s">
        <v>39</v>
      </c>
      <c r="O28" s="52"/>
      <c r="Q28" s="52"/>
      <c r="S28" s="17" t="s">
        <v>40</v>
      </c>
      <c r="X28" s="16"/>
      <c r="Y28" s="16"/>
      <c r="Z28" s="16"/>
      <c r="AA28" s="16"/>
      <c r="AF28" s="16"/>
      <c r="AG28" s="16"/>
      <c r="AI28" s="52"/>
      <c r="AO28" s="16"/>
      <c r="AP28" s="52"/>
      <c r="AQ28" s="16"/>
      <c r="AR28" s="52"/>
      <c r="AS28" s="52"/>
    </row>
    <row r="29">
      <c r="A29" s="44" t="s">
        <v>67</v>
      </c>
      <c r="B29" s="10">
        <f t="shared" si="5"/>
        <v>4</v>
      </c>
      <c r="C29" s="10">
        <f t="shared" si="2"/>
        <v>2</v>
      </c>
      <c r="D29" s="11">
        <f t="array" ref="D29">SUM(IF(F29:AS29="R",1,0))</f>
        <v>2</v>
      </c>
      <c r="E29" s="11">
        <f t="array" ref="E29">SUM(IF(F29:AS29="R2",1,0))</f>
        <v>2</v>
      </c>
      <c r="F29" s="17" t="s">
        <v>39</v>
      </c>
      <c r="G29" s="17" t="s">
        <v>40</v>
      </c>
      <c r="P29" s="17">
        <v>1.0</v>
      </c>
      <c r="R29" s="16"/>
      <c r="T29" s="17" t="s">
        <v>39</v>
      </c>
      <c r="V29" s="17">
        <v>1.0</v>
      </c>
      <c r="Y29" s="16"/>
      <c r="Z29" s="16"/>
      <c r="AA29" s="16"/>
      <c r="AF29" s="16"/>
      <c r="AJ29" s="17" t="s">
        <v>40</v>
      </c>
      <c r="AO29" s="16"/>
    </row>
    <row r="30">
      <c r="A30" s="20" t="s">
        <v>179</v>
      </c>
      <c r="B30" s="10"/>
      <c r="C30" s="10">
        <f t="shared" si="2"/>
        <v>2</v>
      </c>
      <c r="D30" s="11">
        <f t="array" ref="D30">SUM(IF(F30:AS30="R",1,0))</f>
        <v>2</v>
      </c>
      <c r="E30" s="11">
        <f t="array" ref="E30">SUM(IF(F30:AS30="R2",1,0))</f>
        <v>2</v>
      </c>
      <c r="F30" s="16"/>
      <c r="G30" s="16"/>
      <c r="H30" s="16"/>
      <c r="I30" s="17" t="s">
        <v>40</v>
      </c>
      <c r="Q30" s="17" t="s">
        <v>39</v>
      </c>
      <c r="R30" s="16"/>
      <c r="W30" s="17">
        <v>1.0</v>
      </c>
      <c r="AH30" s="17" t="s">
        <v>40</v>
      </c>
      <c r="AI30" s="16"/>
      <c r="AJ30" s="17" t="s">
        <v>39</v>
      </c>
      <c r="AO30" s="17">
        <v>1.0</v>
      </c>
    </row>
    <row r="31">
      <c r="A31" s="17" t="s">
        <v>68</v>
      </c>
      <c r="B31" s="10">
        <f>SUM(B4:B14)</f>
        <v>30</v>
      </c>
      <c r="C31" s="10">
        <f t="shared" si="2"/>
        <v>40</v>
      </c>
      <c r="D31" s="11"/>
      <c r="E31" s="11"/>
      <c r="F31" s="28">
        <f t="shared" ref="F31:AS31" si="6">SUM(F3:F30)</f>
        <v>1</v>
      </c>
      <c r="G31" s="28">
        <f t="shared" si="6"/>
        <v>1</v>
      </c>
      <c r="H31" s="28">
        <f t="shared" si="6"/>
        <v>1</v>
      </c>
      <c r="I31" s="28">
        <f t="shared" si="6"/>
        <v>1</v>
      </c>
      <c r="J31" s="28">
        <f t="shared" si="6"/>
        <v>1</v>
      </c>
      <c r="K31" s="28">
        <f t="shared" si="6"/>
        <v>1</v>
      </c>
      <c r="L31" s="28">
        <f t="shared" si="6"/>
        <v>1</v>
      </c>
      <c r="M31" s="28">
        <f t="shared" si="6"/>
        <v>1</v>
      </c>
      <c r="N31" s="28">
        <f t="shared" si="6"/>
        <v>1</v>
      </c>
      <c r="O31" s="28">
        <f t="shared" si="6"/>
        <v>1</v>
      </c>
      <c r="P31" s="28">
        <f t="shared" si="6"/>
        <v>1</v>
      </c>
      <c r="Q31" s="28">
        <f t="shared" si="6"/>
        <v>1</v>
      </c>
      <c r="R31" s="28">
        <f t="shared" si="6"/>
        <v>1</v>
      </c>
      <c r="S31" s="28">
        <f t="shared" si="6"/>
        <v>1</v>
      </c>
      <c r="T31" s="28">
        <f t="shared" si="6"/>
        <v>1</v>
      </c>
      <c r="U31" s="28">
        <f t="shared" si="6"/>
        <v>1</v>
      </c>
      <c r="V31" s="28">
        <f t="shared" si="6"/>
        <v>1</v>
      </c>
      <c r="W31" s="28">
        <f t="shared" si="6"/>
        <v>1</v>
      </c>
      <c r="X31" s="28">
        <f t="shared" si="6"/>
        <v>1</v>
      </c>
      <c r="Y31" s="28">
        <f t="shared" si="6"/>
        <v>1</v>
      </c>
      <c r="Z31" s="28">
        <f t="shared" si="6"/>
        <v>1</v>
      </c>
      <c r="AA31" s="28">
        <f t="shared" si="6"/>
        <v>1</v>
      </c>
      <c r="AB31" s="28">
        <f t="shared" si="6"/>
        <v>1</v>
      </c>
      <c r="AC31" s="28">
        <f t="shared" si="6"/>
        <v>1</v>
      </c>
      <c r="AD31" s="28">
        <f t="shared" si="6"/>
        <v>1</v>
      </c>
      <c r="AE31" s="28">
        <f t="shared" si="6"/>
        <v>1</v>
      </c>
      <c r="AF31" s="28">
        <f t="shared" si="6"/>
        <v>1</v>
      </c>
      <c r="AG31" s="28">
        <f t="shared" si="6"/>
        <v>1</v>
      </c>
      <c r="AH31" s="28">
        <f t="shared" si="6"/>
        <v>1</v>
      </c>
      <c r="AI31" s="28">
        <f t="shared" si="6"/>
        <v>1</v>
      </c>
      <c r="AJ31" s="28">
        <f t="shared" si="6"/>
        <v>1</v>
      </c>
      <c r="AK31" s="28">
        <f t="shared" si="6"/>
        <v>1</v>
      </c>
      <c r="AL31" s="28">
        <f t="shared" si="6"/>
        <v>1</v>
      </c>
      <c r="AM31" s="28">
        <f t="shared" si="6"/>
        <v>1</v>
      </c>
      <c r="AN31" s="28">
        <f t="shared" si="6"/>
        <v>1</v>
      </c>
      <c r="AO31" s="28">
        <f t="shared" si="6"/>
        <v>1</v>
      </c>
      <c r="AP31" s="28">
        <f t="shared" si="6"/>
        <v>1</v>
      </c>
      <c r="AQ31" s="28">
        <f t="shared" si="6"/>
        <v>1</v>
      </c>
      <c r="AR31" s="28">
        <f t="shared" si="6"/>
        <v>1</v>
      </c>
      <c r="AS31" s="28">
        <f t="shared" si="6"/>
        <v>1</v>
      </c>
    </row>
    <row r="32">
      <c r="A32" s="17" t="s">
        <v>69</v>
      </c>
      <c r="B32" s="28">
        <f t="shared" ref="B32:B33" si="7">SUM(F32:AR32)</f>
        <v>39</v>
      </c>
      <c r="C32" s="10">
        <f t="shared" si="2"/>
        <v>40</v>
      </c>
      <c r="F32" s="11">
        <f t="array" ref="F32">SUM(IF(F3:F30="R",1,0))</f>
        <v>1</v>
      </c>
      <c r="G32" s="11">
        <f t="array" ref="G32">SUM(IF(G3:G30="R",1,0))</f>
        <v>1</v>
      </c>
      <c r="H32" s="11">
        <f t="array" ref="H32">SUM(IF(H3:H30="R",1,0))</f>
        <v>1</v>
      </c>
      <c r="I32" s="11">
        <f t="array" ref="I32">SUM(IF(I3:I30="R",1,0))</f>
        <v>1</v>
      </c>
      <c r="J32" s="11">
        <f t="array" ref="J32">SUM(IF(J3:J30="R",1,0))</f>
        <v>1</v>
      </c>
      <c r="K32" s="11">
        <f t="array" ref="K32">SUM(IF(K3:K30="R",1,0))</f>
        <v>1</v>
      </c>
      <c r="L32" s="11">
        <f t="array" ref="L32">SUM(IF(L3:L30="R",1,0))</f>
        <v>1</v>
      </c>
      <c r="M32" s="11">
        <f t="array" ref="M32">SUM(IF(M3:M30="R",1,0))</f>
        <v>1</v>
      </c>
      <c r="N32" s="11">
        <f t="array" ref="N32">SUM(IF(N3:N30="R",1,0))</f>
        <v>1</v>
      </c>
      <c r="O32" s="11">
        <f t="array" ref="O32">SUM(IF(O3:O30="R",1,0))</f>
        <v>1</v>
      </c>
      <c r="P32" s="11">
        <f t="array" ref="P32">SUM(IF(P3:P30="R",1,0))</f>
        <v>1</v>
      </c>
      <c r="Q32" s="11">
        <f t="array" ref="Q32">SUM(IF(Q3:Q30="R",1,0))</f>
        <v>1</v>
      </c>
      <c r="R32" s="11">
        <f t="array" ref="R32">SUM(IF(R3:R30="R",1,0))</f>
        <v>1</v>
      </c>
      <c r="S32" s="11">
        <f t="array" ref="S32">SUM(IF(S3:S30="R",1,0))</f>
        <v>1</v>
      </c>
      <c r="T32" s="11">
        <f t="array" ref="T32">SUM(IF(T3:T30="R",1,0))</f>
        <v>1</v>
      </c>
      <c r="U32" s="11">
        <f t="array" ref="U32">SUM(IF(U3:U30="R",1,0))</f>
        <v>1</v>
      </c>
      <c r="V32" s="11">
        <f t="array" ref="V32">SUM(IF(V3:V30="R",1,0))</f>
        <v>1</v>
      </c>
      <c r="W32" s="11">
        <f t="array" ref="W32">SUM(IF(W3:W30="R",1,0))</f>
        <v>1</v>
      </c>
      <c r="X32" s="11">
        <f t="array" ref="X32">SUM(IF(X3:X30="R",1,0))</f>
        <v>1</v>
      </c>
      <c r="Y32" s="11">
        <f t="array" ref="Y32">SUM(IF(Y3:Y30="R",1,0))</f>
        <v>1</v>
      </c>
      <c r="Z32" s="11">
        <f t="array" ref="Z32">SUM(IF(Z3:Z30="R",1,0))</f>
        <v>1</v>
      </c>
      <c r="AA32" s="11">
        <f t="array" ref="AA32">SUM(IF(AA3:AA30="R",1,0))</f>
        <v>1</v>
      </c>
      <c r="AB32" s="11">
        <f t="array" ref="AB32">SUM(IF(AB3:AB30="R",1,0))</f>
        <v>1</v>
      </c>
      <c r="AC32" s="11">
        <f t="array" ref="AC32">SUM(IF(AC3:AC30="R",1,0))</f>
        <v>1</v>
      </c>
      <c r="AD32" s="11">
        <f t="array" ref="AD32">SUM(IF(AD3:AD30="R",1,0))</f>
        <v>1</v>
      </c>
      <c r="AE32" s="11">
        <f t="array" ref="AE32">SUM(IF(AE3:AE30="R",1,0))</f>
        <v>1</v>
      </c>
      <c r="AF32" s="11">
        <f t="array" ref="AF32">SUM(IF(AF3:AF30="R",1,0))</f>
        <v>1</v>
      </c>
      <c r="AG32" s="11">
        <f t="array" ref="AG32">SUM(IF(AG3:AG30="R",1,0))</f>
        <v>1</v>
      </c>
      <c r="AH32" s="11">
        <f t="array" ref="AH32">SUM(IF(AH3:AH30="R",1,0))</f>
        <v>1</v>
      </c>
      <c r="AI32" s="11">
        <f t="array" ref="AI32">SUM(IF(AI3:AI30="R",1,0))</f>
        <v>1</v>
      </c>
      <c r="AJ32" s="11">
        <f t="array" ref="AJ32">SUM(IF(AJ3:AJ30="R",1,0))</f>
        <v>1</v>
      </c>
      <c r="AK32" s="11">
        <f t="array" ref="AK32">SUM(IF(AK3:AK30="R",1,0))</f>
        <v>1</v>
      </c>
      <c r="AL32" s="11">
        <f t="array" ref="AL32">SUM(IF(AL3:AL30="R",1,0))</f>
        <v>1</v>
      </c>
      <c r="AM32" s="11">
        <f t="array" ref="AM32">SUM(IF(AM3:AM30="R",1,0))</f>
        <v>1</v>
      </c>
      <c r="AN32" s="11">
        <f t="array" ref="AN32">SUM(IF(AN3:AN30="R",1,0))</f>
        <v>1</v>
      </c>
      <c r="AO32" s="11">
        <f t="array" ref="AO32">SUM(IF(AO3:AO30="R",1,0))</f>
        <v>1</v>
      </c>
      <c r="AP32" s="11">
        <f t="array" ref="AP32">SUM(IF(AP3:AP30="R",1,0))</f>
        <v>1</v>
      </c>
      <c r="AQ32" s="11">
        <f t="array" ref="AQ32">SUM(IF(AQ3:AQ30="R",1,0))</f>
        <v>1</v>
      </c>
      <c r="AR32" s="11">
        <f t="array" ref="AR32">SUM(IF(AR3:AR30="R",1,0))</f>
        <v>1</v>
      </c>
      <c r="AS32" s="11">
        <f t="array" ref="AS32">SUM(IF(AS3:AS30="R",1,0))</f>
        <v>1</v>
      </c>
    </row>
    <row r="33">
      <c r="A33" s="17" t="s">
        <v>70</v>
      </c>
      <c r="B33" s="28">
        <f t="shared" si="7"/>
        <v>39</v>
      </c>
      <c r="C33" s="10">
        <f t="shared" si="2"/>
        <v>40</v>
      </c>
      <c r="F33" s="11">
        <f t="array" ref="F33">SUM(IF(F3:F30="R2",1,0))</f>
        <v>1</v>
      </c>
      <c r="G33" s="11">
        <f t="array" ref="G33">SUM(IF(G3:G30="R2",1,0))</f>
        <v>1</v>
      </c>
      <c r="H33" s="11">
        <f t="array" ref="H33">SUM(IF(H3:H30="R2",1,0))</f>
        <v>1</v>
      </c>
      <c r="I33" s="11">
        <f t="array" ref="I33">SUM(IF(I3:I30="R2",1,0))</f>
        <v>1</v>
      </c>
      <c r="J33" s="11">
        <f t="array" ref="J33">SUM(IF(J3:J30="R2",1,0))</f>
        <v>1</v>
      </c>
      <c r="K33" s="11">
        <f t="array" ref="K33">SUM(IF(K3:K30="R2",1,0))</f>
        <v>1</v>
      </c>
      <c r="L33" s="11">
        <f t="array" ref="L33">SUM(IF(L3:L30="R2",1,0))</f>
        <v>1</v>
      </c>
      <c r="M33" s="11">
        <f t="array" ref="M33">SUM(IF(M3:M30="R2",1,0))</f>
        <v>1</v>
      </c>
      <c r="N33" s="11">
        <f t="array" ref="N33">SUM(IF(N3:N30="R2",1,0))</f>
        <v>1</v>
      </c>
      <c r="O33" s="11">
        <f t="array" ref="O33">SUM(IF(O3:O30="R2",1,0))</f>
        <v>1</v>
      </c>
      <c r="P33" s="11">
        <f t="array" ref="P33">SUM(IF(P3:P30="R2",1,0))</f>
        <v>1</v>
      </c>
      <c r="Q33" s="11">
        <f t="array" ref="Q33">SUM(IF(Q3:Q30="R2",1,0))</f>
        <v>1</v>
      </c>
      <c r="R33" s="11">
        <f t="array" ref="R33">SUM(IF(R3:R30="R2",1,0))</f>
        <v>1</v>
      </c>
      <c r="S33" s="11">
        <f t="array" ref="S33">SUM(IF(S3:S30="R2",1,0))</f>
        <v>1</v>
      </c>
      <c r="T33" s="11">
        <f t="array" ref="T33">SUM(IF(T3:T30="R2",1,0))</f>
        <v>1</v>
      </c>
      <c r="U33" s="11">
        <f t="array" ref="U33">SUM(IF(U3:U30="R2",1,0))</f>
        <v>1</v>
      </c>
      <c r="V33" s="11">
        <f t="array" ref="V33">SUM(IF(V3:V30="R2",1,0))</f>
        <v>1</v>
      </c>
      <c r="W33" s="11">
        <f t="array" ref="W33">SUM(IF(W3:W30="R2",1,0))</f>
        <v>1</v>
      </c>
      <c r="X33" s="11">
        <f t="array" ref="X33">SUM(IF(X3:X30="R2",1,0))</f>
        <v>1</v>
      </c>
      <c r="Y33" s="11">
        <f t="array" ref="Y33">SUM(IF(Y3:Y30="R2",1,0))</f>
        <v>1</v>
      </c>
      <c r="Z33" s="11">
        <f t="array" ref="Z33">SUM(IF(Z3:Z30="R2",1,0))</f>
        <v>1</v>
      </c>
      <c r="AA33" s="11">
        <f t="array" ref="AA33">SUM(IF(AA3:AA30="R2",1,0))</f>
        <v>1</v>
      </c>
      <c r="AB33" s="11">
        <f t="array" ref="AB33">SUM(IF(AB3:AB30="R2",1,0))</f>
        <v>1</v>
      </c>
      <c r="AC33" s="11">
        <f t="array" ref="AC33">SUM(IF(AC3:AC30="R2",1,0))</f>
        <v>1</v>
      </c>
      <c r="AD33" s="11">
        <f t="array" ref="AD33">SUM(IF(AD3:AD30="R2",1,0))</f>
        <v>1</v>
      </c>
      <c r="AE33" s="11">
        <f t="array" ref="AE33">SUM(IF(AE3:AE30="R2",1,0))</f>
        <v>1</v>
      </c>
      <c r="AF33" s="11">
        <f t="array" ref="AF33">SUM(IF(AF3:AF30="R2",1,0))</f>
        <v>1</v>
      </c>
      <c r="AG33" s="11">
        <f t="array" ref="AG33">SUM(IF(AG3:AG30="R2",1,0))</f>
        <v>1</v>
      </c>
      <c r="AH33" s="11">
        <f t="array" ref="AH33">SUM(IF(AH3:AH30="R2",1,0))</f>
        <v>1</v>
      </c>
      <c r="AI33" s="11">
        <f t="array" ref="AI33">SUM(IF(AI3:AI30="R2",1,0))</f>
        <v>1</v>
      </c>
      <c r="AJ33" s="11">
        <f t="array" ref="AJ33">SUM(IF(AJ3:AJ30="R2",1,0))</f>
        <v>1</v>
      </c>
      <c r="AK33" s="11">
        <f t="array" ref="AK33">SUM(IF(AK3:AK30="R2",1,0))</f>
        <v>1</v>
      </c>
      <c r="AL33" s="11">
        <f t="array" ref="AL33">SUM(IF(AL3:AL30="R2",1,0))</f>
        <v>1</v>
      </c>
      <c r="AM33" s="11">
        <f t="array" ref="AM33">SUM(IF(AM3:AM30="R2",1,0))</f>
        <v>1</v>
      </c>
      <c r="AN33" s="11">
        <f t="array" ref="AN33">SUM(IF(AN3:AN30="R2",1,0))</f>
        <v>1</v>
      </c>
      <c r="AO33" s="11">
        <f t="array" ref="AO33">SUM(IF(AO3:AO30="R2",1,0))</f>
        <v>1</v>
      </c>
      <c r="AP33" s="11">
        <f t="array" ref="AP33">SUM(IF(AP3:AP30="R2",1,0))</f>
        <v>1</v>
      </c>
      <c r="AQ33" s="11">
        <f t="array" ref="AQ33">SUM(IF(AQ3:AQ30="R2",1,0))</f>
        <v>1</v>
      </c>
      <c r="AR33" s="11">
        <f t="array" ref="AR33">SUM(IF(AR3:AR30="R2",1,0))</f>
        <v>1</v>
      </c>
      <c r="AS33" s="11">
        <f t="array" ref="AS33">SUM(IF(AS3:AS30="R2",1,0))</f>
        <v>1</v>
      </c>
    </row>
    <row r="34">
      <c r="E34" s="46" t="s">
        <v>71</v>
      </c>
      <c r="F34" s="29" t="str">
        <f t="shared" ref="F34:AR34" si="8">IFERROR(INDEX($A$3:$A$30, MATCH(1, INDEX($F$3:$AR$30, 0, MATCH(F2, $F$2:$AR$2, 0)), 0)), INDEX($A$3:$A$30, MATCH(1, INDEX($F$3:$AR$30, 0, MATCH(F2&amp;" AM", $F$2:$AR$2, 0)), 0)))</f>
        <v>LCP AMIRUL</v>
      </c>
      <c r="G34" s="29" t="str">
        <f t="shared" si="8"/>
        <v>REC ASH</v>
      </c>
      <c r="H34" s="29" t="str">
        <f t="shared" si="8"/>
        <v>PTE HAO QIAN</v>
      </c>
      <c r="I34" s="29" t="str">
        <f t="shared" si="8"/>
        <v>3SG DANIEL</v>
      </c>
      <c r="J34" s="29" t="str">
        <f t="shared" si="8"/>
        <v>LCP AMIRUL</v>
      </c>
      <c r="K34" s="29" t="str">
        <f t="shared" si="8"/>
        <v>PTE JASPER</v>
      </c>
      <c r="L34" s="29" t="str">
        <f t="shared" si="8"/>
        <v>REC RUI FENG</v>
      </c>
      <c r="M34" s="29" t="str">
        <f t="shared" si="8"/>
        <v>LCP ERNEST</v>
      </c>
      <c r="N34" s="29" t="str">
        <f t="shared" si="8"/>
        <v>PTE AMIN</v>
      </c>
      <c r="O34" s="29" t="str">
        <f t="shared" si="8"/>
        <v>PTE HOI REI</v>
      </c>
      <c r="P34" s="29" t="str">
        <f t="shared" si="8"/>
        <v>PTE JIREH</v>
      </c>
      <c r="Q34" s="29" t="str">
        <f t="shared" si="8"/>
        <v>PTE HAQIMI</v>
      </c>
      <c r="R34" s="29" t="str">
        <f t="shared" si="8"/>
        <v>PTE AMIN</v>
      </c>
      <c r="S34" s="29" t="str">
        <f t="shared" si="8"/>
        <v>REC PARAM</v>
      </c>
      <c r="T34" s="29" t="str">
        <f t="shared" si="8"/>
        <v>LCP FIRMAN</v>
      </c>
      <c r="U34" s="29" t="str">
        <f t="shared" si="8"/>
        <v>REC RUI FENG</v>
      </c>
      <c r="V34" s="29" t="str">
        <f t="shared" si="8"/>
        <v>PTE JIREH</v>
      </c>
      <c r="W34" s="29" t="str">
        <f t="shared" si="8"/>
        <v>PTE MICHAEL</v>
      </c>
      <c r="X34" s="29" t="str">
        <f t="shared" si="8"/>
        <v>PTE ANGELO</v>
      </c>
      <c r="Y34" s="29" t="str">
        <f t="shared" si="8"/>
        <v>PTE ISAAC</v>
      </c>
      <c r="Z34" s="29" t="str">
        <f t="shared" si="8"/>
        <v>PTE JASPER</v>
      </c>
      <c r="AA34" s="29" t="str">
        <f t="shared" si="8"/>
        <v>REC ASH</v>
      </c>
      <c r="AB34" s="29" t="str">
        <f t="shared" si="8"/>
        <v>3SG DANIEL</v>
      </c>
      <c r="AC34" s="29" t="str">
        <f t="shared" si="8"/>
        <v>PTE EZRA</v>
      </c>
      <c r="AD34" s="29" t="str">
        <f t="shared" si="8"/>
        <v>PTE AFIF</v>
      </c>
      <c r="AE34" s="29" t="str">
        <f t="shared" si="8"/>
        <v>PTE AZHARI</v>
      </c>
      <c r="AF34" s="29" t="str">
        <f t="shared" si="8"/>
        <v>LCP AMIRUL</v>
      </c>
      <c r="AG34" s="29" t="str">
        <f t="shared" si="8"/>
        <v>PTE DARREN</v>
      </c>
      <c r="AH34" s="29" t="str">
        <f t="shared" si="8"/>
        <v>PTE ISAAC</v>
      </c>
      <c r="AI34" s="29" t="str">
        <f t="shared" si="8"/>
        <v>PTE XIAO YU</v>
      </c>
      <c r="AJ34" s="29" t="str">
        <f t="shared" si="8"/>
        <v>PTE HAQIMI</v>
      </c>
      <c r="AK34" s="29" t="str">
        <f t="shared" si="8"/>
        <v>REC PARAM</v>
      </c>
      <c r="AL34" s="29" t="str">
        <f t="shared" si="8"/>
        <v>LCP AMIRUL</v>
      </c>
      <c r="AM34" s="29" t="str">
        <f t="shared" si="8"/>
        <v>LCP FIRMAN</v>
      </c>
      <c r="AN34" s="29" t="str">
        <f t="shared" si="8"/>
        <v>PTE AFIF</v>
      </c>
      <c r="AO34" s="29" t="str">
        <f t="shared" si="8"/>
        <v>PTE MICHAEL</v>
      </c>
      <c r="AP34" s="29" t="str">
        <f t="shared" si="8"/>
        <v>LCP ERNEST</v>
      </c>
      <c r="AQ34" s="29" t="str">
        <f t="shared" si="8"/>
        <v>PTE DYLAN</v>
      </c>
      <c r="AR34" s="29" t="str">
        <f t="shared" si="8"/>
        <v>PTE EZRA</v>
      </c>
      <c r="AS34" s="29" t="str">
        <f t="array" ref="AS34">IFERROR(INDEX($A$3:$A$30, MATCH(1, INDEX($F$3:$AS$30, 0, MATCH(AS2, $F$2:$AS$2, 0)), 0)), INDEX($A$3:$A$30, MATCH(1, INDEX($F$3:$AS$30, 0, MATCH(AS2&amp;" AM", $F$2:$AS$2, 0)), 0)))</f>
        <v>LCP ADAM</v>
      </c>
    </row>
    <row r="35">
      <c r="A35" s="17" t="s">
        <v>153</v>
      </c>
      <c r="C35" s="49">
        <f>COUNTA($F$1:$AS$1)</f>
        <v>40</v>
      </c>
      <c r="E35" s="46" t="s">
        <v>72</v>
      </c>
      <c r="F35" s="28" t="str">
        <f t="shared" ref="F35:AS35" si="9">INDEX($A$3:$A$30, MATCH("R", INDEX($F$3:$AS$30, 0, MATCH(F2, $F$2:$AS$2, 0)), 0))</f>
        <v>PTE JIREH</v>
      </c>
      <c r="G35" s="28" t="str">
        <f t="shared" si="9"/>
        <v>PTE SAMEER</v>
      </c>
      <c r="H35" s="28" t="str">
        <f t="shared" si="9"/>
        <v>PTE DARREN</v>
      </c>
      <c r="I35" s="28" t="str">
        <f t="shared" si="9"/>
        <v>PTE HAO QIAN</v>
      </c>
      <c r="J35" s="28" t="str">
        <f t="shared" si="9"/>
        <v>PTE AMIN</v>
      </c>
      <c r="K35" s="28" t="str">
        <f t="shared" si="9"/>
        <v>PTE ISAAC</v>
      </c>
      <c r="L35" s="28" t="str">
        <f t="shared" si="9"/>
        <v>REC PARAM</v>
      </c>
      <c r="M35" s="28" t="str">
        <f t="shared" si="9"/>
        <v>PTE DARREN</v>
      </c>
      <c r="N35" s="28" t="str">
        <f t="shared" si="9"/>
        <v>PTE JASPER</v>
      </c>
      <c r="O35" s="28" t="str">
        <f t="shared" si="9"/>
        <v>PTE HAQIMI</v>
      </c>
      <c r="P35" s="28" t="str">
        <f t="shared" si="9"/>
        <v>LCP AMIRUL</v>
      </c>
      <c r="Q35" s="28" t="str">
        <f t="shared" si="9"/>
        <v>PTE MICHAEL</v>
      </c>
      <c r="R35" s="28" t="str">
        <f t="shared" si="9"/>
        <v>LCP AMIRUL</v>
      </c>
      <c r="S35" s="28" t="str">
        <f t="shared" si="9"/>
        <v>PTE HOI REI</v>
      </c>
      <c r="T35" s="28" t="str">
        <f t="shared" si="9"/>
        <v>PTE JIREH</v>
      </c>
      <c r="U35" s="28" t="str">
        <f t="shared" si="9"/>
        <v>PTE AZHARI</v>
      </c>
      <c r="V35" s="28" t="str">
        <f t="shared" si="9"/>
        <v>PTE XIAO YU</v>
      </c>
      <c r="W35" s="28" t="str">
        <f t="shared" si="9"/>
        <v>PTE EZRA</v>
      </c>
      <c r="X35" s="28" t="str">
        <f t="shared" si="9"/>
        <v>3SG DANIEL</v>
      </c>
      <c r="Y35" s="28" t="str">
        <f t="shared" si="9"/>
        <v>PTE JASPER</v>
      </c>
      <c r="Z35" s="28" t="str">
        <f t="shared" si="9"/>
        <v>PTE SAMEER</v>
      </c>
      <c r="AA35" s="28" t="str">
        <f t="shared" si="9"/>
        <v>PTE HOI REI</v>
      </c>
      <c r="AB35" s="28" t="str">
        <f t="shared" si="9"/>
        <v>REC RUI FENG</v>
      </c>
      <c r="AC35" s="28" t="str">
        <f t="shared" si="9"/>
        <v>PTE ISAAC</v>
      </c>
      <c r="AD35" s="28" t="str">
        <f t="shared" si="9"/>
        <v>PTE DYLAN</v>
      </c>
      <c r="AE35" s="28" t="str">
        <f t="shared" si="9"/>
        <v>LCP ERNEST</v>
      </c>
      <c r="AF35" s="28" t="str">
        <f t="shared" si="9"/>
        <v>PTE SAMEER</v>
      </c>
      <c r="AG35" s="28" t="str">
        <f t="shared" si="9"/>
        <v>LCP ERNEST</v>
      </c>
      <c r="AH35" s="28" t="str">
        <f t="shared" si="9"/>
        <v>PTE AMIN</v>
      </c>
      <c r="AI35" s="28" t="str">
        <f t="shared" si="9"/>
        <v>REC ASH</v>
      </c>
      <c r="AJ35" s="28" t="str">
        <f t="shared" si="9"/>
        <v>PTE MICHAEL</v>
      </c>
      <c r="AK35" s="28" t="str">
        <f t="shared" si="9"/>
        <v>REC RUI FENG</v>
      </c>
      <c r="AL35" s="28" t="str">
        <f t="shared" si="9"/>
        <v>LCP ADAM</v>
      </c>
      <c r="AM35" s="28" t="str">
        <f t="shared" si="9"/>
        <v>PTE ANGELO</v>
      </c>
      <c r="AN35" s="28" t="str">
        <f t="shared" si="9"/>
        <v>LCP ADAM</v>
      </c>
      <c r="AO35" s="28" t="str">
        <f t="shared" si="9"/>
        <v>PTE AZHARI</v>
      </c>
      <c r="AP35" s="28" t="str">
        <f t="shared" si="9"/>
        <v>LCP FIRMAN</v>
      </c>
      <c r="AQ35" s="28" t="str">
        <f t="shared" si="9"/>
        <v>PTE AFIF</v>
      </c>
      <c r="AR35" s="28" t="str">
        <f t="shared" si="9"/>
        <v>PTE ANGELO</v>
      </c>
      <c r="AS35" s="28" t="str">
        <f t="shared" si="9"/>
        <v>PTE AFIF</v>
      </c>
    </row>
    <row r="36">
      <c r="A36" s="17" t="s">
        <v>154</v>
      </c>
      <c r="C36" s="50">
        <f>SUBTOTAL(103, $A$3:$A$30)
</f>
        <v>24</v>
      </c>
      <c r="E36" s="46" t="s">
        <v>70</v>
      </c>
      <c r="F36" s="30" t="str">
        <f t="shared" ref="F36:AS36" si="10">INDEX($A$3:$A$30, MATCH("R2", INDEX($F$3:$AS$30, 0, MATCH(F2, $F$2:$AS$2, 0)), 0))</f>
        <v>LCP ADAM</v>
      </c>
      <c r="G36" s="30" t="str">
        <f t="shared" si="10"/>
        <v>PTE JIREH</v>
      </c>
      <c r="H36" s="30" t="str">
        <f t="shared" si="10"/>
        <v>PTE SAMEER</v>
      </c>
      <c r="I36" s="30" t="str">
        <f t="shared" si="10"/>
        <v>PTE MICHAEL</v>
      </c>
      <c r="J36" s="30" t="str">
        <f t="shared" si="10"/>
        <v>PTE JASPER</v>
      </c>
      <c r="K36" s="30" t="str">
        <f t="shared" si="10"/>
        <v>PTE AMIN</v>
      </c>
      <c r="L36" s="30" t="str">
        <f t="shared" si="10"/>
        <v>PTE EZRA</v>
      </c>
      <c r="M36" s="30" t="str">
        <f t="shared" si="10"/>
        <v>PTE XIAO YU</v>
      </c>
      <c r="N36" s="30" t="str">
        <f t="shared" si="10"/>
        <v>PTE DARREN</v>
      </c>
      <c r="O36" s="30" t="str">
        <f t="shared" si="10"/>
        <v>REC ASH</v>
      </c>
      <c r="P36" s="30" t="str">
        <f t="shared" si="10"/>
        <v>3SG DANIEL</v>
      </c>
      <c r="Q36" s="30" t="str">
        <f t="shared" si="10"/>
        <v>PTE HOI REI</v>
      </c>
      <c r="R36" s="30" t="str">
        <f t="shared" si="10"/>
        <v>LCP ERNEST</v>
      </c>
      <c r="S36" s="30" t="str">
        <f t="shared" si="10"/>
        <v>PTE HAO QIAN</v>
      </c>
      <c r="T36" s="30" t="str">
        <f t="shared" si="10"/>
        <v>PTE ANGELO</v>
      </c>
      <c r="U36" s="30" t="str">
        <f t="shared" si="10"/>
        <v>REC PARAM</v>
      </c>
      <c r="V36" s="30" t="str">
        <f t="shared" si="10"/>
        <v>LCP FIRMAN</v>
      </c>
      <c r="W36" s="30" t="str">
        <f t="shared" si="10"/>
        <v>PTE AZHARI</v>
      </c>
      <c r="X36" s="30" t="str">
        <f t="shared" si="10"/>
        <v>PTE SAMEER</v>
      </c>
      <c r="Y36" s="30" t="str">
        <f t="shared" si="10"/>
        <v>3SG DANIEL</v>
      </c>
      <c r="Z36" s="30" t="str">
        <f t="shared" si="10"/>
        <v>PTE ISAAC</v>
      </c>
      <c r="AA36" s="30" t="str">
        <f t="shared" si="10"/>
        <v>PTE DARREN</v>
      </c>
      <c r="AB36" s="30" t="str">
        <f t="shared" si="10"/>
        <v>REC PARAM</v>
      </c>
      <c r="AC36" s="30" t="str">
        <f t="shared" si="10"/>
        <v>LCP AMIRUL</v>
      </c>
      <c r="AD36" s="30" t="str">
        <f t="shared" si="10"/>
        <v>REC RUI FENG</v>
      </c>
      <c r="AE36" s="30" t="str">
        <f t="shared" si="10"/>
        <v>PTE JASPER</v>
      </c>
      <c r="AF36" s="30" t="str">
        <f t="shared" si="10"/>
        <v>PTE AMIN</v>
      </c>
      <c r="AG36" s="30" t="str">
        <f t="shared" si="10"/>
        <v>LCP ADAM</v>
      </c>
      <c r="AH36" s="30" t="str">
        <f t="shared" si="10"/>
        <v>PTE MICHAEL</v>
      </c>
      <c r="AI36" s="30" t="str">
        <f t="shared" si="10"/>
        <v>PTE HAQIMI</v>
      </c>
      <c r="AJ36" s="30" t="str">
        <f t="shared" si="10"/>
        <v>PTE JIREH</v>
      </c>
      <c r="AK36" s="30" t="str">
        <f t="shared" si="10"/>
        <v>PTE AZHARI</v>
      </c>
      <c r="AL36" s="30" t="str">
        <f t="shared" si="10"/>
        <v>PTE HOI REI</v>
      </c>
      <c r="AM36" s="30" t="str">
        <f t="shared" si="10"/>
        <v>PTE AFIF</v>
      </c>
      <c r="AN36" s="30" t="str">
        <f t="shared" si="10"/>
        <v>LCP FIRMAN</v>
      </c>
      <c r="AO36" s="30" t="str">
        <f t="shared" si="10"/>
        <v>LCP AMIRUL</v>
      </c>
      <c r="AP36" s="30" t="str">
        <f t="shared" si="10"/>
        <v>PTE AFIF</v>
      </c>
      <c r="AQ36" s="30" t="str">
        <f t="shared" si="10"/>
        <v>PTE ISAAC</v>
      </c>
      <c r="AR36" s="30" t="str">
        <f t="shared" si="10"/>
        <v>PTE DYLAN</v>
      </c>
      <c r="AS36" s="30" t="str">
        <f t="shared" si="10"/>
        <v>PTE SAMEER</v>
      </c>
    </row>
    <row r="37">
      <c r="G37" s="31"/>
    </row>
    <row r="38">
      <c r="G38" s="31"/>
    </row>
    <row r="39">
      <c r="G39" s="31"/>
    </row>
    <row r="40">
      <c r="A40" s="26" t="s">
        <v>118</v>
      </c>
      <c r="G40" s="31"/>
    </row>
    <row r="41">
      <c r="A41" s="25" t="s">
        <v>119</v>
      </c>
      <c r="G41" s="31"/>
    </row>
    <row r="42">
      <c r="A42" s="22" t="s">
        <v>120</v>
      </c>
      <c r="G42" s="31"/>
    </row>
    <row r="43">
      <c r="A43" s="20" t="s">
        <v>121</v>
      </c>
      <c r="G43" s="31"/>
    </row>
    <row r="44">
      <c r="A44" s="23" t="s">
        <v>122</v>
      </c>
      <c r="G44" s="31"/>
    </row>
    <row r="45">
      <c r="A45" s="14" t="s">
        <v>123</v>
      </c>
      <c r="G45" s="31"/>
    </row>
    <row r="46">
      <c r="A46" s="27" t="s">
        <v>124</v>
      </c>
      <c r="G46" s="31"/>
    </row>
    <row r="47">
      <c r="A47" s="9" t="s">
        <v>125</v>
      </c>
      <c r="C47" s="31"/>
      <c r="G47" s="31"/>
    </row>
    <row r="48">
      <c r="A48" s="44" t="s">
        <v>126</v>
      </c>
      <c r="G48" s="31"/>
    </row>
    <row r="49">
      <c r="G49" s="31"/>
    </row>
    <row r="50">
      <c r="G50" s="31"/>
    </row>
    <row r="51">
      <c r="G51" s="31"/>
    </row>
    <row r="52">
      <c r="G52" s="31"/>
    </row>
    <row r="53">
      <c r="G53" s="31"/>
    </row>
    <row r="54">
      <c r="G54" s="31"/>
    </row>
    <row r="55">
      <c r="G55" s="31"/>
    </row>
    <row r="56">
      <c r="G56" s="31"/>
    </row>
    <row r="57">
      <c r="G57" s="31"/>
    </row>
    <row r="58">
      <c r="G58" s="31"/>
    </row>
    <row r="59">
      <c r="G59" s="31"/>
    </row>
    <row r="60">
      <c r="G60" s="31"/>
    </row>
    <row r="61">
      <c r="G61" s="31"/>
    </row>
    <row r="62">
      <c r="G62" s="31"/>
    </row>
    <row r="63">
      <c r="G63" s="31"/>
    </row>
    <row r="64">
      <c r="G64" s="31"/>
    </row>
    <row r="65">
      <c r="G65" s="31"/>
    </row>
    <row r="66">
      <c r="G66" s="31"/>
    </row>
    <row r="67">
      <c r="G67" s="31"/>
    </row>
    <row r="68">
      <c r="G68" s="31"/>
    </row>
    <row r="69">
      <c r="G69" s="31"/>
    </row>
    <row r="70">
      <c r="G70" s="31"/>
    </row>
    <row r="71">
      <c r="G71" s="31"/>
    </row>
    <row r="72">
      <c r="G72" s="31"/>
    </row>
    <row r="73">
      <c r="G73" s="31"/>
    </row>
    <row r="74">
      <c r="G74" s="31"/>
    </row>
    <row r="75">
      <c r="G75" s="31"/>
    </row>
    <row r="76">
      <c r="G76" s="31"/>
    </row>
    <row r="77">
      <c r="G77" s="31"/>
    </row>
    <row r="78">
      <c r="G78" s="31"/>
    </row>
    <row r="79">
      <c r="G79" s="31"/>
    </row>
    <row r="80">
      <c r="G80" s="31"/>
    </row>
    <row r="81">
      <c r="G81" s="31"/>
    </row>
    <row r="82">
      <c r="G82" s="31"/>
    </row>
    <row r="83">
      <c r="G83" s="31"/>
    </row>
    <row r="84">
      <c r="G84" s="31"/>
    </row>
    <row r="85">
      <c r="G85" s="31"/>
    </row>
    <row r="86">
      <c r="G86" s="31"/>
    </row>
    <row r="87">
      <c r="G87" s="31"/>
    </row>
    <row r="88">
      <c r="G88" s="31"/>
    </row>
    <row r="89">
      <c r="G89" s="31"/>
    </row>
    <row r="90">
      <c r="G90" s="31"/>
    </row>
    <row r="91">
      <c r="G91" s="31"/>
    </row>
    <row r="92">
      <c r="G92" s="31"/>
    </row>
    <row r="93">
      <c r="G93" s="31"/>
    </row>
    <row r="94">
      <c r="G94" s="31"/>
    </row>
    <row r="95">
      <c r="G95" s="31"/>
    </row>
    <row r="96">
      <c r="G96" s="31"/>
    </row>
    <row r="97">
      <c r="G97" s="31"/>
    </row>
    <row r="98">
      <c r="G98" s="31"/>
    </row>
    <row r="99">
      <c r="G99" s="31"/>
    </row>
    <row r="100">
      <c r="G100" s="31"/>
    </row>
    <row r="101">
      <c r="G101" s="31"/>
    </row>
    <row r="102">
      <c r="G102" s="31"/>
    </row>
    <row r="103">
      <c r="G103" s="31"/>
    </row>
    <row r="104">
      <c r="G104" s="31"/>
    </row>
    <row r="105">
      <c r="G105" s="31"/>
    </row>
    <row r="106">
      <c r="G106" s="31"/>
    </row>
    <row r="107">
      <c r="G107" s="31"/>
    </row>
    <row r="108">
      <c r="G108" s="31"/>
    </row>
    <row r="109">
      <c r="G109" s="31"/>
    </row>
    <row r="110">
      <c r="G110" s="31"/>
    </row>
    <row r="111">
      <c r="G111" s="31"/>
    </row>
    <row r="112">
      <c r="G112" s="31"/>
    </row>
    <row r="113">
      <c r="G113" s="31"/>
    </row>
    <row r="114">
      <c r="G114" s="31"/>
    </row>
    <row r="115">
      <c r="G115" s="31"/>
    </row>
    <row r="116">
      <c r="G116" s="31"/>
    </row>
    <row r="117">
      <c r="G117" s="31"/>
    </row>
    <row r="118">
      <c r="G118" s="31"/>
    </row>
    <row r="119">
      <c r="G119" s="31"/>
    </row>
    <row r="120">
      <c r="G120" s="31"/>
    </row>
    <row r="121">
      <c r="G121" s="31"/>
    </row>
    <row r="122">
      <c r="G122" s="31"/>
    </row>
    <row r="123">
      <c r="G123" s="31"/>
    </row>
    <row r="124">
      <c r="G124" s="31"/>
    </row>
    <row r="125">
      <c r="G125" s="31"/>
    </row>
    <row r="126">
      <c r="G126" s="31"/>
    </row>
    <row r="127">
      <c r="G127" s="31"/>
    </row>
    <row r="128">
      <c r="G128" s="31"/>
    </row>
    <row r="129">
      <c r="G129" s="31"/>
    </row>
    <row r="130">
      <c r="G130" s="31"/>
    </row>
    <row r="131">
      <c r="G131" s="31"/>
    </row>
    <row r="132">
      <c r="G132" s="31"/>
    </row>
    <row r="133">
      <c r="G133" s="31"/>
    </row>
    <row r="134">
      <c r="G134" s="31"/>
    </row>
    <row r="135">
      <c r="G135" s="31"/>
    </row>
    <row r="136">
      <c r="G136" s="31"/>
    </row>
    <row r="137">
      <c r="G137" s="31"/>
    </row>
    <row r="138">
      <c r="G138" s="31"/>
    </row>
    <row r="139">
      <c r="G139" s="31"/>
    </row>
    <row r="140">
      <c r="G140" s="31"/>
    </row>
    <row r="141">
      <c r="G141" s="31"/>
    </row>
    <row r="142">
      <c r="G142" s="31"/>
    </row>
    <row r="143">
      <c r="G143" s="31"/>
    </row>
    <row r="144">
      <c r="G144" s="31"/>
    </row>
    <row r="145">
      <c r="G145" s="31"/>
    </row>
    <row r="146">
      <c r="G146" s="31"/>
    </row>
    <row r="147">
      <c r="G147" s="31"/>
    </row>
    <row r="148">
      <c r="G148" s="31"/>
    </row>
    <row r="149">
      <c r="G149" s="31"/>
    </row>
    <row r="150">
      <c r="G150" s="31"/>
    </row>
    <row r="151">
      <c r="G151" s="31"/>
    </row>
    <row r="152">
      <c r="G152" s="31"/>
    </row>
    <row r="153">
      <c r="G153" s="31"/>
    </row>
    <row r="154">
      <c r="G154" s="31"/>
    </row>
    <row r="155">
      <c r="G155" s="31"/>
    </row>
    <row r="156">
      <c r="G156" s="31"/>
    </row>
    <row r="157">
      <c r="G157" s="31"/>
    </row>
    <row r="158">
      <c r="G158" s="31"/>
    </row>
    <row r="159">
      <c r="G159" s="31"/>
    </row>
    <row r="160">
      <c r="G160" s="31"/>
    </row>
    <row r="161">
      <c r="G161" s="31"/>
    </row>
    <row r="162">
      <c r="G162" s="31"/>
    </row>
    <row r="163">
      <c r="G163" s="31"/>
    </row>
    <row r="164">
      <c r="G164" s="31"/>
    </row>
    <row r="165">
      <c r="G165" s="31"/>
    </row>
    <row r="166">
      <c r="G166" s="31"/>
    </row>
    <row r="167">
      <c r="G167" s="31"/>
    </row>
    <row r="168">
      <c r="G168" s="31"/>
    </row>
    <row r="169">
      <c r="G169" s="31"/>
    </row>
    <row r="170">
      <c r="G170" s="31"/>
    </row>
    <row r="171">
      <c r="G171" s="31"/>
    </row>
    <row r="172">
      <c r="G172" s="31"/>
    </row>
    <row r="173">
      <c r="G173" s="31"/>
    </row>
    <row r="174">
      <c r="G174" s="31"/>
    </row>
    <row r="175">
      <c r="G175" s="31"/>
    </row>
    <row r="176">
      <c r="G176" s="31"/>
    </row>
    <row r="177">
      <c r="G177" s="31"/>
    </row>
    <row r="178">
      <c r="G178" s="31"/>
    </row>
    <row r="179">
      <c r="G179" s="31"/>
    </row>
    <row r="180">
      <c r="G180" s="31"/>
    </row>
    <row r="181">
      <c r="G181" s="31"/>
    </row>
    <row r="182">
      <c r="G182" s="31"/>
    </row>
    <row r="183">
      <c r="G183" s="31"/>
    </row>
    <row r="184">
      <c r="G184" s="31"/>
    </row>
    <row r="185">
      <c r="G185" s="31"/>
    </row>
    <row r="186">
      <c r="G186" s="31"/>
    </row>
    <row r="187">
      <c r="G187" s="31"/>
    </row>
    <row r="188">
      <c r="G188" s="31"/>
    </row>
    <row r="189">
      <c r="G189" s="31"/>
    </row>
    <row r="190">
      <c r="G190" s="31"/>
    </row>
    <row r="191">
      <c r="G191" s="31"/>
    </row>
    <row r="192">
      <c r="G192" s="31"/>
    </row>
    <row r="193">
      <c r="G193" s="31"/>
    </row>
    <row r="194">
      <c r="G194" s="31"/>
    </row>
    <row r="195">
      <c r="G195" s="31"/>
    </row>
    <row r="196">
      <c r="G196" s="31"/>
    </row>
    <row r="197">
      <c r="G197" s="31"/>
    </row>
    <row r="198">
      <c r="G198" s="31"/>
    </row>
    <row r="199">
      <c r="G199" s="31"/>
    </row>
    <row r="200">
      <c r="G200" s="31"/>
    </row>
    <row r="201">
      <c r="G201" s="31"/>
    </row>
    <row r="202">
      <c r="G202" s="31"/>
    </row>
    <row r="203">
      <c r="G203" s="31"/>
    </row>
    <row r="204">
      <c r="G204" s="31"/>
    </row>
    <row r="205">
      <c r="G205" s="31"/>
    </row>
    <row r="206">
      <c r="G206" s="31"/>
    </row>
    <row r="207">
      <c r="G207" s="31"/>
    </row>
    <row r="208">
      <c r="G208" s="31"/>
    </row>
    <row r="209">
      <c r="G209" s="31"/>
    </row>
    <row r="210">
      <c r="G210" s="31"/>
    </row>
    <row r="211">
      <c r="G211" s="31"/>
    </row>
    <row r="212">
      <c r="G212" s="31"/>
    </row>
    <row r="213">
      <c r="G213" s="31"/>
    </row>
    <row r="214">
      <c r="G214" s="31"/>
    </row>
    <row r="215">
      <c r="G215" s="31"/>
    </row>
    <row r="216">
      <c r="G216" s="31"/>
    </row>
    <row r="217">
      <c r="G217" s="31"/>
    </row>
    <row r="218">
      <c r="G218" s="31"/>
    </row>
    <row r="219">
      <c r="G219" s="31"/>
    </row>
    <row r="220">
      <c r="G220" s="31"/>
    </row>
    <row r="221">
      <c r="G221" s="31"/>
    </row>
    <row r="222">
      <c r="G222" s="31"/>
    </row>
    <row r="223">
      <c r="G223" s="31"/>
    </row>
    <row r="224">
      <c r="G224" s="31"/>
    </row>
    <row r="225">
      <c r="G225" s="31"/>
    </row>
    <row r="226">
      <c r="G226" s="31"/>
    </row>
    <row r="227">
      <c r="G227" s="31"/>
    </row>
    <row r="228">
      <c r="G228" s="31"/>
    </row>
    <row r="229">
      <c r="G229" s="31"/>
    </row>
    <row r="230">
      <c r="G230" s="31"/>
    </row>
    <row r="231">
      <c r="G231" s="31"/>
    </row>
    <row r="232">
      <c r="G232" s="31"/>
    </row>
    <row r="233">
      <c r="G233" s="31"/>
    </row>
    <row r="234">
      <c r="G234" s="31"/>
    </row>
    <row r="235">
      <c r="G235" s="31"/>
    </row>
    <row r="236">
      <c r="G236" s="31"/>
    </row>
    <row r="237">
      <c r="G237" s="31"/>
    </row>
    <row r="238">
      <c r="G238" s="31"/>
    </row>
    <row r="239">
      <c r="G239" s="31"/>
    </row>
    <row r="240">
      <c r="G240" s="31"/>
    </row>
    <row r="241">
      <c r="G241" s="31"/>
    </row>
    <row r="242">
      <c r="G242" s="31"/>
    </row>
    <row r="243">
      <c r="G243" s="31"/>
    </row>
    <row r="244">
      <c r="G244" s="31"/>
    </row>
    <row r="245">
      <c r="G245" s="31"/>
    </row>
    <row r="246">
      <c r="G246" s="31"/>
    </row>
    <row r="247">
      <c r="G247" s="31"/>
    </row>
    <row r="248">
      <c r="G248" s="31"/>
    </row>
    <row r="249">
      <c r="G249" s="31"/>
    </row>
    <row r="250">
      <c r="G250" s="31"/>
    </row>
    <row r="251">
      <c r="G251" s="31"/>
    </row>
    <row r="252">
      <c r="G252" s="31"/>
    </row>
    <row r="253">
      <c r="G253" s="31"/>
    </row>
    <row r="254">
      <c r="G254" s="31"/>
    </row>
    <row r="255">
      <c r="G255" s="31"/>
    </row>
    <row r="256">
      <c r="G256" s="31"/>
    </row>
    <row r="257">
      <c r="G257" s="31"/>
    </row>
    <row r="258">
      <c r="G258" s="31"/>
    </row>
    <row r="259">
      <c r="G259" s="31"/>
    </row>
    <row r="260">
      <c r="G260" s="31"/>
    </row>
    <row r="261">
      <c r="G261" s="31"/>
    </row>
    <row r="262">
      <c r="G262" s="31"/>
    </row>
    <row r="263">
      <c r="G263" s="31"/>
    </row>
    <row r="264">
      <c r="G264" s="31"/>
    </row>
    <row r="265">
      <c r="G265" s="31"/>
    </row>
    <row r="266">
      <c r="G266" s="31"/>
    </row>
    <row r="267">
      <c r="G267" s="31"/>
    </row>
    <row r="268">
      <c r="G268" s="31"/>
    </row>
    <row r="269">
      <c r="G269" s="31"/>
    </row>
    <row r="270">
      <c r="G270" s="31"/>
    </row>
    <row r="271">
      <c r="G271" s="31"/>
    </row>
    <row r="272">
      <c r="G272" s="31"/>
    </row>
    <row r="273">
      <c r="G273" s="31"/>
    </row>
    <row r="274">
      <c r="G274" s="31"/>
    </row>
    <row r="275">
      <c r="G275" s="31"/>
    </row>
    <row r="276">
      <c r="G276" s="31"/>
    </row>
    <row r="277">
      <c r="G277" s="31"/>
    </row>
    <row r="278">
      <c r="G278" s="31"/>
    </row>
    <row r="279">
      <c r="G279" s="31"/>
    </row>
    <row r="280">
      <c r="G280" s="31"/>
    </row>
    <row r="281">
      <c r="G281" s="31"/>
    </row>
    <row r="282">
      <c r="G282" s="31"/>
    </row>
    <row r="283">
      <c r="G283" s="31"/>
    </row>
    <row r="284">
      <c r="G284" s="31"/>
    </row>
    <row r="285">
      <c r="G285" s="31"/>
    </row>
    <row r="286">
      <c r="G286" s="31"/>
    </row>
    <row r="287">
      <c r="G287" s="31"/>
    </row>
    <row r="288">
      <c r="G288" s="31"/>
    </row>
    <row r="289">
      <c r="G289" s="31"/>
    </row>
    <row r="290">
      <c r="G290" s="31"/>
    </row>
    <row r="291">
      <c r="G291" s="31"/>
    </row>
    <row r="292">
      <c r="G292" s="31"/>
    </row>
    <row r="293">
      <c r="G293" s="31"/>
    </row>
    <row r="294">
      <c r="G294" s="31"/>
    </row>
    <row r="295">
      <c r="G295" s="31"/>
    </row>
    <row r="296">
      <c r="G296" s="31"/>
    </row>
    <row r="297">
      <c r="G297" s="31"/>
    </row>
    <row r="298">
      <c r="G298" s="31"/>
    </row>
    <row r="299">
      <c r="G299" s="31"/>
    </row>
    <row r="300">
      <c r="G300" s="31"/>
    </row>
    <row r="301">
      <c r="G301" s="31"/>
    </row>
    <row r="302">
      <c r="G302" s="31"/>
    </row>
    <row r="303">
      <c r="G303" s="31"/>
    </row>
    <row r="304">
      <c r="G304" s="31"/>
    </row>
    <row r="305">
      <c r="G305" s="31"/>
    </row>
    <row r="306">
      <c r="G306" s="31"/>
    </row>
    <row r="307">
      <c r="G307" s="31"/>
    </row>
    <row r="308">
      <c r="G308" s="31"/>
    </row>
    <row r="309">
      <c r="G309" s="31"/>
    </row>
    <row r="310">
      <c r="G310" s="31"/>
    </row>
    <row r="311">
      <c r="G311" s="31"/>
    </row>
    <row r="312">
      <c r="G312" s="31"/>
    </row>
    <row r="313">
      <c r="G313" s="31"/>
    </row>
    <row r="314">
      <c r="G314" s="31"/>
    </row>
    <row r="315">
      <c r="G315" s="31"/>
    </row>
    <row r="316">
      <c r="G316" s="31"/>
    </row>
    <row r="317">
      <c r="G317" s="31"/>
    </row>
    <row r="318">
      <c r="G318" s="31"/>
    </row>
    <row r="319">
      <c r="G319" s="31"/>
    </row>
    <row r="320">
      <c r="G320" s="31"/>
    </row>
    <row r="321">
      <c r="G321" s="31"/>
    </row>
    <row r="322">
      <c r="G322" s="31"/>
    </row>
    <row r="323">
      <c r="G323" s="31"/>
    </row>
    <row r="324">
      <c r="G324" s="31"/>
    </row>
    <row r="325">
      <c r="G325" s="31"/>
    </row>
    <row r="326">
      <c r="G326" s="31"/>
    </row>
    <row r="327">
      <c r="G327" s="31"/>
    </row>
    <row r="328">
      <c r="G328" s="31"/>
    </row>
    <row r="329">
      <c r="G329" s="31"/>
    </row>
    <row r="330">
      <c r="G330" s="31"/>
    </row>
    <row r="331">
      <c r="G331" s="31"/>
    </row>
    <row r="332">
      <c r="G332" s="31"/>
    </row>
    <row r="333">
      <c r="G333" s="31"/>
    </row>
    <row r="334">
      <c r="G334" s="31"/>
    </row>
    <row r="335">
      <c r="G335" s="31"/>
    </row>
    <row r="336">
      <c r="G336" s="31"/>
    </row>
    <row r="337">
      <c r="G337" s="31"/>
    </row>
    <row r="338">
      <c r="G338" s="31"/>
    </row>
    <row r="339">
      <c r="G339" s="31"/>
    </row>
    <row r="340">
      <c r="G340" s="31"/>
    </row>
    <row r="341">
      <c r="G341" s="31"/>
    </row>
    <row r="342">
      <c r="G342" s="31"/>
    </row>
    <row r="343">
      <c r="G343" s="31"/>
    </row>
    <row r="344">
      <c r="G344" s="31"/>
    </row>
    <row r="345">
      <c r="G345" s="31"/>
    </row>
    <row r="346">
      <c r="G346" s="31"/>
    </row>
    <row r="347">
      <c r="G347" s="31"/>
    </row>
    <row r="348">
      <c r="G348" s="31"/>
    </row>
    <row r="349">
      <c r="G349" s="31"/>
    </row>
    <row r="350">
      <c r="G350" s="31"/>
    </row>
    <row r="351">
      <c r="G351" s="31"/>
    </row>
    <row r="352">
      <c r="G352" s="31"/>
    </row>
    <row r="353">
      <c r="G353" s="31"/>
    </row>
    <row r="354">
      <c r="G354" s="31"/>
    </row>
    <row r="355">
      <c r="G355" s="31"/>
    </row>
    <row r="356">
      <c r="G356" s="31"/>
    </row>
    <row r="357">
      <c r="G357" s="31"/>
    </row>
    <row r="358">
      <c r="G358" s="31"/>
    </row>
    <row r="359">
      <c r="G359" s="31"/>
    </row>
    <row r="360">
      <c r="G360" s="31"/>
    </row>
    <row r="361">
      <c r="G361" s="31"/>
    </row>
    <row r="362">
      <c r="G362" s="31"/>
    </row>
    <row r="363">
      <c r="G363" s="31"/>
    </row>
    <row r="364">
      <c r="G364" s="31"/>
    </row>
    <row r="365">
      <c r="G365" s="31"/>
    </row>
    <row r="366">
      <c r="G366" s="31"/>
    </row>
    <row r="367">
      <c r="G367" s="31"/>
    </row>
    <row r="368">
      <c r="G368" s="31"/>
    </row>
    <row r="369">
      <c r="G369" s="31"/>
    </row>
    <row r="370">
      <c r="G370" s="31"/>
    </row>
    <row r="371">
      <c r="G371" s="31"/>
    </row>
    <row r="372">
      <c r="G372" s="31"/>
    </row>
    <row r="373">
      <c r="G373" s="31"/>
    </row>
    <row r="374">
      <c r="G374" s="31"/>
    </row>
    <row r="375">
      <c r="G375" s="31"/>
    </row>
    <row r="376">
      <c r="G376" s="31"/>
    </row>
    <row r="377">
      <c r="G377" s="31"/>
    </row>
    <row r="378">
      <c r="G378" s="31"/>
    </row>
    <row r="379">
      <c r="G379" s="31"/>
    </row>
    <row r="380">
      <c r="G380" s="31"/>
    </row>
    <row r="381">
      <c r="G381" s="31"/>
    </row>
    <row r="382">
      <c r="G382" s="31"/>
    </row>
    <row r="383">
      <c r="G383" s="31"/>
    </row>
    <row r="384">
      <c r="G384" s="31"/>
    </row>
    <row r="385">
      <c r="G385" s="31"/>
    </row>
    <row r="386">
      <c r="G386" s="31"/>
    </row>
    <row r="387">
      <c r="G387" s="31"/>
    </row>
    <row r="388">
      <c r="G388" s="31"/>
    </row>
    <row r="389">
      <c r="G389" s="31"/>
    </row>
    <row r="390">
      <c r="G390" s="31"/>
    </row>
    <row r="391">
      <c r="G391" s="31"/>
    </row>
    <row r="392">
      <c r="G392" s="31"/>
    </row>
    <row r="393">
      <c r="G393" s="31"/>
    </row>
    <row r="394">
      <c r="G394" s="31"/>
    </row>
    <row r="395">
      <c r="G395" s="31"/>
    </row>
    <row r="396">
      <c r="G396" s="31"/>
    </row>
    <row r="397">
      <c r="G397" s="31"/>
    </row>
    <row r="398">
      <c r="G398" s="31"/>
    </row>
    <row r="399">
      <c r="G399" s="31"/>
    </row>
    <row r="400">
      <c r="G400" s="31"/>
    </row>
    <row r="401">
      <c r="G401" s="31"/>
    </row>
    <row r="402">
      <c r="G402" s="31"/>
    </row>
    <row r="403">
      <c r="G403" s="31"/>
    </row>
    <row r="404">
      <c r="G404" s="31"/>
    </row>
    <row r="405">
      <c r="G405" s="31"/>
    </row>
    <row r="406">
      <c r="G406" s="31"/>
    </row>
    <row r="407">
      <c r="G407" s="31"/>
    </row>
    <row r="408">
      <c r="G408" s="31"/>
    </row>
    <row r="409">
      <c r="G409" s="31"/>
    </row>
    <row r="410">
      <c r="G410" s="31"/>
    </row>
    <row r="411">
      <c r="G411" s="31"/>
    </row>
    <row r="412">
      <c r="G412" s="31"/>
    </row>
    <row r="413">
      <c r="G413" s="31"/>
    </row>
    <row r="414">
      <c r="G414" s="31"/>
    </row>
    <row r="415">
      <c r="G415" s="31"/>
    </row>
    <row r="416">
      <c r="G416" s="31"/>
    </row>
    <row r="417">
      <c r="G417" s="31"/>
    </row>
    <row r="418">
      <c r="G418" s="31"/>
    </row>
    <row r="419">
      <c r="G419" s="31"/>
    </row>
    <row r="420">
      <c r="G420" s="31"/>
    </row>
    <row r="421">
      <c r="G421" s="31"/>
    </row>
    <row r="422">
      <c r="G422" s="31"/>
    </row>
    <row r="423">
      <c r="G423" s="31"/>
    </row>
    <row r="424">
      <c r="G424" s="31"/>
    </row>
    <row r="425">
      <c r="G425" s="31"/>
    </row>
    <row r="426">
      <c r="G426" s="31"/>
    </row>
    <row r="427">
      <c r="G427" s="31"/>
    </row>
    <row r="428">
      <c r="G428" s="31"/>
    </row>
    <row r="429">
      <c r="G429" s="31"/>
    </row>
    <row r="430">
      <c r="G430" s="31"/>
    </row>
    <row r="431">
      <c r="G431" s="31"/>
    </row>
    <row r="432">
      <c r="G432" s="31"/>
    </row>
    <row r="433">
      <c r="G433" s="31"/>
    </row>
    <row r="434">
      <c r="G434" s="31"/>
    </row>
    <row r="435">
      <c r="G435" s="31"/>
    </row>
    <row r="436">
      <c r="G436" s="31"/>
    </row>
    <row r="437">
      <c r="G437" s="31"/>
    </row>
    <row r="438">
      <c r="G438" s="31"/>
    </row>
    <row r="439">
      <c r="G439" s="31"/>
    </row>
    <row r="440">
      <c r="G440" s="31"/>
    </row>
    <row r="441">
      <c r="G441" s="31"/>
    </row>
    <row r="442">
      <c r="G442" s="31"/>
    </row>
    <row r="443">
      <c r="G443" s="31"/>
    </row>
    <row r="444">
      <c r="G444" s="31"/>
    </row>
    <row r="445">
      <c r="G445" s="31"/>
    </row>
    <row r="446">
      <c r="G446" s="31"/>
    </row>
    <row r="447">
      <c r="G447" s="31"/>
    </row>
    <row r="448">
      <c r="G448" s="31"/>
    </row>
    <row r="449">
      <c r="G449" s="31"/>
    </row>
    <row r="450">
      <c r="G450" s="31"/>
    </row>
    <row r="451">
      <c r="G451" s="31"/>
    </row>
    <row r="452">
      <c r="G452" s="31"/>
    </row>
    <row r="453">
      <c r="G453" s="31"/>
    </row>
    <row r="454">
      <c r="G454" s="31"/>
    </row>
    <row r="455">
      <c r="G455" s="31"/>
    </row>
    <row r="456">
      <c r="G456" s="31"/>
    </row>
    <row r="457">
      <c r="G457" s="31"/>
    </row>
    <row r="458">
      <c r="G458" s="31"/>
    </row>
    <row r="459">
      <c r="G459" s="31"/>
    </row>
    <row r="460">
      <c r="G460" s="31"/>
    </row>
    <row r="461">
      <c r="G461" s="31"/>
    </row>
    <row r="462">
      <c r="G462" s="31"/>
    </row>
    <row r="463">
      <c r="G463" s="31"/>
    </row>
    <row r="464">
      <c r="G464" s="31"/>
    </row>
    <row r="465">
      <c r="G465" s="31"/>
    </row>
    <row r="466">
      <c r="G466" s="31"/>
    </row>
    <row r="467">
      <c r="G467" s="31"/>
    </row>
    <row r="468">
      <c r="G468" s="31"/>
    </row>
    <row r="469">
      <c r="G469" s="31"/>
    </row>
    <row r="470">
      <c r="G470" s="31"/>
    </row>
    <row r="471">
      <c r="G471" s="31"/>
    </row>
    <row r="472">
      <c r="G472" s="31"/>
    </row>
    <row r="473">
      <c r="G473" s="31"/>
    </row>
    <row r="474">
      <c r="G474" s="31"/>
    </row>
    <row r="475">
      <c r="G475" s="31"/>
    </row>
    <row r="476">
      <c r="G476" s="31"/>
    </row>
    <row r="477">
      <c r="G477" s="31"/>
    </row>
    <row r="478">
      <c r="G478" s="31"/>
    </row>
    <row r="479">
      <c r="G479" s="31"/>
    </row>
    <row r="480">
      <c r="G480" s="31"/>
    </row>
    <row r="481">
      <c r="G481" s="31"/>
    </row>
    <row r="482">
      <c r="G482" s="31"/>
    </row>
    <row r="483">
      <c r="G483" s="31"/>
    </row>
    <row r="484">
      <c r="G484" s="31"/>
    </row>
    <row r="485">
      <c r="G485" s="31"/>
    </row>
    <row r="486">
      <c r="G486" s="31"/>
    </row>
    <row r="487">
      <c r="G487" s="31"/>
    </row>
    <row r="488">
      <c r="G488" s="31"/>
    </row>
    <row r="489">
      <c r="G489" s="31"/>
    </row>
    <row r="490">
      <c r="G490" s="31"/>
    </row>
    <row r="491">
      <c r="G491" s="31"/>
    </row>
    <row r="492">
      <c r="G492" s="31"/>
    </row>
    <row r="493">
      <c r="G493" s="31"/>
    </row>
    <row r="494">
      <c r="G494" s="31"/>
    </row>
    <row r="495">
      <c r="G495" s="31"/>
    </row>
    <row r="496">
      <c r="G496" s="31"/>
    </row>
    <row r="497">
      <c r="G497" s="31"/>
    </row>
    <row r="498">
      <c r="G498" s="31"/>
    </row>
    <row r="499">
      <c r="G499" s="31"/>
    </row>
    <row r="500">
      <c r="G500" s="31"/>
    </row>
    <row r="501">
      <c r="G501" s="31"/>
    </row>
    <row r="502">
      <c r="G502" s="31"/>
    </row>
    <row r="503">
      <c r="G503" s="31"/>
    </row>
    <row r="504">
      <c r="G504" s="31"/>
    </row>
    <row r="505">
      <c r="G505" s="31"/>
    </row>
    <row r="506">
      <c r="G506" s="31"/>
    </row>
    <row r="507">
      <c r="G507" s="31"/>
    </row>
    <row r="508">
      <c r="G508" s="31"/>
    </row>
    <row r="509">
      <c r="G509" s="31"/>
    </row>
    <row r="510">
      <c r="G510" s="31"/>
    </row>
    <row r="511">
      <c r="G511" s="31"/>
    </row>
    <row r="512">
      <c r="G512" s="31"/>
    </row>
    <row r="513">
      <c r="G513" s="31"/>
    </row>
    <row r="514">
      <c r="G514" s="31"/>
    </row>
    <row r="515">
      <c r="G515" s="31"/>
    </row>
    <row r="516">
      <c r="G516" s="31"/>
    </row>
    <row r="517">
      <c r="G517" s="31"/>
    </row>
    <row r="518">
      <c r="G518" s="31"/>
    </row>
    <row r="519">
      <c r="G519" s="31"/>
    </row>
    <row r="520">
      <c r="G520" s="31"/>
    </row>
    <row r="521">
      <c r="G521" s="31"/>
    </row>
    <row r="522">
      <c r="G522" s="31"/>
    </row>
    <row r="523">
      <c r="G523" s="31"/>
    </row>
    <row r="524">
      <c r="G524" s="31"/>
    </row>
    <row r="525">
      <c r="G525" s="31"/>
    </row>
    <row r="526">
      <c r="G526" s="31"/>
    </row>
    <row r="527">
      <c r="G527" s="31"/>
    </row>
    <row r="528">
      <c r="G528" s="31"/>
    </row>
    <row r="529">
      <c r="G529" s="31"/>
    </row>
    <row r="530">
      <c r="G530" s="31"/>
    </row>
    <row r="531">
      <c r="G531" s="31"/>
    </row>
    <row r="532">
      <c r="G532" s="31"/>
    </row>
    <row r="533">
      <c r="G533" s="31"/>
    </row>
    <row r="534">
      <c r="G534" s="31"/>
    </row>
    <row r="535">
      <c r="G535" s="31"/>
    </row>
    <row r="536">
      <c r="G536" s="31"/>
    </row>
    <row r="537">
      <c r="G537" s="31"/>
    </row>
    <row r="538">
      <c r="G538" s="31"/>
    </row>
    <row r="539">
      <c r="G539" s="31"/>
    </row>
    <row r="540">
      <c r="G540" s="31"/>
    </row>
    <row r="541">
      <c r="G541" s="31"/>
    </row>
    <row r="542">
      <c r="G542" s="31"/>
    </row>
    <row r="543">
      <c r="G543" s="31"/>
    </row>
    <row r="544">
      <c r="G544" s="31"/>
    </row>
    <row r="545">
      <c r="G545" s="31"/>
    </row>
    <row r="546">
      <c r="G546" s="31"/>
    </row>
    <row r="547">
      <c r="G547" s="31"/>
    </row>
    <row r="548">
      <c r="G548" s="31"/>
    </row>
    <row r="549">
      <c r="G549" s="31"/>
    </row>
    <row r="550">
      <c r="G550" s="31"/>
    </row>
    <row r="551">
      <c r="G551" s="31"/>
    </row>
    <row r="552">
      <c r="G552" s="31"/>
    </row>
    <row r="553">
      <c r="G553" s="31"/>
    </row>
    <row r="554">
      <c r="G554" s="31"/>
    </row>
    <row r="555">
      <c r="G555" s="31"/>
    </row>
    <row r="556">
      <c r="G556" s="31"/>
    </row>
    <row r="557">
      <c r="G557" s="31"/>
    </row>
    <row r="558">
      <c r="G558" s="31"/>
    </row>
    <row r="559">
      <c r="G559" s="31"/>
    </row>
    <row r="560">
      <c r="G560" s="31"/>
    </row>
    <row r="561">
      <c r="G561" s="31"/>
    </row>
    <row r="562">
      <c r="G562" s="31"/>
    </row>
    <row r="563">
      <c r="G563" s="31"/>
    </row>
    <row r="564">
      <c r="G564" s="31"/>
    </row>
    <row r="565">
      <c r="G565" s="31"/>
    </row>
    <row r="566">
      <c r="G566" s="31"/>
    </row>
    <row r="567">
      <c r="G567" s="31"/>
    </row>
    <row r="568">
      <c r="G568" s="31"/>
    </row>
    <row r="569">
      <c r="G569" s="31"/>
    </row>
    <row r="570">
      <c r="G570" s="31"/>
    </row>
    <row r="571">
      <c r="G571" s="31"/>
    </row>
    <row r="572">
      <c r="G572" s="31"/>
    </row>
    <row r="573">
      <c r="G573" s="31"/>
    </row>
    <row r="574">
      <c r="G574" s="31"/>
    </row>
    <row r="575">
      <c r="G575" s="31"/>
    </row>
    <row r="576">
      <c r="G576" s="31"/>
    </row>
    <row r="577">
      <c r="G577" s="31"/>
    </row>
    <row r="578">
      <c r="G578" s="31"/>
    </row>
    <row r="579">
      <c r="G579" s="31"/>
    </row>
    <row r="580">
      <c r="G580" s="31"/>
    </row>
    <row r="581">
      <c r="G581" s="31"/>
    </row>
    <row r="582">
      <c r="G582" s="31"/>
    </row>
    <row r="583">
      <c r="G583" s="31"/>
    </row>
    <row r="584">
      <c r="G584" s="31"/>
    </row>
    <row r="585">
      <c r="G585" s="31"/>
    </row>
    <row r="586">
      <c r="G586" s="31"/>
    </row>
    <row r="587">
      <c r="G587" s="31"/>
    </row>
    <row r="588">
      <c r="G588" s="31"/>
    </row>
    <row r="589">
      <c r="G589" s="31"/>
    </row>
    <row r="590">
      <c r="G590" s="31"/>
    </row>
    <row r="591">
      <c r="G591" s="31"/>
    </row>
    <row r="592">
      <c r="G592" s="31"/>
    </row>
    <row r="593">
      <c r="G593" s="31"/>
    </row>
    <row r="594">
      <c r="G594" s="31"/>
    </row>
    <row r="595">
      <c r="G595" s="31"/>
    </row>
    <row r="596">
      <c r="G596" s="31"/>
    </row>
    <row r="597">
      <c r="G597" s="31"/>
    </row>
    <row r="598">
      <c r="G598" s="31"/>
    </row>
    <row r="599">
      <c r="G599" s="31"/>
    </row>
    <row r="600">
      <c r="G600" s="31"/>
    </row>
    <row r="601">
      <c r="G601" s="31"/>
    </row>
    <row r="602">
      <c r="G602" s="31"/>
    </row>
    <row r="603">
      <c r="G603" s="31"/>
    </row>
    <row r="604">
      <c r="G604" s="31"/>
    </row>
    <row r="605">
      <c r="G605" s="31"/>
    </row>
    <row r="606">
      <c r="G606" s="31"/>
    </row>
    <row r="607">
      <c r="G607" s="31"/>
    </row>
    <row r="608">
      <c r="G608" s="31"/>
    </row>
    <row r="609">
      <c r="G609" s="31"/>
    </row>
    <row r="610">
      <c r="G610" s="31"/>
    </row>
    <row r="611">
      <c r="G611" s="31"/>
    </row>
    <row r="612">
      <c r="G612" s="31"/>
    </row>
    <row r="613">
      <c r="G613" s="31"/>
    </row>
    <row r="614">
      <c r="G614" s="31"/>
    </row>
    <row r="615">
      <c r="G615" s="31"/>
    </row>
    <row r="616">
      <c r="G616" s="31"/>
    </row>
    <row r="617">
      <c r="G617" s="31"/>
    </row>
    <row r="618">
      <c r="G618" s="31"/>
    </row>
    <row r="619">
      <c r="G619" s="31"/>
    </row>
    <row r="620">
      <c r="G620" s="31"/>
    </row>
    <row r="621">
      <c r="G621" s="31"/>
    </row>
    <row r="622">
      <c r="G622" s="31"/>
    </row>
    <row r="623">
      <c r="G623" s="31"/>
    </row>
    <row r="624">
      <c r="G624" s="31"/>
    </row>
    <row r="625">
      <c r="G625" s="31"/>
    </row>
    <row r="626">
      <c r="G626" s="31"/>
    </row>
    <row r="627">
      <c r="G627" s="31"/>
    </row>
    <row r="628">
      <c r="G628" s="31"/>
    </row>
    <row r="629">
      <c r="G629" s="31"/>
    </row>
    <row r="630">
      <c r="G630" s="31"/>
    </row>
    <row r="631">
      <c r="G631" s="31"/>
    </row>
    <row r="632">
      <c r="G632" s="31"/>
    </row>
    <row r="633">
      <c r="G633" s="31"/>
    </row>
    <row r="634">
      <c r="G634" s="31"/>
    </row>
    <row r="635">
      <c r="G635" s="31"/>
    </row>
    <row r="636">
      <c r="G636" s="31"/>
    </row>
    <row r="637">
      <c r="G637" s="31"/>
    </row>
    <row r="638">
      <c r="G638" s="31"/>
    </row>
    <row r="639">
      <c r="G639" s="31"/>
    </row>
    <row r="640">
      <c r="G640" s="31"/>
    </row>
    <row r="641">
      <c r="G641" s="31"/>
    </row>
    <row r="642">
      <c r="G642" s="31"/>
    </row>
    <row r="643">
      <c r="G643" s="31"/>
    </row>
    <row r="644">
      <c r="G644" s="31"/>
    </row>
    <row r="645">
      <c r="G645" s="31"/>
    </row>
    <row r="646">
      <c r="G646" s="31"/>
    </row>
    <row r="647">
      <c r="G647" s="31"/>
    </row>
    <row r="648">
      <c r="G648" s="31"/>
    </row>
    <row r="649">
      <c r="G649" s="31"/>
    </row>
    <row r="650">
      <c r="G650" s="31"/>
    </row>
    <row r="651">
      <c r="G651" s="31"/>
    </row>
    <row r="652">
      <c r="G652" s="31"/>
    </row>
    <row r="653">
      <c r="G653" s="31"/>
    </row>
    <row r="654">
      <c r="G654" s="31"/>
    </row>
    <row r="655">
      <c r="G655" s="31"/>
    </row>
    <row r="656">
      <c r="G656" s="31"/>
    </row>
    <row r="657">
      <c r="G657" s="31"/>
    </row>
    <row r="658">
      <c r="G658" s="31"/>
    </row>
    <row r="659">
      <c r="G659" s="31"/>
    </row>
    <row r="660">
      <c r="G660" s="31"/>
    </row>
    <row r="661">
      <c r="G661" s="31"/>
    </row>
    <row r="662">
      <c r="G662" s="31"/>
    </row>
    <row r="663">
      <c r="G663" s="31"/>
    </row>
    <row r="664">
      <c r="G664" s="31"/>
    </row>
    <row r="665">
      <c r="G665" s="31"/>
    </row>
    <row r="666">
      <c r="G666" s="31"/>
    </row>
    <row r="667">
      <c r="G667" s="31"/>
    </row>
    <row r="668">
      <c r="G668" s="31"/>
    </row>
    <row r="669">
      <c r="G669" s="31"/>
    </row>
    <row r="670">
      <c r="G670" s="31"/>
    </row>
    <row r="671">
      <c r="G671" s="31"/>
    </row>
    <row r="672">
      <c r="G672" s="31"/>
    </row>
    <row r="673">
      <c r="G673" s="31"/>
    </row>
    <row r="674">
      <c r="G674" s="31"/>
    </row>
    <row r="675">
      <c r="G675" s="31"/>
    </row>
    <row r="676">
      <c r="G676" s="31"/>
    </row>
    <row r="677">
      <c r="G677" s="31"/>
    </row>
    <row r="678">
      <c r="G678" s="31"/>
    </row>
    <row r="679">
      <c r="G679" s="31"/>
    </row>
    <row r="680">
      <c r="G680" s="31"/>
    </row>
    <row r="681">
      <c r="G681" s="31"/>
    </row>
    <row r="682">
      <c r="G682" s="31"/>
    </row>
    <row r="683">
      <c r="G683" s="31"/>
    </row>
    <row r="684">
      <c r="G684" s="31"/>
    </row>
    <row r="685">
      <c r="G685" s="31"/>
    </row>
    <row r="686">
      <c r="G686" s="31"/>
    </row>
    <row r="687">
      <c r="G687" s="31"/>
    </row>
    <row r="688">
      <c r="G688" s="31"/>
    </row>
    <row r="689">
      <c r="G689" s="31"/>
    </row>
    <row r="690">
      <c r="G690" s="31"/>
    </row>
    <row r="691">
      <c r="G691" s="31"/>
    </row>
    <row r="692">
      <c r="G692" s="31"/>
    </row>
    <row r="693">
      <c r="G693" s="31"/>
    </row>
    <row r="694">
      <c r="G694" s="31"/>
    </row>
    <row r="695">
      <c r="G695" s="31"/>
    </row>
    <row r="696">
      <c r="G696" s="31"/>
    </row>
    <row r="697">
      <c r="G697" s="31"/>
    </row>
    <row r="698">
      <c r="G698" s="31"/>
    </row>
    <row r="699">
      <c r="G699" s="31"/>
    </row>
    <row r="700">
      <c r="G700" s="31"/>
    </row>
    <row r="701">
      <c r="G701" s="31"/>
    </row>
    <row r="702">
      <c r="G702" s="31"/>
    </row>
    <row r="703">
      <c r="G703" s="31"/>
    </row>
    <row r="704">
      <c r="G704" s="31"/>
    </row>
    <row r="705">
      <c r="G705" s="31"/>
    </row>
    <row r="706">
      <c r="G706" s="31"/>
    </row>
    <row r="707">
      <c r="G707" s="31"/>
    </row>
    <row r="708">
      <c r="G708" s="31"/>
    </row>
    <row r="709">
      <c r="G709" s="31"/>
    </row>
    <row r="710">
      <c r="G710" s="31"/>
    </row>
    <row r="711">
      <c r="G711" s="31"/>
    </row>
    <row r="712">
      <c r="G712" s="31"/>
    </row>
    <row r="713">
      <c r="G713" s="31"/>
    </row>
    <row r="714">
      <c r="G714" s="31"/>
    </row>
    <row r="715">
      <c r="G715" s="31"/>
    </row>
    <row r="716">
      <c r="G716" s="31"/>
    </row>
    <row r="717">
      <c r="G717" s="31"/>
    </row>
    <row r="718">
      <c r="G718" s="31"/>
    </row>
    <row r="719">
      <c r="G719" s="31"/>
    </row>
    <row r="720">
      <c r="G720" s="31"/>
    </row>
    <row r="721">
      <c r="G721" s="31"/>
    </row>
    <row r="722">
      <c r="G722" s="31"/>
    </row>
    <row r="723">
      <c r="G723" s="31"/>
    </row>
    <row r="724">
      <c r="G724" s="31"/>
    </row>
    <row r="725">
      <c r="G725" s="31"/>
    </row>
    <row r="726">
      <c r="G726" s="31"/>
    </row>
    <row r="727">
      <c r="G727" s="31"/>
    </row>
    <row r="728">
      <c r="G728" s="31"/>
    </row>
    <row r="729">
      <c r="G729" s="31"/>
    </row>
    <row r="730">
      <c r="G730" s="31"/>
    </row>
    <row r="731">
      <c r="G731" s="31"/>
    </row>
    <row r="732">
      <c r="G732" s="31"/>
    </row>
    <row r="733">
      <c r="G733" s="31"/>
    </row>
    <row r="734">
      <c r="G734" s="31"/>
    </row>
    <row r="735">
      <c r="G735" s="31"/>
    </row>
    <row r="736">
      <c r="G736" s="31"/>
    </row>
    <row r="737">
      <c r="G737" s="31"/>
    </row>
    <row r="738">
      <c r="G738" s="31"/>
    </row>
    <row r="739">
      <c r="G739" s="31"/>
    </row>
    <row r="740">
      <c r="G740" s="31"/>
    </row>
    <row r="741">
      <c r="G741" s="31"/>
    </row>
    <row r="742">
      <c r="G742" s="31"/>
    </row>
    <row r="743">
      <c r="G743" s="31"/>
    </row>
    <row r="744">
      <c r="G744" s="31"/>
    </row>
    <row r="745">
      <c r="G745" s="31"/>
    </row>
    <row r="746">
      <c r="G746" s="31"/>
    </row>
    <row r="747">
      <c r="G747" s="31"/>
    </row>
    <row r="748">
      <c r="G748" s="31"/>
    </row>
    <row r="749">
      <c r="G749" s="31"/>
    </row>
    <row r="750">
      <c r="G750" s="31"/>
    </row>
    <row r="751">
      <c r="G751" s="31"/>
    </row>
    <row r="752">
      <c r="G752" s="31"/>
    </row>
    <row r="753">
      <c r="G753" s="31"/>
    </row>
    <row r="754">
      <c r="G754" s="31"/>
    </row>
    <row r="755">
      <c r="G755" s="31"/>
    </row>
    <row r="756">
      <c r="G756" s="31"/>
    </row>
    <row r="757">
      <c r="G757" s="31"/>
    </row>
    <row r="758">
      <c r="G758" s="31"/>
    </row>
    <row r="759">
      <c r="G759" s="31"/>
    </row>
    <row r="760">
      <c r="G760" s="31"/>
    </row>
    <row r="761">
      <c r="G761" s="31"/>
    </row>
    <row r="762">
      <c r="G762" s="31"/>
    </row>
    <row r="763">
      <c r="G763" s="31"/>
    </row>
    <row r="764">
      <c r="G764" s="31"/>
    </row>
    <row r="765">
      <c r="G765" s="31"/>
    </row>
    <row r="766">
      <c r="G766" s="31"/>
    </row>
    <row r="767">
      <c r="G767" s="31"/>
    </row>
    <row r="768">
      <c r="G768" s="31"/>
    </row>
    <row r="769">
      <c r="G769" s="31"/>
    </row>
    <row r="770">
      <c r="G770" s="31"/>
    </row>
    <row r="771">
      <c r="G771" s="31"/>
    </row>
    <row r="772">
      <c r="G772" s="31"/>
    </row>
    <row r="773">
      <c r="G773" s="31"/>
    </row>
    <row r="774">
      <c r="G774" s="31"/>
    </row>
    <row r="775">
      <c r="G775" s="31"/>
    </row>
    <row r="776">
      <c r="G776" s="31"/>
    </row>
    <row r="777">
      <c r="G777" s="31"/>
    </row>
    <row r="778">
      <c r="G778" s="31"/>
    </row>
    <row r="779">
      <c r="G779" s="31"/>
    </row>
    <row r="780">
      <c r="G780" s="31"/>
    </row>
    <row r="781">
      <c r="G781" s="31"/>
    </row>
    <row r="782">
      <c r="G782" s="31"/>
    </row>
    <row r="783">
      <c r="G783" s="31"/>
    </row>
    <row r="784">
      <c r="G784" s="31"/>
    </row>
    <row r="785">
      <c r="G785" s="31"/>
    </row>
    <row r="786">
      <c r="G786" s="31"/>
    </row>
    <row r="787">
      <c r="G787" s="31"/>
    </row>
    <row r="788">
      <c r="G788" s="31"/>
    </row>
    <row r="789">
      <c r="G789" s="31"/>
    </row>
    <row r="790">
      <c r="G790" s="31"/>
    </row>
    <row r="791">
      <c r="G791" s="31"/>
    </row>
    <row r="792">
      <c r="G792" s="31"/>
    </row>
    <row r="793">
      <c r="G793" s="31"/>
    </row>
    <row r="794">
      <c r="G794" s="31"/>
    </row>
    <row r="795">
      <c r="G795" s="31"/>
    </row>
    <row r="796">
      <c r="G796" s="31"/>
    </row>
    <row r="797">
      <c r="G797" s="31"/>
    </row>
    <row r="798">
      <c r="G798" s="31"/>
    </row>
    <row r="799">
      <c r="G799" s="31"/>
    </row>
    <row r="800">
      <c r="G800" s="31"/>
    </row>
    <row r="801">
      <c r="G801" s="31"/>
    </row>
    <row r="802">
      <c r="G802" s="31"/>
    </row>
    <row r="803">
      <c r="G803" s="31"/>
    </row>
    <row r="804">
      <c r="G804" s="31"/>
    </row>
    <row r="805">
      <c r="G805" s="31"/>
    </row>
    <row r="806">
      <c r="G806" s="31"/>
    </row>
    <row r="807">
      <c r="G807" s="31"/>
    </row>
    <row r="808">
      <c r="G808" s="31"/>
    </row>
    <row r="809">
      <c r="G809" s="31"/>
    </row>
    <row r="810">
      <c r="G810" s="31"/>
    </row>
    <row r="811">
      <c r="G811" s="31"/>
    </row>
    <row r="812">
      <c r="G812" s="31"/>
    </row>
    <row r="813">
      <c r="G813" s="31"/>
    </row>
    <row r="814">
      <c r="G814" s="31"/>
    </row>
    <row r="815">
      <c r="G815" s="31"/>
    </row>
    <row r="816">
      <c r="G816" s="31"/>
    </row>
    <row r="817">
      <c r="G817" s="31"/>
    </row>
    <row r="818">
      <c r="G818" s="31"/>
    </row>
    <row r="819">
      <c r="G819" s="31"/>
    </row>
    <row r="820">
      <c r="G820" s="31"/>
    </row>
    <row r="821">
      <c r="G821" s="31"/>
    </row>
    <row r="822">
      <c r="G822" s="31"/>
    </row>
    <row r="823">
      <c r="G823" s="31"/>
    </row>
    <row r="824">
      <c r="G824" s="31"/>
    </row>
    <row r="825">
      <c r="G825" s="31"/>
    </row>
    <row r="826">
      <c r="G826" s="31"/>
    </row>
    <row r="827">
      <c r="G827" s="31"/>
    </row>
    <row r="828">
      <c r="G828" s="31"/>
    </row>
    <row r="829">
      <c r="G829" s="31"/>
    </row>
    <row r="830">
      <c r="G830" s="31"/>
    </row>
    <row r="831">
      <c r="G831" s="31"/>
    </row>
    <row r="832">
      <c r="G832" s="31"/>
    </row>
    <row r="833">
      <c r="G833" s="31"/>
    </row>
    <row r="834">
      <c r="G834" s="31"/>
    </row>
    <row r="835">
      <c r="G835" s="31"/>
    </row>
    <row r="836">
      <c r="G836" s="31"/>
    </row>
    <row r="837">
      <c r="G837" s="31"/>
    </row>
    <row r="838">
      <c r="G838" s="31"/>
    </row>
    <row r="839">
      <c r="G839" s="31"/>
    </row>
    <row r="840">
      <c r="G840" s="31"/>
    </row>
    <row r="841">
      <c r="G841" s="31"/>
    </row>
    <row r="842">
      <c r="G842" s="31"/>
    </row>
    <row r="843">
      <c r="G843" s="31"/>
    </row>
    <row r="844">
      <c r="G844" s="31"/>
    </row>
    <row r="845">
      <c r="G845" s="31"/>
    </row>
    <row r="846">
      <c r="G846" s="31"/>
    </row>
    <row r="847">
      <c r="G847" s="31"/>
    </row>
    <row r="848">
      <c r="G848" s="31"/>
    </row>
    <row r="849">
      <c r="G849" s="31"/>
    </row>
    <row r="850">
      <c r="G850" s="31"/>
    </row>
    <row r="851">
      <c r="G851" s="31"/>
    </row>
    <row r="852">
      <c r="G852" s="31"/>
    </row>
    <row r="853">
      <c r="G853" s="31"/>
    </row>
    <row r="854">
      <c r="G854" s="31"/>
    </row>
    <row r="855">
      <c r="G855" s="31"/>
    </row>
    <row r="856">
      <c r="G856" s="31"/>
    </row>
    <row r="857">
      <c r="G857" s="31"/>
    </row>
    <row r="858">
      <c r="G858" s="31"/>
    </row>
    <row r="859">
      <c r="G859" s="31"/>
    </row>
    <row r="860">
      <c r="G860" s="31"/>
    </row>
    <row r="861">
      <c r="G861" s="31"/>
    </row>
    <row r="862">
      <c r="G862" s="31"/>
    </row>
    <row r="863">
      <c r="G863" s="31"/>
    </row>
    <row r="864">
      <c r="G864" s="31"/>
    </row>
    <row r="865">
      <c r="G865" s="31"/>
    </row>
    <row r="866">
      <c r="G866" s="31"/>
    </row>
    <row r="867">
      <c r="G867" s="31"/>
    </row>
    <row r="868">
      <c r="G868" s="31"/>
    </row>
    <row r="869">
      <c r="G869" s="31"/>
    </row>
    <row r="870">
      <c r="G870" s="31"/>
    </row>
    <row r="871">
      <c r="G871" s="31"/>
    </row>
    <row r="872">
      <c r="G872" s="31"/>
    </row>
    <row r="873">
      <c r="G873" s="31"/>
    </row>
    <row r="874">
      <c r="G874" s="31"/>
    </row>
    <row r="875">
      <c r="G875" s="31"/>
    </row>
    <row r="876">
      <c r="G876" s="31"/>
    </row>
    <row r="877">
      <c r="G877" s="31"/>
    </row>
    <row r="878">
      <c r="G878" s="31"/>
    </row>
    <row r="879">
      <c r="G879" s="31"/>
    </row>
    <row r="880">
      <c r="G880" s="31"/>
    </row>
    <row r="881">
      <c r="G881" s="31"/>
    </row>
    <row r="882">
      <c r="G882" s="31"/>
    </row>
    <row r="883">
      <c r="G883" s="31"/>
    </row>
    <row r="884">
      <c r="G884" s="31"/>
    </row>
    <row r="885">
      <c r="G885" s="31"/>
    </row>
    <row r="886">
      <c r="G886" s="31"/>
    </row>
    <row r="887">
      <c r="G887" s="31"/>
    </row>
    <row r="888">
      <c r="G888" s="31"/>
    </row>
    <row r="889">
      <c r="G889" s="31"/>
    </row>
    <row r="890">
      <c r="G890" s="31"/>
    </row>
    <row r="891">
      <c r="G891" s="31"/>
    </row>
    <row r="892">
      <c r="G892" s="31"/>
    </row>
    <row r="893">
      <c r="G893" s="31"/>
    </row>
    <row r="894">
      <c r="G894" s="31"/>
    </row>
    <row r="895">
      <c r="G895" s="31"/>
    </row>
    <row r="896">
      <c r="G896" s="31"/>
    </row>
    <row r="897">
      <c r="G897" s="31"/>
    </row>
    <row r="898">
      <c r="G898" s="31"/>
    </row>
    <row r="899">
      <c r="G899" s="31"/>
    </row>
    <row r="900">
      <c r="G900" s="31"/>
    </row>
    <row r="901">
      <c r="G901" s="31"/>
    </row>
    <row r="902">
      <c r="G902" s="31"/>
    </row>
    <row r="903">
      <c r="G903" s="31"/>
    </row>
    <row r="904">
      <c r="G904" s="31"/>
    </row>
    <row r="905">
      <c r="G905" s="31"/>
    </row>
    <row r="906">
      <c r="G906" s="31"/>
    </row>
    <row r="907">
      <c r="G907" s="31"/>
    </row>
    <row r="908">
      <c r="G908" s="31"/>
    </row>
    <row r="909">
      <c r="G909" s="31"/>
    </row>
    <row r="910">
      <c r="G910" s="31"/>
    </row>
    <row r="911">
      <c r="G911" s="31"/>
    </row>
    <row r="912">
      <c r="G912" s="31"/>
    </row>
    <row r="913">
      <c r="G913" s="31"/>
    </row>
    <row r="914">
      <c r="G914" s="31"/>
    </row>
    <row r="915">
      <c r="G915" s="31"/>
    </row>
    <row r="916">
      <c r="G916" s="31"/>
    </row>
    <row r="917">
      <c r="G917" s="31"/>
    </row>
    <row r="918">
      <c r="G918" s="31"/>
    </row>
    <row r="919">
      <c r="G919" s="31"/>
    </row>
    <row r="920">
      <c r="G920" s="31"/>
    </row>
    <row r="921">
      <c r="G921" s="31"/>
    </row>
    <row r="922">
      <c r="G922" s="31"/>
    </row>
    <row r="923">
      <c r="G923" s="31"/>
    </row>
    <row r="924">
      <c r="G924" s="31"/>
    </row>
    <row r="925">
      <c r="G925" s="31"/>
    </row>
    <row r="926">
      <c r="G926" s="31"/>
    </row>
    <row r="927">
      <c r="G927" s="31"/>
    </row>
    <row r="928">
      <c r="G928" s="31"/>
    </row>
    <row r="929">
      <c r="G929" s="31"/>
    </row>
    <row r="930">
      <c r="G930" s="31"/>
    </row>
    <row r="931">
      <c r="G931" s="31"/>
    </row>
    <row r="932">
      <c r="G932" s="31"/>
    </row>
    <row r="933">
      <c r="G933" s="31"/>
    </row>
    <row r="934">
      <c r="G934" s="31"/>
    </row>
    <row r="935">
      <c r="G935" s="31"/>
    </row>
    <row r="936">
      <c r="G936" s="31"/>
    </row>
    <row r="937">
      <c r="G937" s="31"/>
    </row>
    <row r="938">
      <c r="G938" s="31"/>
    </row>
    <row r="939">
      <c r="G939" s="31"/>
    </row>
    <row r="940">
      <c r="G940" s="31"/>
    </row>
    <row r="941">
      <c r="G941" s="31"/>
    </row>
    <row r="942">
      <c r="G942" s="31"/>
    </row>
    <row r="943">
      <c r="G943" s="31"/>
    </row>
    <row r="944">
      <c r="G944" s="31"/>
    </row>
    <row r="945">
      <c r="G945" s="31"/>
    </row>
    <row r="946">
      <c r="G946" s="31"/>
    </row>
    <row r="947">
      <c r="G947" s="31"/>
    </row>
    <row r="948">
      <c r="G948" s="31"/>
    </row>
    <row r="949">
      <c r="G949" s="31"/>
    </row>
    <row r="950">
      <c r="G950" s="31"/>
    </row>
    <row r="951">
      <c r="G951" s="31"/>
    </row>
    <row r="952">
      <c r="G952" s="31"/>
    </row>
    <row r="953">
      <c r="G953" s="31"/>
    </row>
    <row r="954">
      <c r="G954" s="31"/>
    </row>
    <row r="955">
      <c r="G955" s="31"/>
    </row>
    <row r="956">
      <c r="G956" s="31"/>
    </row>
    <row r="957">
      <c r="G957" s="31"/>
    </row>
    <row r="958">
      <c r="G958" s="31"/>
    </row>
    <row r="959">
      <c r="G959" s="31"/>
    </row>
    <row r="960">
      <c r="G960" s="31"/>
    </row>
    <row r="961">
      <c r="G961" s="31"/>
    </row>
    <row r="962">
      <c r="G962" s="31"/>
    </row>
    <row r="963">
      <c r="G963" s="31"/>
    </row>
    <row r="964">
      <c r="G964" s="31"/>
    </row>
    <row r="965">
      <c r="G965" s="31"/>
    </row>
    <row r="966">
      <c r="G966" s="31"/>
    </row>
    <row r="967">
      <c r="G967" s="31"/>
    </row>
    <row r="968">
      <c r="G968" s="31"/>
    </row>
    <row r="969">
      <c r="G969" s="31"/>
    </row>
    <row r="970">
      <c r="G970" s="31"/>
    </row>
    <row r="971">
      <c r="G971" s="31"/>
    </row>
    <row r="972">
      <c r="G972" s="31"/>
    </row>
    <row r="973">
      <c r="G973" s="31"/>
    </row>
    <row r="974">
      <c r="G974" s="31"/>
    </row>
    <row r="975">
      <c r="G975" s="31"/>
    </row>
    <row r="976">
      <c r="G976" s="31"/>
    </row>
    <row r="977">
      <c r="G977" s="31"/>
    </row>
    <row r="978">
      <c r="G978" s="31"/>
    </row>
    <row r="979">
      <c r="G979" s="31"/>
    </row>
    <row r="980">
      <c r="G980" s="31"/>
    </row>
    <row r="981">
      <c r="G981" s="31"/>
    </row>
    <row r="982">
      <c r="G982" s="31"/>
    </row>
    <row r="983">
      <c r="G983" s="31"/>
    </row>
    <row r="984">
      <c r="G984" s="31"/>
    </row>
    <row r="985">
      <c r="G985" s="31"/>
    </row>
    <row r="986">
      <c r="G986" s="31"/>
    </row>
    <row r="987">
      <c r="G987" s="31"/>
    </row>
    <row r="988">
      <c r="G988" s="31"/>
    </row>
    <row r="989">
      <c r="G989" s="31"/>
    </row>
    <row r="990">
      <c r="G990" s="31"/>
    </row>
    <row r="991">
      <c r="G991" s="31"/>
    </row>
  </sheetData>
  <mergeCells count="5">
    <mergeCell ref="A1:A2"/>
    <mergeCell ref="B1:B2"/>
    <mergeCell ref="C1:C2"/>
    <mergeCell ref="D1:D2"/>
    <mergeCell ref="E1:E2"/>
  </mergeCells>
  <conditionalFormatting sqref="F3:AS30">
    <cfRule type="cellIs" dxfId="3" priority="1" operator="equal">
      <formula>1</formula>
    </cfRule>
  </conditionalFormatting>
  <conditionalFormatting sqref="F3:AS30">
    <cfRule type="cellIs" dxfId="4" priority="2" operator="equal">
      <formula>"R"</formula>
    </cfRule>
  </conditionalFormatting>
  <conditionalFormatting sqref="B3:C30">
    <cfRule type="cellIs" dxfId="5" priority="3" operator="greaterThanOrEqual">
      <formula>3</formula>
    </cfRule>
  </conditionalFormatting>
  <conditionalFormatting sqref="B3:B30">
    <cfRule type="cellIs" dxfId="6" priority="4" operator="lessThan">
      <formula>1</formula>
    </cfRule>
  </conditionalFormatting>
  <conditionalFormatting sqref="B3:B31 C3:C33">
    <cfRule type="cellIs" dxfId="7" priority="5" operator="equal">
      <formula>0</formula>
    </cfRule>
  </conditionalFormatting>
  <conditionalFormatting sqref="B3:C30">
    <cfRule type="cellIs" dxfId="8" priority="6" operator="lessThan">
      <formula>2</formula>
    </cfRule>
  </conditionalFormatting>
  <conditionalFormatting sqref="B3:C30">
    <cfRule type="cellIs" dxfId="9" priority="7" operator="lessThan">
      <formula>3</formula>
    </cfRule>
  </conditionalFormatting>
  <conditionalFormatting sqref="B3:B31 C3:C33">
    <cfRule type="containsBlanks" dxfId="6" priority="8">
      <formula>LEN(TRIM(B3))=0</formula>
    </cfRule>
  </conditionalFormatting>
  <conditionalFormatting sqref="F3:AS30">
    <cfRule type="cellIs" dxfId="10" priority="9" operator="equal">
      <formula>"R2"</formula>
    </cfRule>
  </conditionalFormatting>
  <conditionalFormatting sqref="F31:AS31">
    <cfRule type="cellIs" dxfId="7" priority="10" operator="lessThan">
      <formula>1</formula>
    </cfRule>
  </conditionalFormatting>
  <conditionalFormatting sqref="F31:AS31">
    <cfRule type="cellIs" dxfId="3" priority="11" operator="equal">
      <formula>1</formula>
    </cfRule>
  </conditionalFormatting>
  <conditionalFormatting sqref="F31:AS31">
    <cfRule type="cellIs" dxfId="11" priority="12" operator="greaterThan">
      <formula>1</formula>
    </cfRule>
  </conditionalFormatting>
  <conditionalFormatting sqref="D3:E31">
    <cfRule type="cellIs" dxfId="9" priority="13" operator="equal">
      <formula>1</formula>
    </cfRule>
  </conditionalFormatting>
  <conditionalFormatting sqref="F32:AS33">
    <cfRule type="cellIs" dxfId="7" priority="14" operator="lessThan">
      <formula>1</formula>
    </cfRule>
  </conditionalFormatting>
  <conditionalFormatting sqref="F32:AS33">
    <cfRule type="cellIs" dxfId="12" priority="15" operator="equal">
      <formula>1</formula>
    </cfRule>
  </conditionalFormatting>
  <conditionalFormatting sqref="F32:AS33">
    <cfRule type="cellIs" dxfId="11" priority="16" operator="greaterThan">
      <formula>1</formula>
    </cfRule>
  </conditionalFormatting>
  <conditionalFormatting sqref="D3:D30">
    <cfRule type="cellIs" dxfId="7" priority="17" operator="equal">
      <formula>0</formula>
    </cfRule>
  </conditionalFormatting>
  <conditionalFormatting sqref="D3:D30">
    <cfRule type="cellIs" dxfId="4" priority="18" operator="equal">
      <formula>2</formula>
    </cfRule>
  </conditionalFormatting>
  <conditionalFormatting sqref="E3:E30">
    <cfRule type="cellIs" dxfId="7" priority="19" operator="equal">
      <formula>0</formula>
    </cfRule>
  </conditionalFormatting>
  <conditionalFormatting sqref="E3:E30">
    <cfRule type="cellIs" dxfId="4" priority="20" operator="greaterThanOrEqual">
      <formula>2</formula>
    </cfRule>
  </conditionalFormatting>
  <conditionalFormatting sqref="C35">
    <cfRule type="notContainsBlanks" dxfId="3" priority="21">
      <formula>LEN(TRIM(C35))&gt;0</formula>
    </cfRule>
  </conditionalFormatting>
  <conditionalFormatting sqref="AR2:AS2">
    <cfRule type="containsText" dxfId="13" priority="22" operator="containsText" text="(PAM)">
      <formula>NOT(ISERROR(SEARCH(("(PAM)"),(AR2))))</formula>
    </cfRule>
  </conditionalFormatting>
  <conditionalFormatting sqref="AR2:AS2">
    <cfRule type="containsText" dxfId="13" priority="23" operator="containsText" text="(PPM)">
      <formula>NOT(ISERROR(SEARCH(("(PPM)"),(AR2))))</formula>
    </cfRule>
  </conditionalFormatting>
  <conditionalFormatting sqref="F2:AS2">
    <cfRule type="containsText" dxfId="7" priority="24" operator="containsText" text="(AM)">
      <formula>NOT(ISERROR(SEARCH(("(AM)"),(F2))))</formula>
    </cfRule>
  </conditionalFormatting>
  <conditionalFormatting sqref="F2:AS2">
    <cfRule type="containsText" dxfId="7" priority="25" operator="containsText" text="(PM)">
      <formula>NOT(ISERROR(SEARCH(("(PM)"),(F2))))</formula>
    </cfRule>
  </conditionalFormatting>
  <conditionalFormatting sqref="F2:AS2">
    <cfRule type="notContainsText" dxfId="14" priority="26" operator="notContains" text="(AM) (PM)">
      <formula>ISERROR(SEARCH(("(AM) (PM)"),(F2)))</formula>
    </cfRule>
  </conditionalFormatting>
  <drawing r:id="rId2"/>
  <legacyDrawing r:id="rId3"/>
  <tableParts count="1">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14.63"/>
    <col customWidth="1" hidden="1" min="2" max="2" width="11.38"/>
    <col customWidth="1" min="4" max="4" width="14.13"/>
    <col customWidth="1" min="6" max="8" width="8.63"/>
    <col customWidth="1" min="9" max="9" width="8.38"/>
    <col customWidth="1" min="10" max="10" width="8.25"/>
    <col customWidth="1" min="11" max="43" width="8.63"/>
    <col customWidth="1" min="44" max="44" width="9.5"/>
    <col customWidth="1" hidden="1" min="45" max="46" width="9.5"/>
  </cols>
  <sheetData>
    <row r="1">
      <c r="A1" s="1" t="s">
        <v>0</v>
      </c>
      <c r="B1" s="1" t="s">
        <v>1</v>
      </c>
      <c r="C1" s="1" t="s">
        <v>2</v>
      </c>
      <c r="D1" s="1" t="s">
        <v>3</v>
      </c>
      <c r="E1" s="1" t="s">
        <v>4</v>
      </c>
      <c r="F1" s="2" t="s">
        <v>13</v>
      </c>
      <c r="G1" s="2" t="s">
        <v>5</v>
      </c>
      <c r="H1" s="3" t="s">
        <v>6</v>
      </c>
      <c r="I1" s="4" t="s">
        <v>7</v>
      </c>
      <c r="J1" s="2" t="s">
        <v>8</v>
      </c>
      <c r="K1" s="2" t="s">
        <v>9</v>
      </c>
      <c r="L1" s="2" t="s">
        <v>10</v>
      </c>
      <c r="M1" s="2" t="s">
        <v>11</v>
      </c>
      <c r="N1" s="3" t="s">
        <v>12</v>
      </c>
      <c r="O1" s="4" t="s">
        <v>13</v>
      </c>
      <c r="P1" s="2" t="s">
        <v>5</v>
      </c>
      <c r="Q1" s="2" t="s">
        <v>6</v>
      </c>
      <c r="R1" s="3" t="s">
        <v>7</v>
      </c>
      <c r="S1" s="4" t="s">
        <v>8</v>
      </c>
      <c r="T1" s="54" t="s">
        <v>9</v>
      </c>
      <c r="U1" s="54" t="s">
        <v>10</v>
      </c>
      <c r="V1" s="54" t="s">
        <v>11</v>
      </c>
      <c r="W1" s="55" t="s">
        <v>12</v>
      </c>
      <c r="X1" s="55" t="s">
        <v>13</v>
      </c>
      <c r="Y1" s="54" t="s">
        <v>5</v>
      </c>
      <c r="Z1" s="54" t="s">
        <v>6</v>
      </c>
      <c r="AA1" s="55" t="s">
        <v>7</v>
      </c>
      <c r="AB1" s="55" t="s">
        <v>8</v>
      </c>
      <c r="AC1" s="54" t="s">
        <v>9</v>
      </c>
      <c r="AD1" s="54" t="s">
        <v>10</v>
      </c>
      <c r="AE1" s="54" t="s">
        <v>11</v>
      </c>
      <c r="AF1" s="55" t="s">
        <v>12</v>
      </c>
      <c r="AG1" s="55" t="s">
        <v>13</v>
      </c>
      <c r="AH1" s="54" t="s">
        <v>5</v>
      </c>
      <c r="AI1" s="54" t="s">
        <v>6</v>
      </c>
      <c r="AJ1" s="55" t="s">
        <v>7</v>
      </c>
      <c r="AK1" s="55" t="s">
        <v>8</v>
      </c>
      <c r="AL1" s="54" t="s">
        <v>9</v>
      </c>
      <c r="AM1" s="54" t="s">
        <v>10</v>
      </c>
      <c r="AN1" s="54" t="s">
        <v>11</v>
      </c>
      <c r="AO1" s="55" t="s">
        <v>12</v>
      </c>
      <c r="AP1" s="55" t="s">
        <v>13</v>
      </c>
      <c r="AQ1" s="54" t="s">
        <v>5</v>
      </c>
      <c r="AR1" s="54" t="s">
        <v>6</v>
      </c>
      <c r="AS1" s="55" t="s">
        <v>7</v>
      </c>
      <c r="AT1" s="55" t="s">
        <v>8</v>
      </c>
    </row>
    <row r="2">
      <c r="F2" s="38">
        <v>45597.0</v>
      </c>
      <c r="G2" s="51" t="s">
        <v>180</v>
      </c>
      <c r="H2" s="51" t="s">
        <v>181</v>
      </c>
      <c r="I2" s="51" t="s">
        <v>182</v>
      </c>
      <c r="J2" s="51" t="s">
        <v>183</v>
      </c>
      <c r="K2" s="38">
        <v>45600.0</v>
      </c>
      <c r="L2" s="38">
        <v>45601.0</v>
      </c>
      <c r="M2" s="38">
        <v>45602.0</v>
      </c>
      <c r="N2" s="38">
        <v>45603.0</v>
      </c>
      <c r="O2" s="38">
        <v>45604.0</v>
      </c>
      <c r="P2" s="51" t="s">
        <v>184</v>
      </c>
      <c r="Q2" s="51" t="s">
        <v>185</v>
      </c>
      <c r="R2" s="51" t="s">
        <v>186</v>
      </c>
      <c r="S2" s="51" t="s">
        <v>187</v>
      </c>
      <c r="T2" s="56">
        <v>45607.0</v>
      </c>
      <c r="U2" s="56">
        <v>45608.0</v>
      </c>
      <c r="V2" s="56">
        <v>45609.0</v>
      </c>
      <c r="W2" s="56">
        <v>45610.0</v>
      </c>
      <c r="X2" s="56">
        <v>45611.0</v>
      </c>
      <c r="Y2" s="51" t="s">
        <v>188</v>
      </c>
      <c r="Z2" s="51" t="s">
        <v>189</v>
      </c>
      <c r="AA2" s="51" t="s">
        <v>190</v>
      </c>
      <c r="AB2" s="51" t="s">
        <v>191</v>
      </c>
      <c r="AC2" s="56">
        <v>45614.0</v>
      </c>
      <c r="AD2" s="56">
        <v>45615.0</v>
      </c>
      <c r="AE2" s="56">
        <v>45616.0</v>
      </c>
      <c r="AF2" s="56">
        <v>45617.0</v>
      </c>
      <c r="AG2" s="56">
        <v>45618.0</v>
      </c>
      <c r="AH2" s="51" t="s">
        <v>192</v>
      </c>
      <c r="AI2" s="51" t="s">
        <v>193</v>
      </c>
      <c r="AJ2" s="51" t="s">
        <v>194</v>
      </c>
      <c r="AK2" s="51" t="s">
        <v>195</v>
      </c>
      <c r="AL2" s="56">
        <v>45621.0</v>
      </c>
      <c r="AM2" s="56">
        <v>45622.0</v>
      </c>
      <c r="AN2" s="56">
        <v>45623.0</v>
      </c>
      <c r="AO2" s="56">
        <v>45624.0</v>
      </c>
      <c r="AP2" s="56">
        <v>45625.0</v>
      </c>
      <c r="AQ2" s="57" t="s">
        <v>196</v>
      </c>
      <c r="AR2" s="57" t="s">
        <v>197</v>
      </c>
      <c r="AS2" s="58" t="s">
        <v>163</v>
      </c>
      <c r="AT2" s="58" t="s">
        <v>164</v>
      </c>
    </row>
    <row r="3">
      <c r="A3" s="39" t="s">
        <v>38</v>
      </c>
      <c r="B3" s="40">
        <f t="shared" ref="B3:B6" si="1">SUM(C3:D3)</f>
        <v>3</v>
      </c>
      <c r="C3" s="10">
        <f t="shared" ref="C3:C30" si="2">SUM(F3:AS3)</f>
        <v>2</v>
      </c>
      <c r="D3" s="11">
        <f t="array" ref="D3">SUM(IF(F3:AS3="R",1,0))</f>
        <v>1</v>
      </c>
      <c r="E3" s="11">
        <f t="array" ref="E3">SUM(IF(F3:AS3="R2",1,0))</f>
        <v>2</v>
      </c>
      <c r="F3" s="59" t="s">
        <v>40</v>
      </c>
      <c r="O3" s="17" t="s">
        <v>40</v>
      </c>
      <c r="Q3" s="17">
        <v>1.0</v>
      </c>
      <c r="AI3" s="17">
        <v>1.0</v>
      </c>
      <c r="AP3" s="17" t="s">
        <v>39</v>
      </c>
    </row>
    <row r="4" hidden="1">
      <c r="A4" s="14" t="s">
        <v>114</v>
      </c>
      <c r="B4" s="10">
        <f t="shared" si="1"/>
        <v>0</v>
      </c>
      <c r="C4" s="10">
        <f t="shared" si="2"/>
        <v>0</v>
      </c>
      <c r="D4" s="11">
        <f t="array" ref="D4">SUM(IF(F4:AS4="R",1,0))</f>
        <v>0</v>
      </c>
      <c r="E4" s="11">
        <f t="array" ref="E4">SUM(IF(F4:AS4="R2",1,0))</f>
        <v>0</v>
      </c>
    </row>
    <row r="5">
      <c r="A5" s="14" t="s">
        <v>146</v>
      </c>
      <c r="B5" s="10">
        <f t="shared" si="1"/>
        <v>3</v>
      </c>
      <c r="C5" s="10">
        <f t="shared" si="2"/>
        <v>1</v>
      </c>
      <c r="D5" s="11">
        <f t="array" ref="D5">SUM(IF(F5:AS5="R",1,0))</f>
        <v>2</v>
      </c>
      <c r="E5" s="11">
        <f t="array" ref="E5">SUM(IF(F5:AS5="R2",1,0))</f>
        <v>1</v>
      </c>
      <c r="G5" s="17" t="s">
        <v>39</v>
      </c>
      <c r="H5" s="17">
        <v>1.0</v>
      </c>
      <c r="I5" s="60"/>
      <c r="J5" s="60"/>
      <c r="K5" s="60"/>
      <c r="L5" s="60"/>
      <c r="M5" s="60"/>
      <c r="N5" s="60"/>
      <c r="O5" s="60"/>
      <c r="W5" s="60"/>
      <c r="AC5" s="17" t="s">
        <v>39</v>
      </c>
      <c r="AF5" s="17" t="s">
        <v>40</v>
      </c>
      <c r="AO5" s="60"/>
    </row>
    <row r="6">
      <c r="A6" s="14" t="s">
        <v>44</v>
      </c>
      <c r="B6" s="10">
        <f t="shared" si="1"/>
        <v>3</v>
      </c>
      <c r="C6" s="10">
        <f t="shared" si="2"/>
        <v>1</v>
      </c>
      <c r="D6" s="11">
        <f t="array" ref="D6">SUM(IF(F6:AS6="R",1,0))</f>
        <v>2</v>
      </c>
      <c r="E6" s="11">
        <f t="array" ref="E6">SUM(IF(F6:AS6="R2",1,0))</f>
        <v>1</v>
      </c>
      <c r="F6" s="17" t="s">
        <v>39</v>
      </c>
      <c r="I6" s="60"/>
      <c r="J6" s="60"/>
      <c r="K6" s="60"/>
      <c r="L6" s="60"/>
      <c r="M6" s="60"/>
      <c r="O6" s="60"/>
      <c r="W6" s="60"/>
      <c r="Y6" s="60"/>
      <c r="Z6" s="60"/>
      <c r="AB6" s="17" t="s">
        <v>40</v>
      </c>
      <c r="AF6" s="17" t="s">
        <v>39</v>
      </c>
      <c r="AH6" s="17">
        <v>1.0</v>
      </c>
    </row>
    <row r="7">
      <c r="A7" s="14" t="s">
        <v>175</v>
      </c>
      <c r="B7" s="10"/>
      <c r="C7" s="10">
        <f t="shared" si="2"/>
        <v>2</v>
      </c>
      <c r="D7" s="11">
        <f t="array" ref="D7">SUM(IF(F7:AS7="R",1,0))</f>
        <v>2</v>
      </c>
      <c r="E7" s="11">
        <f t="array" ref="E7">SUM(IF(F7:AS7="R2",1,0))</f>
        <v>2</v>
      </c>
      <c r="F7" s="17">
        <v>1.0</v>
      </c>
      <c r="I7" s="16"/>
      <c r="J7" s="16"/>
      <c r="K7" s="16"/>
      <c r="L7" s="16"/>
      <c r="M7" s="16"/>
      <c r="N7" s="17" t="s">
        <v>40</v>
      </c>
      <c r="O7" s="16"/>
      <c r="P7" s="17" t="s">
        <v>39</v>
      </c>
      <c r="U7" s="17" t="s">
        <v>39</v>
      </c>
      <c r="W7" s="16"/>
      <c r="X7" s="16"/>
      <c r="AA7" s="17" t="s">
        <v>40</v>
      </c>
      <c r="AF7" s="17">
        <v>1.0</v>
      </c>
      <c r="AO7" s="16"/>
    </row>
    <row r="8">
      <c r="A8" s="25" t="s">
        <v>147</v>
      </c>
      <c r="B8" s="10">
        <f t="shared" ref="B8:B12" si="3">SUM(C8:D8)</f>
        <v>2</v>
      </c>
      <c r="C8" s="10">
        <f t="shared" si="2"/>
        <v>1</v>
      </c>
      <c r="D8" s="11">
        <f t="array" ref="D8">SUM(IF(F8:AS8="R",1,0))</f>
        <v>1</v>
      </c>
      <c r="E8" s="11">
        <f t="array" ref="E8">SUM(IF(F8:AS8="R2",1,0))</f>
        <v>2</v>
      </c>
      <c r="J8" s="17" t="s">
        <v>40</v>
      </c>
      <c r="Q8" s="17" t="s">
        <v>39</v>
      </c>
      <c r="AI8" s="17" t="s">
        <v>40</v>
      </c>
      <c r="AK8" s="17">
        <v>1.0</v>
      </c>
    </row>
    <row r="9">
      <c r="A9" s="25" t="s">
        <v>47</v>
      </c>
      <c r="B9" s="10">
        <f t="shared" si="3"/>
        <v>3</v>
      </c>
      <c r="C9" s="10">
        <f t="shared" si="2"/>
        <v>2</v>
      </c>
      <c r="D9" s="11">
        <f t="array" ref="D9">SUM(IF(F9:AS9="R",1,0))</f>
        <v>1</v>
      </c>
      <c r="E9" s="11">
        <f t="array" ref="E9">SUM(IF(F9:AS9="R2",1,0))</f>
        <v>2</v>
      </c>
      <c r="G9" s="17">
        <v>1.0</v>
      </c>
      <c r="H9" s="17" t="s">
        <v>40</v>
      </c>
      <c r="L9" s="17">
        <v>1.0</v>
      </c>
      <c r="Q9" s="17" t="s">
        <v>40</v>
      </c>
      <c r="W9" s="17" t="s">
        <v>39</v>
      </c>
      <c r="X9" s="45"/>
      <c r="Y9" s="47"/>
      <c r="Z9" s="45"/>
      <c r="AE9" s="45"/>
      <c r="AQ9" s="16"/>
      <c r="AR9" s="16"/>
    </row>
    <row r="10">
      <c r="A10" s="26" t="s">
        <v>55</v>
      </c>
      <c r="B10" s="10">
        <f t="shared" si="3"/>
        <v>3</v>
      </c>
      <c r="C10" s="10">
        <f t="shared" si="2"/>
        <v>2</v>
      </c>
      <c r="D10" s="11">
        <f t="array" ref="D10">SUM(IF(F10:AS10="R",1,0))</f>
        <v>1</v>
      </c>
      <c r="E10" s="11">
        <f t="array" ref="E10">SUM(IF(F10:AS10="R2",1,0))</f>
        <v>1</v>
      </c>
      <c r="F10" s="61"/>
      <c r="G10" s="17" t="s">
        <v>40</v>
      </c>
      <c r="H10" s="61"/>
      <c r="I10" s="17" t="s">
        <v>39</v>
      </c>
      <c r="J10" s="61"/>
      <c r="K10" s="61"/>
      <c r="L10" s="61"/>
      <c r="M10" s="61"/>
      <c r="N10" s="61"/>
      <c r="O10" s="61"/>
      <c r="P10" s="17">
        <v>1.0</v>
      </c>
      <c r="Q10" s="61"/>
      <c r="S10" s="61"/>
      <c r="T10" s="61"/>
      <c r="U10" s="61"/>
      <c r="V10" s="61"/>
      <c r="W10" s="61"/>
      <c r="X10" s="61"/>
      <c r="Z10" s="61"/>
      <c r="AB10" s="61"/>
      <c r="AC10" s="61"/>
      <c r="AD10" s="61"/>
      <c r="AE10" s="61"/>
      <c r="AF10" s="61"/>
      <c r="AG10" s="61"/>
      <c r="AI10" s="61"/>
      <c r="AJ10" s="17">
        <v>1.0</v>
      </c>
      <c r="AK10" s="61"/>
      <c r="AL10" s="61"/>
      <c r="AM10" s="61"/>
      <c r="AN10" s="61"/>
      <c r="AO10" s="61"/>
      <c r="AP10" s="61"/>
      <c r="AR10" s="61"/>
    </row>
    <row r="11">
      <c r="A11" s="22" t="s">
        <v>177</v>
      </c>
      <c r="B11" s="10">
        <f t="shared" si="3"/>
        <v>2</v>
      </c>
      <c r="C11" s="10">
        <f t="shared" si="2"/>
        <v>1</v>
      </c>
      <c r="D11" s="11">
        <f t="array" ref="D11">SUM(IF(F11:AS11="R",1,0))</f>
        <v>1</v>
      </c>
      <c r="E11" s="11">
        <f t="array" ref="E11">SUM(IF(F11:AS11="R2",1,0))</f>
        <v>2</v>
      </c>
      <c r="K11" s="17" t="s">
        <v>40</v>
      </c>
      <c r="L11" s="60"/>
      <c r="M11" s="60"/>
      <c r="O11" s="60"/>
      <c r="X11" s="60"/>
      <c r="AC11" s="60"/>
      <c r="AD11" s="17" t="s">
        <v>39</v>
      </c>
      <c r="AG11" s="17">
        <v>1.0</v>
      </c>
      <c r="AP11" s="17" t="s">
        <v>40</v>
      </c>
    </row>
    <row r="12">
      <c r="A12" s="22" t="s">
        <v>198</v>
      </c>
      <c r="B12" s="10">
        <f t="shared" si="3"/>
        <v>3</v>
      </c>
      <c r="C12" s="10">
        <f t="shared" si="2"/>
        <v>2</v>
      </c>
      <c r="D12" s="11">
        <f t="array" ref="D12">SUM(IF(F12:AS12="R",1,0))</f>
        <v>1</v>
      </c>
      <c r="E12" s="11">
        <f t="array" ref="E12">SUM(IF(F12:AS12="R2",1,0))</f>
        <v>2</v>
      </c>
      <c r="L12" s="17" t="s">
        <v>40</v>
      </c>
      <c r="V12" s="17" t="s">
        <v>40</v>
      </c>
      <c r="AD12" s="17">
        <v>1.0</v>
      </c>
      <c r="AG12" s="17" t="s">
        <v>39</v>
      </c>
      <c r="AM12" s="17">
        <v>1.0</v>
      </c>
    </row>
    <row r="13">
      <c r="A13" s="23" t="s">
        <v>176</v>
      </c>
      <c r="B13" s="10"/>
      <c r="C13" s="10">
        <f t="shared" si="2"/>
        <v>2</v>
      </c>
      <c r="D13" s="11">
        <f t="array" ref="D13">SUM(IF(F13:AS13="R",1,0))</f>
        <v>2</v>
      </c>
      <c r="E13" s="11">
        <f t="array" ref="E13">SUM(IF(F13:AS13="R2",1,0))</f>
        <v>2</v>
      </c>
      <c r="F13" s="60"/>
      <c r="L13" s="60"/>
      <c r="M13" s="60"/>
      <c r="O13" s="60"/>
      <c r="R13" s="17" t="s">
        <v>40</v>
      </c>
      <c r="W13" s="60"/>
      <c r="X13" s="17">
        <v>1.0</v>
      </c>
      <c r="Z13" s="17">
        <v>1.0</v>
      </c>
      <c r="AE13" s="17" t="s">
        <v>39</v>
      </c>
      <c r="AK13" s="17" t="s">
        <v>39</v>
      </c>
      <c r="AL13" s="17" t="s">
        <v>40</v>
      </c>
    </row>
    <row r="14" hidden="1">
      <c r="A14" s="23" t="s">
        <v>53</v>
      </c>
      <c r="B14" s="10">
        <f>SUM(C14:D14)</f>
        <v>0</v>
      </c>
      <c r="C14" s="10">
        <f t="shared" si="2"/>
        <v>0</v>
      </c>
      <c r="D14" s="11">
        <f t="array" ref="D14">SUM(IF(F14:AS14="R",1,0))</f>
        <v>0</v>
      </c>
      <c r="E14" s="11">
        <f t="array" ref="E14">SUM(IF(F14:AS14="R2",1,0))</f>
        <v>0</v>
      </c>
      <c r="X14" s="12"/>
      <c r="Y14" s="12"/>
      <c r="Z14" s="12"/>
      <c r="AA14" s="12"/>
      <c r="AB14" s="12"/>
      <c r="AC14" s="12"/>
      <c r="AD14" s="12"/>
      <c r="AE14" s="12"/>
      <c r="AF14" s="12"/>
      <c r="AG14" s="12"/>
      <c r="AH14" s="12"/>
      <c r="AI14" s="12"/>
      <c r="AJ14" s="12"/>
      <c r="AK14" s="12"/>
      <c r="AL14" s="12"/>
      <c r="AM14" s="12"/>
      <c r="AN14" s="12"/>
      <c r="AO14" s="12"/>
      <c r="AP14" s="12"/>
      <c r="AQ14" s="12"/>
      <c r="AR14" s="12"/>
      <c r="AS14" s="12"/>
      <c r="AT14" s="12"/>
    </row>
    <row r="15">
      <c r="A15" s="9" t="s">
        <v>90</v>
      </c>
      <c r="B15" s="10"/>
      <c r="C15" s="10">
        <f t="shared" si="2"/>
        <v>2</v>
      </c>
      <c r="D15" s="11">
        <f t="array" ref="D15">SUM(IF(F15:AS15="R",1,0))</f>
        <v>2</v>
      </c>
      <c r="E15" s="11">
        <f t="array" ref="E15">SUM(IF(F15:AS15="R2",1,0))</f>
        <v>2</v>
      </c>
      <c r="H15" s="17" t="s">
        <v>39</v>
      </c>
      <c r="O15" s="60"/>
      <c r="U15" s="17" t="s">
        <v>40</v>
      </c>
      <c r="AB15" s="17">
        <v>1.0</v>
      </c>
      <c r="AG15" s="17" t="s">
        <v>40</v>
      </c>
      <c r="AO15" s="17">
        <v>1.0</v>
      </c>
      <c r="AR15" s="17" t="s">
        <v>39</v>
      </c>
    </row>
    <row r="16">
      <c r="A16" s="9" t="s">
        <v>56</v>
      </c>
      <c r="B16" s="10">
        <f>SUM(C16:D16)</f>
        <v>4</v>
      </c>
      <c r="C16" s="10">
        <f t="shared" si="2"/>
        <v>2</v>
      </c>
      <c r="D16" s="11">
        <f t="array" ref="D16">SUM(IF(F16:AS16="R",1,0))</f>
        <v>2</v>
      </c>
      <c r="E16" s="11">
        <f t="array" ref="E16">SUM(IF(F16:AS16="R2",1,0))</f>
        <v>2</v>
      </c>
      <c r="F16" s="16"/>
      <c r="G16" s="12"/>
      <c r="I16" s="13"/>
      <c r="J16" s="12"/>
      <c r="K16" s="16"/>
      <c r="M16" s="12" t="s">
        <v>39</v>
      </c>
      <c r="N16" s="12"/>
      <c r="O16" s="12"/>
      <c r="P16" s="12" t="s">
        <v>40</v>
      </c>
      <c r="R16" s="12"/>
      <c r="S16" s="13"/>
      <c r="T16" s="13"/>
      <c r="V16" s="12"/>
      <c r="W16" s="17">
        <v>1.0</v>
      </c>
      <c r="X16" s="13"/>
      <c r="Y16" s="12"/>
      <c r="AA16" s="13"/>
      <c r="AB16" s="12"/>
      <c r="AC16" s="16"/>
      <c r="AD16" s="16"/>
      <c r="AE16" s="16"/>
      <c r="AF16" s="16"/>
      <c r="AG16" s="16"/>
      <c r="AH16" s="13"/>
      <c r="AJ16" s="13"/>
      <c r="AK16" s="13"/>
      <c r="AL16" s="12"/>
      <c r="AM16" s="17" t="s">
        <v>39</v>
      </c>
      <c r="AN16" s="12"/>
      <c r="AO16" s="12" t="s">
        <v>40</v>
      </c>
      <c r="AP16" s="13"/>
      <c r="AQ16" s="13"/>
      <c r="AR16" s="17">
        <v>1.0</v>
      </c>
    </row>
    <row r="17">
      <c r="A17" s="9" t="s">
        <v>178</v>
      </c>
      <c r="B17" s="10"/>
      <c r="C17" s="10">
        <f t="shared" si="2"/>
        <v>2</v>
      </c>
      <c r="D17" s="11">
        <f t="array" ref="D17">SUM(IF(F17:AS17="R",1,0))</f>
        <v>2</v>
      </c>
      <c r="E17" s="11">
        <f t="array" ref="E17">SUM(IF(F17:AS17="R2",1,0))</f>
        <v>2</v>
      </c>
      <c r="F17" s="12"/>
      <c r="G17" s="12"/>
      <c r="I17" s="13"/>
      <c r="J17" s="12"/>
      <c r="K17" s="12">
        <v>1.0</v>
      </c>
      <c r="M17" s="12"/>
      <c r="N17" s="12"/>
      <c r="O17" s="12"/>
      <c r="P17" s="13"/>
      <c r="R17" s="13"/>
      <c r="S17" s="13"/>
      <c r="T17" s="13"/>
      <c r="V17" s="12" t="s">
        <v>39</v>
      </c>
      <c r="W17" s="12" t="s">
        <v>40</v>
      </c>
      <c r="X17" s="13"/>
      <c r="Y17" s="12"/>
      <c r="AA17" s="13"/>
      <c r="AB17" s="12"/>
      <c r="AC17" s="12">
        <v>1.0</v>
      </c>
      <c r="AE17" s="12"/>
      <c r="AF17" s="13"/>
      <c r="AG17" s="16"/>
      <c r="AH17" s="12"/>
      <c r="AJ17" s="13"/>
      <c r="AK17" s="13"/>
      <c r="AL17" s="13"/>
      <c r="AN17" s="12"/>
      <c r="AO17" s="12" t="s">
        <v>39</v>
      </c>
      <c r="AP17" s="16"/>
      <c r="AQ17" s="12"/>
      <c r="AR17" s="17" t="s">
        <v>40</v>
      </c>
    </row>
    <row r="18">
      <c r="A18" s="26" t="s">
        <v>91</v>
      </c>
      <c r="B18" s="10"/>
      <c r="C18" s="10">
        <f t="shared" si="2"/>
        <v>2</v>
      </c>
      <c r="D18" s="11">
        <f t="array" ref="D18">SUM(IF(F18:AS18="R",1,0))</f>
        <v>2</v>
      </c>
      <c r="E18" s="11">
        <f t="array" ref="E18">SUM(IF(F18:AS18="R2",1,0))</f>
        <v>0</v>
      </c>
      <c r="F18" s="61"/>
      <c r="H18" s="61"/>
      <c r="I18" s="17">
        <v>1.0</v>
      </c>
      <c r="J18" s="61"/>
      <c r="K18" s="61"/>
      <c r="L18" s="61"/>
      <c r="M18" s="61"/>
      <c r="N18" s="61"/>
      <c r="O18" s="61"/>
      <c r="Q18" s="61"/>
      <c r="R18" s="17">
        <v>1.0</v>
      </c>
      <c r="S18" s="61"/>
      <c r="T18" s="61"/>
      <c r="U18" s="61"/>
      <c r="V18" s="61"/>
      <c r="W18" s="61"/>
      <c r="X18" s="61"/>
      <c r="Y18" s="17" t="s">
        <v>39</v>
      </c>
      <c r="Z18" s="61"/>
      <c r="AA18" s="17" t="s">
        <v>39</v>
      </c>
      <c r="AB18" s="61"/>
      <c r="AC18" s="61"/>
      <c r="AD18" s="61"/>
      <c r="AE18" s="61"/>
      <c r="AF18" s="61"/>
      <c r="AG18" s="61"/>
      <c r="AI18" s="61"/>
      <c r="AK18" s="61"/>
      <c r="AL18" s="61"/>
      <c r="AM18" s="61"/>
      <c r="AN18" s="61"/>
      <c r="AO18" s="61"/>
      <c r="AP18" s="61"/>
      <c r="AR18" s="61"/>
    </row>
    <row r="19" hidden="1">
      <c r="A19" s="26" t="s">
        <v>57</v>
      </c>
      <c r="B19" s="10">
        <f>SUM(C19:D19)</f>
        <v>0</v>
      </c>
      <c r="C19" s="10">
        <f t="shared" si="2"/>
        <v>0</v>
      </c>
      <c r="D19" s="11">
        <f t="array" ref="D19">SUM(IF(F19:AS19="R",1,0))</f>
        <v>0</v>
      </c>
      <c r="E19" s="11">
        <f t="array" ref="E19">SUM(IF(F19:AS19="R2",1,0))</f>
        <v>0</v>
      </c>
    </row>
    <row r="20">
      <c r="A20" s="27" t="s">
        <v>149</v>
      </c>
      <c r="B20" s="10"/>
      <c r="C20" s="10">
        <f t="shared" si="2"/>
        <v>2</v>
      </c>
      <c r="D20" s="11">
        <f t="array" ref="D20">SUM(IF(F20:AS20="R",1,0))</f>
        <v>1</v>
      </c>
      <c r="E20" s="11">
        <f t="array" ref="E20">SUM(IF(F20:AS20="R2",1,0))</f>
        <v>2</v>
      </c>
      <c r="F20" s="16"/>
      <c r="G20" s="61"/>
      <c r="H20" s="61"/>
      <c r="I20" s="61"/>
      <c r="J20" s="61"/>
      <c r="M20" s="16"/>
      <c r="O20" s="16"/>
      <c r="P20" s="61"/>
      <c r="Q20" s="61"/>
      <c r="R20" s="61"/>
      <c r="S20" s="61"/>
      <c r="U20" s="17">
        <v>1.0</v>
      </c>
      <c r="X20" s="16"/>
      <c r="Y20" s="61"/>
      <c r="Z20" s="61"/>
      <c r="AA20" s="61"/>
      <c r="AB20" s="61"/>
      <c r="AC20" s="17" t="s">
        <v>40</v>
      </c>
      <c r="AE20" s="17" t="s">
        <v>40</v>
      </c>
      <c r="AH20" s="61"/>
      <c r="AI20" s="61"/>
      <c r="AJ20" s="61"/>
      <c r="AK20" s="61"/>
      <c r="AL20" s="17">
        <v>1.0</v>
      </c>
      <c r="AN20" s="17" t="s">
        <v>39</v>
      </c>
      <c r="AQ20" s="61"/>
      <c r="AR20" s="61"/>
      <c r="AS20" s="61"/>
      <c r="AT20" s="61"/>
    </row>
    <row r="21">
      <c r="A21" s="27" t="s">
        <v>58</v>
      </c>
      <c r="B21" s="10">
        <f t="shared" ref="B21:B23" si="4">SUM(C21:D21)</f>
        <v>3</v>
      </c>
      <c r="C21" s="10">
        <f t="shared" si="2"/>
        <v>1</v>
      </c>
      <c r="D21" s="11">
        <f t="array" ref="D21">SUM(IF(F21:AS21="R",1,0))</f>
        <v>2</v>
      </c>
      <c r="E21" s="11">
        <f t="array" ref="E21">SUM(IF(F21:AS21="R2",1,0))</f>
        <v>2</v>
      </c>
      <c r="F21" s="16"/>
      <c r="G21" s="16"/>
      <c r="H21" s="16"/>
      <c r="I21" s="16"/>
      <c r="J21" s="16"/>
      <c r="K21" s="16"/>
      <c r="L21" s="16"/>
      <c r="M21" s="17" t="s">
        <v>40</v>
      </c>
      <c r="O21" s="16"/>
      <c r="T21" s="17">
        <v>1.0</v>
      </c>
      <c r="AB21" s="17" t="s">
        <v>39</v>
      </c>
      <c r="AD21" s="17" t="s">
        <v>40</v>
      </c>
      <c r="AH21" s="17" t="s">
        <v>39</v>
      </c>
      <c r="AM21" s="16"/>
      <c r="AP21" s="16"/>
    </row>
    <row r="22">
      <c r="A22" s="62" t="s">
        <v>199</v>
      </c>
      <c r="B22" s="10">
        <f t="shared" si="4"/>
        <v>3</v>
      </c>
      <c r="C22" s="10">
        <f t="shared" si="2"/>
        <v>1</v>
      </c>
      <c r="D22" s="11">
        <f t="array" ref="D22">SUM(IF(F22:AS22="R",1,0))</f>
        <v>2</v>
      </c>
      <c r="E22" s="11">
        <f t="array" ref="E22">SUM(IF(F22:AS22="R2",1,0))</f>
        <v>1</v>
      </c>
      <c r="F22" s="16"/>
      <c r="G22" s="16"/>
      <c r="H22" s="16"/>
      <c r="I22" s="16"/>
      <c r="J22" s="16"/>
      <c r="K22" s="16"/>
      <c r="N22" s="17" t="s">
        <v>39</v>
      </c>
      <c r="S22" s="17" t="s">
        <v>39</v>
      </c>
      <c r="AM22" s="17" t="s">
        <v>40</v>
      </c>
      <c r="AN22" s="17">
        <v>1.0</v>
      </c>
    </row>
    <row r="23">
      <c r="A23" s="62" t="s">
        <v>200</v>
      </c>
      <c r="B23" s="10">
        <f t="shared" si="4"/>
        <v>3</v>
      </c>
      <c r="C23" s="10">
        <f t="shared" si="2"/>
        <v>1</v>
      </c>
      <c r="D23" s="11">
        <f t="array" ref="D23">SUM(IF(F23:AS23="R",1,0))</f>
        <v>2</v>
      </c>
      <c r="E23" s="11">
        <f t="array" ref="E23">SUM(IF(F23:AS23="R2",1,0))</f>
        <v>1</v>
      </c>
      <c r="L23" s="17" t="s">
        <v>39</v>
      </c>
      <c r="O23" s="17" t="s">
        <v>39</v>
      </c>
      <c r="S23" s="17" t="s">
        <v>40</v>
      </c>
      <c r="AE23" s="17">
        <v>1.0</v>
      </c>
    </row>
    <row r="24" hidden="1">
      <c r="A24" s="27" t="s">
        <v>116</v>
      </c>
      <c r="B24" s="10"/>
      <c r="C24" s="10">
        <f t="shared" si="2"/>
        <v>0</v>
      </c>
      <c r="D24" s="11">
        <f t="array" ref="D24">SUM(IF(F24:AS24="R",1,0))</f>
        <v>0</v>
      </c>
      <c r="E24" s="11">
        <f t="array" ref="E24">SUM(IF(F24:AS24="R2",1,0))</f>
        <v>0</v>
      </c>
    </row>
    <row r="25">
      <c r="A25" s="26" t="s">
        <v>46</v>
      </c>
      <c r="B25" s="10">
        <f>SUM(C25:D25)</f>
        <v>3</v>
      </c>
      <c r="C25" s="10">
        <f t="shared" si="2"/>
        <v>2</v>
      </c>
      <c r="D25" s="11">
        <f t="array" ref="D25">SUM(IF(F25:AS25="R",1,0))</f>
        <v>1</v>
      </c>
      <c r="E25" s="11">
        <f t="array" ref="E25">SUM(IF(F25:AS25="R2",1,0))</f>
        <v>1</v>
      </c>
      <c r="F25" s="16"/>
      <c r="G25" s="16"/>
      <c r="H25" s="16"/>
      <c r="I25" s="16"/>
      <c r="J25" s="16"/>
      <c r="K25" s="16"/>
      <c r="L25" s="16"/>
      <c r="M25" s="16"/>
      <c r="N25" s="16"/>
      <c r="O25" s="16"/>
      <c r="P25" s="16"/>
      <c r="Q25" s="16"/>
      <c r="R25" s="16"/>
      <c r="S25" s="61"/>
      <c r="T25" s="61"/>
      <c r="U25" s="61"/>
      <c r="V25" s="61"/>
      <c r="W25" s="61"/>
      <c r="X25" s="61"/>
      <c r="Z25" s="61"/>
      <c r="AA25" s="17">
        <v>1.0</v>
      </c>
      <c r="AB25" s="61"/>
      <c r="AC25" s="61"/>
      <c r="AD25" s="61"/>
      <c r="AE25" s="61"/>
      <c r="AF25" s="61"/>
      <c r="AG25" s="61"/>
      <c r="AH25" s="17" t="s">
        <v>40</v>
      </c>
      <c r="AI25" s="61"/>
      <c r="AJ25" s="17" t="s">
        <v>39</v>
      </c>
      <c r="AK25" s="61"/>
      <c r="AL25" s="61"/>
      <c r="AM25" s="61"/>
      <c r="AN25" s="61"/>
      <c r="AO25" s="61"/>
      <c r="AP25" s="61"/>
      <c r="AQ25" s="17">
        <v>1.0</v>
      </c>
      <c r="AR25" s="61"/>
      <c r="AT25" s="61"/>
    </row>
    <row r="26">
      <c r="A26" s="26" t="s">
        <v>201</v>
      </c>
      <c r="B26" s="10"/>
      <c r="C26" s="10">
        <f t="shared" si="2"/>
        <v>1</v>
      </c>
      <c r="D26" s="11">
        <f t="array" ref="D26">SUM(IF(F26:AS26="R",1,0))</f>
        <v>1</v>
      </c>
      <c r="E26" s="11">
        <f t="array" ref="E26">SUM(IF(F26:AS26="R2",1,0))</f>
        <v>1</v>
      </c>
      <c r="F26" s="61"/>
      <c r="H26" s="61"/>
      <c r="J26" s="61"/>
      <c r="K26" s="61"/>
      <c r="L26" s="61"/>
      <c r="M26" s="61"/>
      <c r="N26" s="61"/>
      <c r="O26" s="61"/>
      <c r="Q26" s="61"/>
      <c r="R26" s="17" t="s">
        <v>39</v>
      </c>
      <c r="S26" s="63"/>
      <c r="T26" s="63"/>
      <c r="U26" s="63"/>
      <c r="V26" s="63"/>
      <c r="W26" s="63"/>
      <c r="X26" s="63"/>
      <c r="Y26" s="64">
        <v>1.0</v>
      </c>
      <c r="Z26" s="63"/>
      <c r="AA26" s="63"/>
      <c r="AB26" s="63"/>
      <c r="AC26" s="63"/>
      <c r="AD26" s="63"/>
      <c r="AE26" s="63"/>
      <c r="AF26" s="63"/>
      <c r="AG26" s="63"/>
      <c r="AH26" s="63"/>
      <c r="AI26" s="63"/>
      <c r="AJ26" s="64" t="s">
        <v>62</v>
      </c>
      <c r="AK26" s="63"/>
      <c r="AL26" s="63"/>
      <c r="AM26" s="63"/>
      <c r="AN26" s="63"/>
      <c r="AO26" s="63"/>
      <c r="AP26" s="63"/>
      <c r="AR26" s="63"/>
    </row>
    <row r="27">
      <c r="A27" s="44" t="s">
        <v>117</v>
      </c>
      <c r="B27" s="10">
        <f t="shared" ref="B27:B29" si="5">SUM(C27:D27)</f>
        <v>3</v>
      </c>
      <c r="C27" s="10">
        <f t="shared" si="2"/>
        <v>1</v>
      </c>
      <c r="D27" s="11">
        <f t="array" ref="D27">SUM(IF(F27:AS27="R",1,0))</f>
        <v>2</v>
      </c>
      <c r="E27" s="11">
        <f t="array" ref="E27">SUM(IF(F27:AS27="R2",1,0))</f>
        <v>2</v>
      </c>
      <c r="F27" s="60"/>
      <c r="J27" s="17" t="s">
        <v>39</v>
      </c>
      <c r="N27" s="60"/>
      <c r="O27" s="60"/>
      <c r="S27" s="17">
        <v>1.0</v>
      </c>
      <c r="W27" s="60"/>
      <c r="X27" s="60"/>
      <c r="Y27" s="17" t="s">
        <v>40</v>
      </c>
      <c r="AN27" s="17" t="s">
        <v>40</v>
      </c>
      <c r="AQ27" s="17" t="s">
        <v>39</v>
      </c>
    </row>
    <row r="28">
      <c r="A28" s="44" t="s">
        <v>67</v>
      </c>
      <c r="B28" s="10">
        <f t="shared" si="5"/>
        <v>4</v>
      </c>
      <c r="C28" s="10">
        <f t="shared" si="2"/>
        <v>2</v>
      </c>
      <c r="D28" s="11">
        <f t="array" ref="D28">SUM(IF(F28:AS28="R",1,0))</f>
        <v>2</v>
      </c>
      <c r="E28" s="11">
        <f t="array" ref="E28">SUM(IF(F28:AS28="R2",1,0))</f>
        <v>2</v>
      </c>
      <c r="I28" s="17" t="s">
        <v>40</v>
      </c>
      <c r="J28" s="17">
        <v>1.0</v>
      </c>
      <c r="M28" s="17">
        <v>1.0</v>
      </c>
      <c r="X28" s="17" t="s">
        <v>39</v>
      </c>
      <c r="AL28" s="17" t="s">
        <v>39</v>
      </c>
      <c r="AQ28" s="17" t="s">
        <v>40</v>
      </c>
    </row>
    <row r="29">
      <c r="A29" s="20" t="s">
        <v>202</v>
      </c>
      <c r="B29" s="10">
        <f t="shared" si="5"/>
        <v>4</v>
      </c>
      <c r="C29" s="10">
        <f t="shared" si="2"/>
        <v>2</v>
      </c>
      <c r="D29" s="11">
        <f t="array" ref="D29">SUM(IF(F29:AS29="R",1,0))</f>
        <v>2</v>
      </c>
      <c r="E29" s="11">
        <f t="array" ref="E29">SUM(IF(F29:AS29="R2",1,0))</f>
        <v>2</v>
      </c>
      <c r="K29" s="17" t="s">
        <v>39</v>
      </c>
      <c r="N29" s="17">
        <v>1.0</v>
      </c>
      <c r="T29" s="17" t="s">
        <v>39</v>
      </c>
      <c r="V29" s="17">
        <v>1.0</v>
      </c>
      <c r="Z29" s="17" t="s">
        <v>40</v>
      </c>
      <c r="AK29" s="17" t="s">
        <v>40</v>
      </c>
    </row>
    <row r="30">
      <c r="A30" s="20" t="s">
        <v>179</v>
      </c>
      <c r="B30" s="10"/>
      <c r="C30" s="10">
        <f t="shared" si="2"/>
        <v>2</v>
      </c>
      <c r="D30" s="11">
        <f t="array" ref="D30">SUM(IF(F30:AS30="R",1,0))</f>
        <v>2</v>
      </c>
      <c r="E30" s="11">
        <f t="array" ref="E30">SUM(IF(F30:AS30="R2",1,0))</f>
        <v>2</v>
      </c>
      <c r="L30" s="60"/>
      <c r="M30" s="60"/>
      <c r="O30" s="17">
        <v>1.0</v>
      </c>
      <c r="T30" s="17" t="s">
        <v>40</v>
      </c>
      <c r="X30" s="17" t="s">
        <v>40</v>
      </c>
      <c r="Z30" s="17" t="s">
        <v>39</v>
      </c>
      <c r="AI30" s="17" t="s">
        <v>39</v>
      </c>
      <c r="AP30" s="17">
        <v>1.0</v>
      </c>
    </row>
    <row r="31">
      <c r="A31" s="17" t="s">
        <v>68</v>
      </c>
      <c r="B31" s="10">
        <f>SUM(B4:B14)</f>
        <v>19</v>
      </c>
      <c r="C31" s="10">
        <f>SUM(F31:AR31)</f>
        <v>39</v>
      </c>
      <c r="D31" s="11"/>
      <c r="E31" s="11"/>
      <c r="F31" s="28">
        <f t="shared" ref="F31:AS31" si="6">SUM(F3:F30)</f>
        <v>1</v>
      </c>
      <c r="G31" s="28">
        <f t="shared" si="6"/>
        <v>1</v>
      </c>
      <c r="H31" s="28">
        <f t="shared" si="6"/>
        <v>1</v>
      </c>
      <c r="I31" s="28">
        <f t="shared" si="6"/>
        <v>1</v>
      </c>
      <c r="J31" s="28">
        <f t="shared" si="6"/>
        <v>1</v>
      </c>
      <c r="K31" s="28">
        <f t="shared" si="6"/>
        <v>1</v>
      </c>
      <c r="L31" s="28">
        <f t="shared" si="6"/>
        <v>1</v>
      </c>
      <c r="M31" s="28">
        <f t="shared" si="6"/>
        <v>1</v>
      </c>
      <c r="N31" s="28">
        <f t="shared" si="6"/>
        <v>1</v>
      </c>
      <c r="O31" s="28">
        <f t="shared" si="6"/>
        <v>1</v>
      </c>
      <c r="P31" s="28">
        <f t="shared" si="6"/>
        <v>1</v>
      </c>
      <c r="Q31" s="28">
        <f t="shared" si="6"/>
        <v>1</v>
      </c>
      <c r="R31" s="28">
        <f t="shared" si="6"/>
        <v>1</v>
      </c>
      <c r="S31" s="28">
        <f t="shared" si="6"/>
        <v>1</v>
      </c>
      <c r="T31" s="28">
        <f t="shared" si="6"/>
        <v>1</v>
      </c>
      <c r="U31" s="28">
        <f t="shared" si="6"/>
        <v>1</v>
      </c>
      <c r="V31" s="28">
        <f t="shared" si="6"/>
        <v>1</v>
      </c>
      <c r="W31" s="28">
        <f t="shared" si="6"/>
        <v>1</v>
      </c>
      <c r="X31" s="28">
        <f t="shared" si="6"/>
        <v>1</v>
      </c>
      <c r="Y31" s="28">
        <f t="shared" si="6"/>
        <v>1</v>
      </c>
      <c r="Z31" s="28">
        <f t="shared" si="6"/>
        <v>1</v>
      </c>
      <c r="AA31" s="28">
        <f t="shared" si="6"/>
        <v>1</v>
      </c>
      <c r="AB31" s="28">
        <f t="shared" si="6"/>
        <v>1</v>
      </c>
      <c r="AC31" s="28">
        <f t="shared" si="6"/>
        <v>1</v>
      </c>
      <c r="AD31" s="28">
        <f t="shared" si="6"/>
        <v>1</v>
      </c>
      <c r="AE31" s="28">
        <f t="shared" si="6"/>
        <v>1</v>
      </c>
      <c r="AF31" s="28">
        <f t="shared" si="6"/>
        <v>1</v>
      </c>
      <c r="AG31" s="28">
        <f t="shared" si="6"/>
        <v>1</v>
      </c>
      <c r="AH31" s="28">
        <f t="shared" si="6"/>
        <v>1</v>
      </c>
      <c r="AI31" s="28">
        <f t="shared" si="6"/>
        <v>1</v>
      </c>
      <c r="AJ31" s="28">
        <f t="shared" si="6"/>
        <v>1</v>
      </c>
      <c r="AK31" s="28">
        <f t="shared" si="6"/>
        <v>1</v>
      </c>
      <c r="AL31" s="28">
        <f t="shared" si="6"/>
        <v>1</v>
      </c>
      <c r="AM31" s="28">
        <f t="shared" si="6"/>
        <v>1</v>
      </c>
      <c r="AN31" s="28">
        <f t="shared" si="6"/>
        <v>1</v>
      </c>
      <c r="AO31" s="28">
        <f t="shared" si="6"/>
        <v>1</v>
      </c>
      <c r="AP31" s="28">
        <f t="shared" si="6"/>
        <v>1</v>
      </c>
      <c r="AQ31" s="28">
        <f t="shared" si="6"/>
        <v>1</v>
      </c>
      <c r="AR31" s="28">
        <f t="shared" si="6"/>
        <v>1</v>
      </c>
      <c r="AS31" s="28">
        <f t="shared" si="6"/>
        <v>0</v>
      </c>
    </row>
    <row r="32">
      <c r="A32" s="17" t="s">
        <v>69</v>
      </c>
      <c r="B32" s="28">
        <f t="shared" ref="B32:B33" si="7">SUM(F32:AR32)</f>
        <v>39</v>
      </c>
      <c r="C32" s="10">
        <f t="shared" ref="C32:C33" si="8">SUM(F32:AS32)</f>
        <v>39</v>
      </c>
      <c r="F32" s="11">
        <f t="array" ref="F32">SUM(IF(F3:F30="R",1,0))</f>
        <v>1</v>
      </c>
      <c r="G32" s="11">
        <f t="array" ref="G32">SUM(IF(G3:G30="R",1,0))</f>
        <v>1</v>
      </c>
      <c r="H32" s="11">
        <f t="array" ref="H32">SUM(IF(H3:H30="R",1,0))</f>
        <v>1</v>
      </c>
      <c r="I32" s="11">
        <f t="array" ref="I32">SUM(IF(I3:I30="R",1,0))</f>
        <v>1</v>
      </c>
      <c r="J32" s="11">
        <f t="array" ref="J32">SUM(IF(J3:J30="R",1,0))</f>
        <v>1</v>
      </c>
      <c r="K32" s="11">
        <f t="array" ref="K32">SUM(IF(K3:K30="R",1,0))</f>
        <v>1</v>
      </c>
      <c r="L32" s="11">
        <f t="array" ref="L32">SUM(IF(L3:L30="R",1,0))</f>
        <v>1</v>
      </c>
      <c r="M32" s="11">
        <f t="array" ref="M32">SUM(IF(M3:M30="R",1,0))</f>
        <v>1</v>
      </c>
      <c r="N32" s="11">
        <f t="array" ref="N32">SUM(IF(N3:N30="R",1,0))</f>
        <v>1</v>
      </c>
      <c r="O32" s="11">
        <f t="array" ref="O32">SUM(IF(O3:O30="R",1,0))</f>
        <v>1</v>
      </c>
      <c r="P32" s="11">
        <f t="array" ref="P32">SUM(IF(P3:P30="R",1,0))</f>
        <v>1</v>
      </c>
      <c r="Q32" s="11">
        <f t="array" ref="Q32">SUM(IF(Q3:Q30="R",1,0))</f>
        <v>1</v>
      </c>
      <c r="R32" s="11">
        <f t="array" ref="R32">SUM(IF(R3:R30="R",1,0))</f>
        <v>1</v>
      </c>
      <c r="S32" s="11">
        <f t="array" ref="S32">SUM(IF(S3:S30="R",1,0))</f>
        <v>1</v>
      </c>
      <c r="T32" s="11">
        <f t="array" ref="T32">SUM(IF(T3:T30="R",1,0))</f>
        <v>1</v>
      </c>
      <c r="U32" s="11">
        <f t="array" ref="U32">SUM(IF(U3:U30="R",1,0))</f>
        <v>1</v>
      </c>
      <c r="V32" s="11">
        <f t="array" ref="V32">SUM(IF(V3:V30="R",1,0))</f>
        <v>1</v>
      </c>
      <c r="W32" s="11">
        <f t="array" ref="W32">SUM(IF(W3:W30="R",1,0))</f>
        <v>1</v>
      </c>
      <c r="X32" s="11">
        <f t="array" ref="X32">SUM(IF(X3:X30="R",1,0))</f>
        <v>1</v>
      </c>
      <c r="Y32" s="11">
        <f t="array" ref="Y32">SUM(IF(Y3:Y30="R",1,0))</f>
        <v>1</v>
      </c>
      <c r="Z32" s="11">
        <f t="array" ref="Z32">SUM(IF(Z3:Z30="R",1,0))</f>
        <v>1</v>
      </c>
      <c r="AA32" s="11">
        <f t="array" ref="AA32">SUM(IF(AA3:AA30="R",1,0))</f>
        <v>1</v>
      </c>
      <c r="AB32" s="11">
        <f t="array" ref="AB32">SUM(IF(AB3:AB30="R",1,0))</f>
        <v>1</v>
      </c>
      <c r="AC32" s="11">
        <f t="array" ref="AC32">SUM(IF(AC3:AC30="R",1,0))</f>
        <v>1</v>
      </c>
      <c r="AD32" s="11">
        <f t="array" ref="AD32">SUM(IF(AD3:AD30="R",1,0))</f>
        <v>1</v>
      </c>
      <c r="AE32" s="11">
        <f t="array" ref="AE32">SUM(IF(AE3:AE30="R",1,0))</f>
        <v>1</v>
      </c>
      <c r="AF32" s="11">
        <f t="array" ref="AF32">SUM(IF(AF3:AF30="R",1,0))</f>
        <v>1</v>
      </c>
      <c r="AG32" s="11">
        <f t="array" ref="AG32">SUM(IF(AG3:AG30="R",1,0))</f>
        <v>1</v>
      </c>
      <c r="AH32" s="11">
        <f t="array" ref="AH32">SUM(IF(AH3:AH30="R",1,0))</f>
        <v>1</v>
      </c>
      <c r="AI32" s="11">
        <f t="array" ref="AI32">SUM(IF(AI3:AI30="R",1,0))</f>
        <v>1</v>
      </c>
      <c r="AJ32" s="11">
        <f t="array" ref="AJ32">SUM(IF(AJ3:AJ30="R",1,0))</f>
        <v>1</v>
      </c>
      <c r="AK32" s="11">
        <f t="array" ref="AK32">SUM(IF(AK3:AK30="R",1,0))</f>
        <v>1</v>
      </c>
      <c r="AL32" s="11">
        <f t="array" ref="AL32">SUM(IF(AL3:AL30="R",1,0))</f>
        <v>1</v>
      </c>
      <c r="AM32" s="11">
        <f t="array" ref="AM32">SUM(IF(AM3:AM30="R",1,0))</f>
        <v>1</v>
      </c>
      <c r="AN32" s="11">
        <f t="array" ref="AN32">SUM(IF(AN3:AN30="R",1,0))</f>
        <v>1</v>
      </c>
      <c r="AO32" s="11">
        <f t="array" ref="AO32">SUM(IF(AO3:AO30="R",1,0))</f>
        <v>1</v>
      </c>
      <c r="AP32" s="11">
        <f t="array" ref="AP32">SUM(IF(AP3:AP30="R",1,0))</f>
        <v>1</v>
      </c>
      <c r="AQ32" s="11">
        <f t="array" ref="AQ32">SUM(IF(AQ3:AQ30="R",1,0))</f>
        <v>1</v>
      </c>
      <c r="AR32" s="11">
        <f t="array" ref="AR32">SUM(IF(AR3:AR30="R",1,0))</f>
        <v>1</v>
      </c>
      <c r="AS32" s="11">
        <f t="array" ref="AS32">SUM(IF(AS3:AS30="R",1,0))</f>
        <v>0</v>
      </c>
      <c r="AT32" s="11"/>
    </row>
    <row r="33">
      <c r="A33" s="17" t="s">
        <v>70</v>
      </c>
      <c r="B33" s="28">
        <f t="shared" si="7"/>
        <v>39</v>
      </c>
      <c r="C33" s="10">
        <f t="shared" si="8"/>
        <v>39</v>
      </c>
      <c r="F33" s="11">
        <f t="array" ref="F33">SUM(IF(F3:F30="R2",1,0))</f>
        <v>1</v>
      </c>
      <c r="G33" s="11">
        <f t="array" ref="G33">SUM(IF(G3:G30="R2",1,0))</f>
        <v>1</v>
      </c>
      <c r="H33" s="11">
        <f t="array" ref="H33">SUM(IF(H3:H30="R2",1,0))</f>
        <v>1</v>
      </c>
      <c r="I33" s="11">
        <f t="array" ref="I33">SUM(IF(I3:I30="R2",1,0))</f>
        <v>1</v>
      </c>
      <c r="J33" s="11">
        <f t="array" ref="J33">SUM(IF(J3:J30="R2",1,0))</f>
        <v>1</v>
      </c>
      <c r="K33" s="11">
        <f t="array" ref="K33">SUM(IF(K3:K30="R2",1,0))</f>
        <v>1</v>
      </c>
      <c r="L33" s="11">
        <f t="array" ref="L33">SUM(IF(L3:L30="R2",1,0))</f>
        <v>1</v>
      </c>
      <c r="M33" s="11">
        <f t="array" ref="M33">SUM(IF(M3:M30="R2",1,0))</f>
        <v>1</v>
      </c>
      <c r="N33" s="11">
        <f t="array" ref="N33">SUM(IF(N3:N30="R2",1,0))</f>
        <v>1</v>
      </c>
      <c r="O33" s="11">
        <f t="array" ref="O33">SUM(IF(O3:O30="R2",1,0))</f>
        <v>1</v>
      </c>
      <c r="P33" s="11">
        <f t="array" ref="P33">SUM(IF(P3:P30="R2",1,0))</f>
        <v>1</v>
      </c>
      <c r="Q33" s="11">
        <f t="array" ref="Q33">SUM(IF(Q3:Q30="R2",1,0))</f>
        <v>1</v>
      </c>
      <c r="R33" s="11">
        <f t="array" ref="R33">SUM(IF(R3:R30="R2",1,0))</f>
        <v>1</v>
      </c>
      <c r="S33" s="11">
        <f t="array" ref="S33">SUM(IF(S3:S30="R2",1,0))</f>
        <v>1</v>
      </c>
      <c r="T33" s="11">
        <f t="array" ref="T33">SUM(IF(T3:T30="R2",1,0))</f>
        <v>1</v>
      </c>
      <c r="U33" s="11">
        <f t="array" ref="U33">SUM(IF(U3:U30="R2",1,0))</f>
        <v>1</v>
      </c>
      <c r="V33" s="11">
        <f t="array" ref="V33">SUM(IF(V3:V30="R2",1,0))</f>
        <v>1</v>
      </c>
      <c r="W33" s="11">
        <f t="array" ref="W33">SUM(IF(W3:W30="R2",1,0))</f>
        <v>1</v>
      </c>
      <c r="X33" s="11">
        <f t="array" ref="X33">SUM(IF(X3:X30="R2",1,0))</f>
        <v>1</v>
      </c>
      <c r="Y33" s="11">
        <f t="array" ref="Y33">SUM(IF(Y3:Y30="R2",1,0))</f>
        <v>1</v>
      </c>
      <c r="Z33" s="11">
        <f t="array" ref="Z33">SUM(IF(Z3:Z30="R2",1,0))</f>
        <v>1</v>
      </c>
      <c r="AA33" s="11">
        <f t="array" ref="AA33">SUM(IF(AA3:AA30="R2",1,0))</f>
        <v>1</v>
      </c>
      <c r="AB33" s="11">
        <f t="array" ref="AB33">SUM(IF(AB3:AB30="R2",1,0))</f>
        <v>1</v>
      </c>
      <c r="AC33" s="11">
        <f t="array" ref="AC33">SUM(IF(AC3:AC30="R2",1,0))</f>
        <v>1</v>
      </c>
      <c r="AD33" s="11">
        <f t="array" ref="AD33">SUM(IF(AD3:AD30="R2",1,0))</f>
        <v>1</v>
      </c>
      <c r="AE33" s="11">
        <f t="array" ref="AE33">SUM(IF(AE3:AE30="R2",1,0))</f>
        <v>1</v>
      </c>
      <c r="AF33" s="11">
        <f t="array" ref="AF33">SUM(IF(AF3:AF30="R2",1,0))</f>
        <v>1</v>
      </c>
      <c r="AG33" s="11">
        <f t="array" ref="AG33">SUM(IF(AG3:AG30="R2",1,0))</f>
        <v>1</v>
      </c>
      <c r="AH33" s="11">
        <f t="array" ref="AH33">SUM(IF(AH3:AH30="R2",1,0))</f>
        <v>1</v>
      </c>
      <c r="AI33" s="11">
        <f t="array" ref="AI33">SUM(IF(AI3:AI30="R2",1,0))</f>
        <v>1</v>
      </c>
      <c r="AJ33" s="11">
        <f t="array" ref="AJ33">SUM(IF(AJ3:AJ30="R2",1,0))</f>
        <v>1</v>
      </c>
      <c r="AK33" s="11">
        <f t="array" ref="AK33">SUM(IF(AK3:AK30="R2",1,0))</f>
        <v>1</v>
      </c>
      <c r="AL33" s="11">
        <f t="array" ref="AL33">SUM(IF(AL3:AL30="R2",1,0))</f>
        <v>1</v>
      </c>
      <c r="AM33" s="11">
        <f t="array" ref="AM33">SUM(IF(AM3:AM30="R2",1,0))</f>
        <v>1</v>
      </c>
      <c r="AN33" s="11">
        <f t="array" ref="AN33">SUM(IF(AN3:AN30="R2",1,0))</f>
        <v>1</v>
      </c>
      <c r="AO33" s="11">
        <f t="array" ref="AO33">SUM(IF(AO3:AO30="R2",1,0))</f>
        <v>1</v>
      </c>
      <c r="AP33" s="11">
        <f t="array" ref="AP33">SUM(IF(AP3:AP30="R2",1,0))</f>
        <v>1</v>
      </c>
      <c r="AQ33" s="11">
        <f t="array" ref="AQ33">SUM(IF(AQ3:AQ30="R2",1,0))</f>
        <v>1</v>
      </c>
      <c r="AR33" s="11">
        <f t="array" ref="AR33">SUM(IF(AR3:AR30="R2",1,0))</f>
        <v>1</v>
      </c>
      <c r="AS33" s="11">
        <f t="array" ref="AS33">SUM(IF(AS3:AS30="R2",1,0))</f>
        <v>0</v>
      </c>
      <c r="AT33" s="11"/>
    </row>
    <row r="34">
      <c r="E34" s="46" t="s">
        <v>71</v>
      </c>
      <c r="F34" s="29" t="str">
        <f t="shared" ref="F34:AR34" si="9">IFERROR(INDEX($A$3:$A$30, MATCH(1, INDEX($F$3:$AR$30, 0, MATCH(F2, $F$2:$AR$2, 0)), 0)), INDEX($A$3:$A$30, MATCH(1, INDEX($F$3:$AR$30, 0, MATCH(F2&amp;" AM", $F$2:$AR$2, 0)), 0)))</f>
        <v>PTE DYLAN</v>
      </c>
      <c r="G34" s="29" t="str">
        <f t="shared" si="9"/>
        <v>LCP AMIRUL</v>
      </c>
      <c r="H34" s="29" t="str">
        <f t="shared" si="9"/>
        <v>LCP FIRMAN</v>
      </c>
      <c r="I34" s="29" t="str">
        <f t="shared" si="9"/>
        <v>REC PARAM</v>
      </c>
      <c r="J34" s="29" t="str">
        <f t="shared" si="9"/>
        <v>PTE JIREH</v>
      </c>
      <c r="K34" s="29" t="str">
        <f t="shared" si="9"/>
        <v>PTE ISAAC</v>
      </c>
      <c r="L34" s="29" t="str">
        <f t="shared" si="9"/>
        <v>LCP AMIRUL</v>
      </c>
      <c r="M34" s="29" t="str">
        <f t="shared" si="9"/>
        <v>PTE JIREH</v>
      </c>
      <c r="N34" s="29" t="str">
        <f t="shared" si="9"/>
        <v>PTE KRISHAN</v>
      </c>
      <c r="O34" s="29" t="str">
        <f t="shared" si="9"/>
        <v>PTE MICHAEL</v>
      </c>
      <c r="P34" s="29" t="str">
        <f t="shared" si="9"/>
        <v>REC RUI FENG</v>
      </c>
      <c r="Q34" s="29" t="str">
        <f t="shared" si="9"/>
        <v>PTE EZRA</v>
      </c>
      <c r="R34" s="29" t="str">
        <f t="shared" si="9"/>
        <v>REC PARAM</v>
      </c>
      <c r="S34" s="29" t="str">
        <f t="shared" si="9"/>
        <v>PTE HAO QIAN</v>
      </c>
      <c r="T34" s="29" t="str">
        <f t="shared" si="9"/>
        <v>PTE HAQIMI</v>
      </c>
      <c r="U34" s="29" t="str">
        <f t="shared" si="9"/>
        <v>REC ASH</v>
      </c>
      <c r="V34" s="29" t="str">
        <f t="shared" si="9"/>
        <v>PTE KRISHAN</v>
      </c>
      <c r="W34" s="29" t="str">
        <f t="shared" si="9"/>
        <v>PTE JASPER</v>
      </c>
      <c r="X34" s="29" t="str">
        <f t="shared" si="9"/>
        <v>PTE AZHARI</v>
      </c>
      <c r="Y34" s="29" t="str">
        <f t="shared" si="9"/>
        <v>3SG YAOCHEN</v>
      </c>
      <c r="Z34" s="29" t="str">
        <f t="shared" si="9"/>
        <v>PTE AZHARI</v>
      </c>
      <c r="AA34" s="29" t="str">
        <f t="shared" si="9"/>
        <v>PTE REUVEN</v>
      </c>
      <c r="AB34" s="29" t="str">
        <f t="shared" si="9"/>
        <v>PTE AMIN</v>
      </c>
      <c r="AC34" s="29" t="str">
        <f t="shared" si="9"/>
        <v>PTE ISAAC</v>
      </c>
      <c r="AD34" s="29" t="str">
        <f t="shared" si="9"/>
        <v>CPL ANGELO</v>
      </c>
      <c r="AE34" s="29" t="str">
        <f t="shared" si="9"/>
        <v>LCP ZI XUAN</v>
      </c>
      <c r="AF34" s="29" t="str">
        <f t="shared" si="9"/>
        <v>PTE DYLAN</v>
      </c>
      <c r="AG34" s="29" t="str">
        <f t="shared" si="9"/>
        <v>3SG DANIEL</v>
      </c>
      <c r="AH34" s="29" t="str">
        <f t="shared" si="9"/>
        <v>PTE AFIF</v>
      </c>
      <c r="AI34" s="29" t="str">
        <f t="shared" si="9"/>
        <v>PTE EZRA</v>
      </c>
      <c r="AJ34" s="29" t="str">
        <f t="shared" si="9"/>
        <v>REC RUI FENG</v>
      </c>
      <c r="AK34" s="29" t="str">
        <f t="shared" si="9"/>
        <v>LCP ADAM</v>
      </c>
      <c r="AL34" s="29" t="str">
        <f t="shared" si="9"/>
        <v>REC ASH</v>
      </c>
      <c r="AM34" s="29" t="str">
        <f t="shared" si="9"/>
        <v>CPL ANGELO</v>
      </c>
      <c r="AN34" s="29" t="str">
        <f t="shared" si="9"/>
        <v>LCP GLADWYN</v>
      </c>
      <c r="AO34" s="29" t="str">
        <f t="shared" si="9"/>
        <v>PTE AMIN</v>
      </c>
      <c r="AP34" s="29" t="str">
        <f t="shared" si="9"/>
        <v>PTE MICHAEL</v>
      </c>
      <c r="AQ34" s="29" t="str">
        <f t="shared" si="9"/>
        <v>PTE REUVEN</v>
      </c>
      <c r="AR34" s="29" t="str">
        <f t="shared" si="9"/>
        <v>PTE JASPER</v>
      </c>
      <c r="AS34" s="29" t="str">
        <f t="array" ref="AS34">IFERROR(INDEX($A$3:$A$30, MATCH(1, INDEX($F$3:$AS$30, 0, MATCH(AS2, $F$2:$AS$2, 0)), 0)), INDEX($A$3:$A$30, MATCH(1, INDEX($F$3:$AS$30, 0, MATCH(AS2&amp;" AM", $F$2:$AS$2, 0)), 0)))</f>
        <v>#N/A</v>
      </c>
      <c r="AT34" s="29"/>
    </row>
    <row r="35">
      <c r="A35" s="17" t="s">
        <v>153</v>
      </c>
      <c r="C35" s="49">
        <f>COUNTA($F$1:$AR$1)</f>
        <v>39</v>
      </c>
      <c r="E35" s="46" t="s">
        <v>72</v>
      </c>
      <c r="F35" s="28" t="str">
        <f t="shared" ref="F35:AS35" si="10">INDEX($A$3:$A$30, MATCH("R", INDEX($F$3:$AS$30, 0, MATCH(F2, $F$2:$AS$2, 0)), 0))</f>
        <v>PTE AFIF</v>
      </c>
      <c r="G35" s="28" t="str">
        <f t="shared" si="10"/>
        <v>LCP FIRMAN</v>
      </c>
      <c r="H35" s="28" t="str">
        <f t="shared" si="10"/>
        <v>PTE AMIN</v>
      </c>
      <c r="I35" s="28" t="str">
        <f t="shared" si="10"/>
        <v>REC RUI FENG</v>
      </c>
      <c r="J35" s="28" t="str">
        <f t="shared" si="10"/>
        <v>PTE HAO QIAN</v>
      </c>
      <c r="K35" s="28" t="str">
        <f t="shared" si="10"/>
        <v>PTE KRISHAN</v>
      </c>
      <c r="L35" s="28" t="str">
        <f t="shared" si="10"/>
        <v>LCP ZI XUAN</v>
      </c>
      <c r="M35" s="28" t="str">
        <f t="shared" si="10"/>
        <v>PTE JASPER</v>
      </c>
      <c r="N35" s="28" t="str">
        <f t="shared" si="10"/>
        <v>LCP GLADWYN</v>
      </c>
      <c r="O35" s="28" t="str">
        <f t="shared" si="10"/>
        <v>LCP ZI XUAN</v>
      </c>
      <c r="P35" s="28" t="str">
        <f t="shared" si="10"/>
        <v>PTE DYLAN</v>
      </c>
      <c r="Q35" s="28" t="str">
        <f t="shared" si="10"/>
        <v>LCP ADAM</v>
      </c>
      <c r="R35" s="28" t="str">
        <f t="shared" si="10"/>
        <v>3SG YAOCHEN</v>
      </c>
      <c r="S35" s="28" t="str">
        <f t="shared" si="10"/>
        <v>LCP GLADWYN</v>
      </c>
      <c r="T35" s="28" t="str">
        <f t="shared" si="10"/>
        <v>PTE KRISHAN</v>
      </c>
      <c r="U35" s="28" t="str">
        <f t="shared" si="10"/>
        <v>PTE DYLAN</v>
      </c>
      <c r="V35" s="28" t="str">
        <f t="shared" si="10"/>
        <v>PTE ISAAC</v>
      </c>
      <c r="W35" s="28" t="str">
        <f t="shared" si="10"/>
        <v>LCP AMIRUL</v>
      </c>
      <c r="X35" s="28" t="str">
        <f t="shared" si="10"/>
        <v>PTE JIREH</v>
      </c>
      <c r="Y35" s="28" t="str">
        <f t="shared" si="10"/>
        <v>REC PARAM</v>
      </c>
      <c r="Z35" s="28" t="str">
        <f t="shared" si="10"/>
        <v>PTE MICHAEL</v>
      </c>
      <c r="AA35" s="28" t="str">
        <f t="shared" si="10"/>
        <v>REC PARAM</v>
      </c>
      <c r="AB35" s="28" t="str">
        <f t="shared" si="10"/>
        <v>PTE HAQIMI</v>
      </c>
      <c r="AC35" s="28" t="str">
        <f t="shared" si="10"/>
        <v>LCP FIRMAN</v>
      </c>
      <c r="AD35" s="28" t="str">
        <f t="shared" si="10"/>
        <v>3SG DANIEL</v>
      </c>
      <c r="AE35" s="28" t="str">
        <f t="shared" si="10"/>
        <v>PTE AZHARI</v>
      </c>
      <c r="AF35" s="28" t="str">
        <f t="shared" si="10"/>
        <v>PTE AFIF</v>
      </c>
      <c r="AG35" s="28" t="str">
        <f t="shared" si="10"/>
        <v>CPL ANGELO</v>
      </c>
      <c r="AH35" s="28" t="str">
        <f t="shared" si="10"/>
        <v>PTE HAQIMI</v>
      </c>
      <c r="AI35" s="28" t="str">
        <f t="shared" si="10"/>
        <v>PTE MICHAEL</v>
      </c>
      <c r="AJ35" s="28" t="str">
        <f t="shared" si="10"/>
        <v>PTE REUVEN</v>
      </c>
      <c r="AK35" s="28" t="str">
        <f t="shared" si="10"/>
        <v>PTE AZHARI</v>
      </c>
      <c r="AL35" s="28" t="str">
        <f t="shared" si="10"/>
        <v>PTE JIREH</v>
      </c>
      <c r="AM35" s="28" t="str">
        <f t="shared" si="10"/>
        <v>PTE JASPER</v>
      </c>
      <c r="AN35" s="28" t="str">
        <f t="shared" si="10"/>
        <v>REC ASH</v>
      </c>
      <c r="AO35" s="28" t="str">
        <f t="shared" si="10"/>
        <v>PTE ISAAC</v>
      </c>
      <c r="AP35" s="28" t="str">
        <f t="shared" si="10"/>
        <v>PTE EZRA</v>
      </c>
      <c r="AQ35" s="28" t="str">
        <f t="shared" si="10"/>
        <v>PTE HAO QIAN</v>
      </c>
      <c r="AR35" s="28" t="str">
        <f t="shared" si="10"/>
        <v>PTE AMIN</v>
      </c>
      <c r="AS35" s="28" t="str">
        <f t="shared" si="10"/>
        <v>#N/A</v>
      </c>
    </row>
    <row r="36">
      <c r="A36" s="17" t="s">
        <v>154</v>
      </c>
      <c r="C36" s="50">
        <f>SUBTOTAL(103, $A$3:$A$30)
</f>
        <v>24</v>
      </c>
      <c r="E36" s="46" t="s">
        <v>70</v>
      </c>
      <c r="F36" s="30" t="str">
        <f t="shared" ref="F36:AS36" si="11">INDEX($A$3:$A$30, MATCH("R2", INDEX($F$3:$AS$30, 0, MATCH(F2, $F$2:$AS$2, 0)), 0))</f>
        <v>PTE EZRA</v>
      </c>
      <c r="G36" s="30" t="str">
        <f t="shared" si="11"/>
        <v>REC RUI FENG</v>
      </c>
      <c r="H36" s="30" t="str">
        <f t="shared" si="11"/>
        <v>LCP AMIRUL</v>
      </c>
      <c r="I36" s="30" t="str">
        <f t="shared" si="11"/>
        <v>PTE JIREH</v>
      </c>
      <c r="J36" s="30" t="str">
        <f t="shared" si="11"/>
        <v>LCP ADAM</v>
      </c>
      <c r="K36" s="30" t="str">
        <f t="shared" si="11"/>
        <v>3SG DANIEL</v>
      </c>
      <c r="L36" s="30" t="str">
        <f t="shared" si="11"/>
        <v>CPL ANGELO</v>
      </c>
      <c r="M36" s="30" t="str">
        <f t="shared" si="11"/>
        <v>PTE HAQIMI</v>
      </c>
      <c r="N36" s="30" t="str">
        <f t="shared" si="11"/>
        <v>PTE DYLAN</v>
      </c>
      <c r="O36" s="30" t="str">
        <f t="shared" si="11"/>
        <v>PTE EZRA</v>
      </c>
      <c r="P36" s="30" t="str">
        <f t="shared" si="11"/>
        <v>PTE JASPER</v>
      </c>
      <c r="Q36" s="30" t="str">
        <f t="shared" si="11"/>
        <v>LCP AMIRUL</v>
      </c>
      <c r="R36" s="30" t="str">
        <f t="shared" si="11"/>
        <v>PTE AZHARI</v>
      </c>
      <c r="S36" s="30" t="str">
        <f t="shared" si="11"/>
        <v>LCP ZI XUAN</v>
      </c>
      <c r="T36" s="30" t="str">
        <f t="shared" si="11"/>
        <v>PTE MICHAEL</v>
      </c>
      <c r="U36" s="30" t="str">
        <f t="shared" si="11"/>
        <v>PTE AMIN</v>
      </c>
      <c r="V36" s="30" t="str">
        <f t="shared" si="11"/>
        <v>CPL ANGELO</v>
      </c>
      <c r="W36" s="30" t="str">
        <f t="shared" si="11"/>
        <v>PTE ISAAC</v>
      </c>
      <c r="X36" s="30" t="str">
        <f t="shared" si="11"/>
        <v>PTE MICHAEL</v>
      </c>
      <c r="Y36" s="30" t="str">
        <f t="shared" si="11"/>
        <v>PTE HAO QIAN</v>
      </c>
      <c r="Z36" s="30" t="str">
        <f t="shared" si="11"/>
        <v>PTE KRISHAN</v>
      </c>
      <c r="AA36" s="30" t="str">
        <f t="shared" si="11"/>
        <v>PTE DYLAN</v>
      </c>
      <c r="AB36" s="30" t="str">
        <f t="shared" si="11"/>
        <v>PTE AFIF</v>
      </c>
      <c r="AC36" s="30" t="str">
        <f t="shared" si="11"/>
        <v>REC ASH</v>
      </c>
      <c r="AD36" s="30" t="str">
        <f t="shared" si="11"/>
        <v>PTE HAQIMI</v>
      </c>
      <c r="AE36" s="30" t="str">
        <f t="shared" si="11"/>
        <v>REC ASH</v>
      </c>
      <c r="AF36" s="30" t="str">
        <f t="shared" si="11"/>
        <v>LCP FIRMAN</v>
      </c>
      <c r="AG36" s="30" t="str">
        <f t="shared" si="11"/>
        <v>PTE AMIN</v>
      </c>
      <c r="AH36" s="30" t="str">
        <f t="shared" si="11"/>
        <v>PTE REUVEN</v>
      </c>
      <c r="AI36" s="30" t="str">
        <f t="shared" si="11"/>
        <v>LCP ADAM</v>
      </c>
      <c r="AJ36" s="30" t="str">
        <f t="shared" si="11"/>
        <v>3SG YAOCHEN</v>
      </c>
      <c r="AK36" s="30" t="str">
        <f t="shared" si="11"/>
        <v>PTE KRISHAN</v>
      </c>
      <c r="AL36" s="30" t="str">
        <f t="shared" si="11"/>
        <v>PTE AZHARI</v>
      </c>
      <c r="AM36" s="30" t="str">
        <f t="shared" si="11"/>
        <v>LCP GLADWYN</v>
      </c>
      <c r="AN36" s="30" t="str">
        <f t="shared" si="11"/>
        <v>PTE HAO QIAN</v>
      </c>
      <c r="AO36" s="30" t="str">
        <f t="shared" si="11"/>
        <v>PTE JASPER</v>
      </c>
      <c r="AP36" s="30" t="str">
        <f t="shared" si="11"/>
        <v>3SG DANIEL</v>
      </c>
      <c r="AQ36" s="30" t="str">
        <f t="shared" si="11"/>
        <v>PTE JIREH</v>
      </c>
      <c r="AR36" s="30" t="str">
        <f t="shared" si="11"/>
        <v>PTE ISAAC</v>
      </c>
      <c r="AS36" s="30" t="str">
        <f t="shared" si="11"/>
        <v>#N/A</v>
      </c>
      <c r="AT36" s="30"/>
    </row>
    <row r="37">
      <c r="G37" s="31"/>
    </row>
    <row r="38">
      <c r="G38" s="31"/>
    </row>
    <row r="39">
      <c r="G39" s="31"/>
    </row>
    <row r="40">
      <c r="A40" s="26" t="s">
        <v>118</v>
      </c>
      <c r="G40" s="31"/>
    </row>
    <row r="41">
      <c r="A41" s="25" t="s">
        <v>119</v>
      </c>
      <c r="G41" s="31"/>
    </row>
    <row r="42">
      <c r="A42" s="22" t="s">
        <v>120</v>
      </c>
      <c r="G42" s="31"/>
    </row>
    <row r="43">
      <c r="A43" s="20" t="s">
        <v>121</v>
      </c>
      <c r="G43" s="31"/>
    </row>
    <row r="44">
      <c r="A44" s="23" t="s">
        <v>122</v>
      </c>
      <c r="G44" s="31"/>
    </row>
    <row r="45">
      <c r="A45" s="14" t="s">
        <v>123</v>
      </c>
      <c r="G45" s="31"/>
    </row>
    <row r="46">
      <c r="A46" s="27" t="s">
        <v>124</v>
      </c>
      <c r="G46" s="31"/>
    </row>
    <row r="47">
      <c r="A47" s="9" t="s">
        <v>125</v>
      </c>
      <c r="C47" s="31"/>
      <c r="G47" s="31"/>
    </row>
    <row r="48">
      <c r="A48" s="44" t="s">
        <v>126</v>
      </c>
      <c r="G48" s="31"/>
    </row>
    <row r="49">
      <c r="A49" s="62" t="s">
        <v>203</v>
      </c>
      <c r="G49" s="31"/>
    </row>
    <row r="50">
      <c r="G50" s="31"/>
    </row>
    <row r="51">
      <c r="G51" s="31"/>
    </row>
    <row r="52">
      <c r="G52" s="31"/>
    </row>
    <row r="53">
      <c r="G53" s="31"/>
    </row>
    <row r="54">
      <c r="G54" s="31"/>
    </row>
    <row r="55">
      <c r="G55" s="31"/>
    </row>
    <row r="56">
      <c r="G56" s="31"/>
    </row>
    <row r="57">
      <c r="G57" s="31"/>
    </row>
    <row r="58">
      <c r="G58" s="31"/>
    </row>
    <row r="59">
      <c r="G59" s="31"/>
    </row>
    <row r="60">
      <c r="G60" s="31"/>
    </row>
    <row r="61">
      <c r="G61" s="31"/>
    </row>
    <row r="62">
      <c r="G62" s="31"/>
    </row>
    <row r="63">
      <c r="G63" s="31"/>
    </row>
    <row r="64">
      <c r="G64" s="31"/>
    </row>
    <row r="65">
      <c r="G65" s="31"/>
    </row>
    <row r="66">
      <c r="G66" s="31"/>
    </row>
    <row r="67">
      <c r="G67" s="31"/>
    </row>
    <row r="68">
      <c r="G68" s="31"/>
    </row>
    <row r="69">
      <c r="G69" s="31"/>
    </row>
    <row r="70">
      <c r="G70" s="31"/>
    </row>
    <row r="71">
      <c r="G71" s="31"/>
    </row>
    <row r="72">
      <c r="G72" s="31"/>
    </row>
    <row r="73">
      <c r="G73" s="31"/>
    </row>
    <row r="74">
      <c r="G74" s="31"/>
    </row>
    <row r="75">
      <c r="G75" s="31"/>
    </row>
    <row r="76">
      <c r="G76" s="31"/>
    </row>
    <row r="77">
      <c r="G77" s="31"/>
    </row>
    <row r="78">
      <c r="G78" s="31"/>
    </row>
    <row r="79">
      <c r="G79" s="31"/>
    </row>
    <row r="80">
      <c r="G80" s="31"/>
    </row>
    <row r="81">
      <c r="G81" s="31"/>
    </row>
    <row r="82">
      <c r="G82" s="31"/>
    </row>
    <row r="83">
      <c r="G83" s="31"/>
    </row>
    <row r="84">
      <c r="G84" s="31"/>
    </row>
    <row r="85">
      <c r="G85" s="31"/>
    </row>
    <row r="86">
      <c r="G86" s="31"/>
    </row>
    <row r="87">
      <c r="G87" s="31"/>
    </row>
    <row r="88">
      <c r="G88" s="31"/>
    </row>
    <row r="89">
      <c r="G89" s="31"/>
    </row>
    <row r="90">
      <c r="G90" s="31"/>
    </row>
    <row r="91">
      <c r="G91" s="31"/>
    </row>
    <row r="92">
      <c r="G92" s="31"/>
    </row>
    <row r="93">
      <c r="G93" s="31"/>
    </row>
    <row r="94">
      <c r="G94" s="31"/>
    </row>
    <row r="95">
      <c r="G95" s="31"/>
    </row>
    <row r="96">
      <c r="G96" s="31"/>
    </row>
    <row r="97">
      <c r="G97" s="31"/>
    </row>
    <row r="98">
      <c r="G98" s="31"/>
    </row>
    <row r="99">
      <c r="G99" s="31"/>
    </row>
    <row r="100">
      <c r="G100" s="31"/>
    </row>
    <row r="101">
      <c r="G101" s="31"/>
    </row>
    <row r="102">
      <c r="G102" s="31"/>
    </row>
    <row r="103">
      <c r="G103" s="31"/>
    </row>
    <row r="104">
      <c r="G104" s="31"/>
    </row>
    <row r="105">
      <c r="G105" s="31"/>
    </row>
    <row r="106">
      <c r="G106" s="31"/>
    </row>
    <row r="107">
      <c r="G107" s="31"/>
    </row>
    <row r="108">
      <c r="G108" s="31"/>
    </row>
    <row r="109">
      <c r="G109" s="31"/>
    </row>
    <row r="110">
      <c r="G110" s="31"/>
    </row>
    <row r="111">
      <c r="G111" s="31"/>
    </row>
    <row r="112">
      <c r="G112" s="31"/>
    </row>
    <row r="113">
      <c r="G113" s="31"/>
    </row>
    <row r="114">
      <c r="G114" s="31"/>
    </row>
    <row r="115">
      <c r="G115" s="31"/>
    </row>
    <row r="116">
      <c r="G116" s="31"/>
    </row>
    <row r="117">
      <c r="G117" s="31"/>
    </row>
    <row r="118">
      <c r="G118" s="31"/>
    </row>
    <row r="119">
      <c r="G119" s="31"/>
    </row>
    <row r="120">
      <c r="G120" s="31"/>
    </row>
    <row r="121">
      <c r="G121" s="31"/>
    </row>
    <row r="122">
      <c r="G122" s="31"/>
    </row>
    <row r="123">
      <c r="G123" s="31"/>
    </row>
    <row r="124">
      <c r="G124" s="31"/>
    </row>
    <row r="125">
      <c r="G125" s="31"/>
    </row>
    <row r="126">
      <c r="G126" s="31"/>
    </row>
    <row r="127">
      <c r="G127" s="31"/>
    </row>
    <row r="128">
      <c r="G128" s="31"/>
    </row>
    <row r="129">
      <c r="G129" s="31"/>
    </row>
    <row r="130">
      <c r="G130" s="31"/>
    </row>
    <row r="131">
      <c r="G131" s="31"/>
    </row>
    <row r="132">
      <c r="G132" s="31"/>
    </row>
    <row r="133">
      <c r="G133" s="31"/>
    </row>
    <row r="134">
      <c r="G134" s="31"/>
    </row>
    <row r="135">
      <c r="G135" s="31"/>
    </row>
    <row r="136">
      <c r="G136" s="31"/>
    </row>
    <row r="137">
      <c r="G137" s="31"/>
    </row>
    <row r="138">
      <c r="G138" s="31"/>
    </row>
    <row r="139">
      <c r="G139" s="31"/>
    </row>
    <row r="140">
      <c r="G140" s="31"/>
    </row>
    <row r="141">
      <c r="G141" s="31"/>
    </row>
    <row r="142">
      <c r="G142" s="31"/>
    </row>
    <row r="143">
      <c r="G143" s="31"/>
    </row>
    <row r="144">
      <c r="G144" s="31"/>
    </row>
    <row r="145">
      <c r="G145" s="31"/>
    </row>
    <row r="146">
      <c r="G146" s="31"/>
    </row>
    <row r="147">
      <c r="G147" s="31"/>
    </row>
    <row r="148">
      <c r="G148" s="31"/>
    </row>
    <row r="149">
      <c r="G149" s="31"/>
    </row>
    <row r="150">
      <c r="G150" s="31"/>
    </row>
    <row r="151">
      <c r="G151" s="31"/>
    </row>
    <row r="152">
      <c r="G152" s="31"/>
    </row>
    <row r="153">
      <c r="G153" s="31"/>
    </row>
    <row r="154">
      <c r="G154" s="31"/>
    </row>
    <row r="155">
      <c r="G155" s="31"/>
    </row>
    <row r="156">
      <c r="G156" s="31"/>
    </row>
    <row r="157">
      <c r="G157" s="31"/>
    </row>
    <row r="158">
      <c r="G158" s="31"/>
    </row>
    <row r="159">
      <c r="G159" s="31"/>
    </row>
    <row r="160">
      <c r="G160" s="31"/>
    </row>
    <row r="161">
      <c r="G161" s="31"/>
    </row>
    <row r="162">
      <c r="G162" s="31"/>
    </row>
    <row r="163">
      <c r="G163" s="31"/>
    </row>
    <row r="164">
      <c r="G164" s="31"/>
    </row>
    <row r="165">
      <c r="G165" s="31"/>
    </row>
    <row r="166">
      <c r="G166" s="31"/>
    </row>
    <row r="167">
      <c r="G167" s="31"/>
    </row>
    <row r="168">
      <c r="G168" s="31"/>
    </row>
    <row r="169">
      <c r="G169" s="31"/>
    </row>
    <row r="170">
      <c r="G170" s="31"/>
    </row>
    <row r="171">
      <c r="G171" s="31"/>
    </row>
    <row r="172">
      <c r="G172" s="31"/>
    </row>
    <row r="173">
      <c r="G173" s="31"/>
    </row>
    <row r="174">
      <c r="G174" s="31"/>
    </row>
    <row r="175">
      <c r="G175" s="31"/>
    </row>
    <row r="176">
      <c r="G176" s="31"/>
    </row>
    <row r="177">
      <c r="G177" s="31"/>
    </row>
    <row r="178">
      <c r="G178" s="31"/>
    </row>
    <row r="179">
      <c r="G179" s="31"/>
    </row>
    <row r="180">
      <c r="G180" s="31"/>
    </row>
    <row r="181">
      <c r="G181" s="31"/>
    </row>
    <row r="182">
      <c r="G182" s="31"/>
    </row>
    <row r="183">
      <c r="G183" s="31"/>
    </row>
    <row r="184">
      <c r="G184" s="31"/>
    </row>
    <row r="185">
      <c r="G185" s="31"/>
    </row>
    <row r="186">
      <c r="G186" s="31"/>
    </row>
    <row r="187">
      <c r="G187" s="31"/>
    </row>
    <row r="188">
      <c r="G188" s="31"/>
    </row>
    <row r="189">
      <c r="G189" s="31"/>
    </row>
    <row r="190">
      <c r="G190" s="31"/>
    </row>
    <row r="191">
      <c r="G191" s="31"/>
    </row>
    <row r="192">
      <c r="G192" s="31"/>
    </row>
    <row r="193">
      <c r="G193" s="31"/>
    </row>
    <row r="194">
      <c r="G194" s="31"/>
    </row>
    <row r="195">
      <c r="G195" s="31"/>
    </row>
    <row r="196">
      <c r="G196" s="31"/>
    </row>
    <row r="197">
      <c r="G197" s="31"/>
    </row>
    <row r="198">
      <c r="G198" s="31"/>
    </row>
    <row r="199">
      <c r="G199" s="31"/>
    </row>
    <row r="200">
      <c r="G200" s="31"/>
    </row>
    <row r="201">
      <c r="G201" s="31"/>
    </row>
    <row r="202">
      <c r="G202" s="31"/>
    </row>
    <row r="203">
      <c r="G203" s="31"/>
    </row>
    <row r="204">
      <c r="G204" s="31"/>
    </row>
    <row r="205">
      <c r="G205" s="31"/>
    </row>
    <row r="206">
      <c r="G206" s="31"/>
    </row>
    <row r="207">
      <c r="G207" s="31"/>
    </row>
    <row r="208">
      <c r="G208" s="31"/>
    </row>
    <row r="209">
      <c r="G209" s="31"/>
    </row>
    <row r="210">
      <c r="G210" s="31"/>
    </row>
    <row r="211">
      <c r="G211" s="31"/>
    </row>
    <row r="212">
      <c r="G212" s="31"/>
    </row>
    <row r="213">
      <c r="G213" s="31"/>
    </row>
    <row r="214">
      <c r="G214" s="31"/>
    </row>
    <row r="215">
      <c r="G215" s="31"/>
    </row>
    <row r="216">
      <c r="G216" s="31"/>
    </row>
    <row r="217">
      <c r="G217" s="31"/>
    </row>
    <row r="218">
      <c r="G218" s="31"/>
    </row>
    <row r="219">
      <c r="G219" s="31"/>
    </row>
    <row r="220">
      <c r="G220" s="31"/>
    </row>
    <row r="221">
      <c r="G221" s="31"/>
    </row>
    <row r="222">
      <c r="G222" s="31"/>
    </row>
    <row r="223">
      <c r="G223" s="31"/>
    </row>
    <row r="224">
      <c r="G224" s="31"/>
    </row>
    <row r="225">
      <c r="G225" s="31"/>
    </row>
    <row r="226">
      <c r="G226" s="31"/>
    </row>
    <row r="227">
      <c r="G227" s="31"/>
    </row>
    <row r="228">
      <c r="G228" s="31"/>
    </row>
    <row r="229">
      <c r="G229" s="31"/>
    </row>
    <row r="230">
      <c r="G230" s="31"/>
    </row>
    <row r="231">
      <c r="G231" s="31"/>
    </row>
    <row r="232">
      <c r="G232" s="31"/>
    </row>
    <row r="233">
      <c r="G233" s="31"/>
    </row>
    <row r="234">
      <c r="G234" s="31"/>
    </row>
    <row r="235">
      <c r="G235" s="31"/>
    </row>
    <row r="236">
      <c r="G236" s="31"/>
    </row>
    <row r="237">
      <c r="G237" s="31"/>
    </row>
    <row r="238">
      <c r="G238" s="31"/>
    </row>
    <row r="239">
      <c r="G239" s="31"/>
    </row>
    <row r="240">
      <c r="G240" s="31"/>
    </row>
    <row r="241">
      <c r="G241" s="31"/>
    </row>
    <row r="242">
      <c r="G242" s="31"/>
    </row>
    <row r="243">
      <c r="G243" s="31"/>
    </row>
    <row r="244">
      <c r="G244" s="31"/>
    </row>
    <row r="245">
      <c r="G245" s="31"/>
    </row>
    <row r="246">
      <c r="G246" s="31"/>
    </row>
    <row r="247">
      <c r="G247" s="31"/>
    </row>
    <row r="248">
      <c r="G248" s="31"/>
    </row>
    <row r="249">
      <c r="G249" s="31"/>
    </row>
    <row r="250">
      <c r="G250" s="31"/>
    </row>
    <row r="251">
      <c r="G251" s="31"/>
    </row>
    <row r="252">
      <c r="G252" s="31"/>
    </row>
    <row r="253">
      <c r="G253" s="31"/>
    </row>
    <row r="254">
      <c r="G254" s="31"/>
    </row>
    <row r="255">
      <c r="G255" s="31"/>
    </row>
    <row r="256">
      <c r="G256" s="31"/>
    </row>
    <row r="257">
      <c r="G257" s="31"/>
    </row>
    <row r="258">
      <c r="G258" s="31"/>
    </row>
    <row r="259">
      <c r="G259" s="31"/>
    </row>
    <row r="260">
      <c r="G260" s="31"/>
    </row>
    <row r="261">
      <c r="G261" s="31"/>
    </row>
    <row r="262">
      <c r="G262" s="31"/>
    </row>
    <row r="263">
      <c r="G263" s="31"/>
    </row>
    <row r="264">
      <c r="G264" s="31"/>
    </row>
    <row r="265">
      <c r="G265" s="31"/>
    </row>
    <row r="266">
      <c r="G266" s="31"/>
    </row>
    <row r="267">
      <c r="G267" s="31"/>
    </row>
    <row r="268">
      <c r="G268" s="31"/>
    </row>
    <row r="269">
      <c r="G269" s="31"/>
    </row>
    <row r="270">
      <c r="G270" s="31"/>
    </row>
    <row r="271">
      <c r="G271" s="31"/>
    </row>
    <row r="272">
      <c r="G272" s="31"/>
    </row>
    <row r="273">
      <c r="G273" s="31"/>
    </row>
    <row r="274">
      <c r="G274" s="31"/>
    </row>
    <row r="275">
      <c r="G275" s="31"/>
    </row>
    <row r="276">
      <c r="G276" s="31"/>
    </row>
    <row r="277">
      <c r="G277" s="31"/>
    </row>
    <row r="278">
      <c r="G278" s="31"/>
    </row>
    <row r="279">
      <c r="G279" s="31"/>
    </row>
    <row r="280">
      <c r="G280" s="31"/>
    </row>
    <row r="281">
      <c r="G281" s="31"/>
    </row>
    <row r="282">
      <c r="G282" s="31"/>
    </row>
    <row r="283">
      <c r="G283" s="31"/>
    </row>
    <row r="284">
      <c r="G284" s="31"/>
    </row>
    <row r="285">
      <c r="G285" s="31"/>
    </row>
    <row r="286">
      <c r="G286" s="31"/>
    </row>
    <row r="287">
      <c r="G287" s="31"/>
    </row>
    <row r="288">
      <c r="G288" s="31"/>
    </row>
    <row r="289">
      <c r="G289" s="31"/>
    </row>
    <row r="290">
      <c r="G290" s="31"/>
    </row>
    <row r="291">
      <c r="G291" s="31"/>
    </row>
    <row r="292">
      <c r="G292" s="31"/>
    </row>
    <row r="293">
      <c r="G293" s="31"/>
    </row>
    <row r="294">
      <c r="G294" s="31"/>
    </row>
    <row r="295">
      <c r="G295" s="31"/>
    </row>
    <row r="296">
      <c r="G296" s="31"/>
    </row>
    <row r="297">
      <c r="G297" s="31"/>
    </row>
    <row r="298">
      <c r="G298" s="31"/>
    </row>
    <row r="299">
      <c r="G299" s="31"/>
    </row>
    <row r="300">
      <c r="G300" s="31"/>
    </row>
    <row r="301">
      <c r="G301" s="31"/>
    </row>
    <row r="302">
      <c r="G302" s="31"/>
    </row>
    <row r="303">
      <c r="G303" s="31"/>
    </row>
    <row r="304">
      <c r="G304" s="31"/>
    </row>
    <row r="305">
      <c r="G305" s="31"/>
    </row>
    <row r="306">
      <c r="G306" s="31"/>
    </row>
    <row r="307">
      <c r="G307" s="31"/>
    </row>
    <row r="308">
      <c r="G308" s="31"/>
    </row>
    <row r="309">
      <c r="G309" s="31"/>
    </row>
    <row r="310">
      <c r="G310" s="31"/>
    </row>
    <row r="311">
      <c r="G311" s="31"/>
    </row>
    <row r="312">
      <c r="G312" s="31"/>
    </row>
    <row r="313">
      <c r="G313" s="31"/>
    </row>
    <row r="314">
      <c r="G314" s="31"/>
    </row>
    <row r="315">
      <c r="G315" s="31"/>
    </row>
    <row r="316">
      <c r="G316" s="31"/>
    </row>
    <row r="317">
      <c r="G317" s="31"/>
    </row>
    <row r="318">
      <c r="G318" s="31"/>
    </row>
    <row r="319">
      <c r="G319" s="31"/>
    </row>
    <row r="320">
      <c r="G320" s="31"/>
    </row>
    <row r="321">
      <c r="G321" s="31"/>
    </row>
    <row r="322">
      <c r="G322" s="31"/>
    </row>
    <row r="323">
      <c r="G323" s="31"/>
    </row>
    <row r="324">
      <c r="G324" s="31"/>
    </row>
    <row r="325">
      <c r="G325" s="31"/>
    </row>
    <row r="326">
      <c r="G326" s="31"/>
    </row>
    <row r="327">
      <c r="G327" s="31"/>
    </row>
    <row r="328">
      <c r="G328" s="31"/>
    </row>
    <row r="329">
      <c r="G329" s="31"/>
    </row>
    <row r="330">
      <c r="G330" s="31"/>
    </row>
    <row r="331">
      <c r="G331" s="31"/>
    </row>
    <row r="332">
      <c r="G332" s="31"/>
    </row>
    <row r="333">
      <c r="G333" s="31"/>
    </row>
    <row r="334">
      <c r="G334" s="31"/>
    </row>
    <row r="335">
      <c r="G335" s="31"/>
    </row>
    <row r="336">
      <c r="G336" s="31"/>
    </row>
    <row r="337">
      <c r="G337" s="31"/>
    </row>
    <row r="338">
      <c r="G338" s="31"/>
    </row>
    <row r="339">
      <c r="G339" s="31"/>
    </row>
    <row r="340">
      <c r="G340" s="31"/>
    </row>
    <row r="341">
      <c r="G341" s="31"/>
    </row>
    <row r="342">
      <c r="G342" s="31"/>
    </row>
    <row r="343">
      <c r="G343" s="31"/>
    </row>
    <row r="344">
      <c r="G344" s="31"/>
    </row>
    <row r="345">
      <c r="G345" s="31"/>
    </row>
    <row r="346">
      <c r="G346" s="31"/>
    </row>
    <row r="347">
      <c r="G347" s="31"/>
    </row>
    <row r="348">
      <c r="G348" s="31"/>
    </row>
    <row r="349">
      <c r="G349" s="31"/>
    </row>
    <row r="350">
      <c r="G350" s="31"/>
    </row>
    <row r="351">
      <c r="G351" s="31"/>
    </row>
    <row r="352">
      <c r="G352" s="31"/>
    </row>
    <row r="353">
      <c r="G353" s="31"/>
    </row>
    <row r="354">
      <c r="G354" s="31"/>
    </row>
    <row r="355">
      <c r="G355" s="31"/>
    </row>
    <row r="356">
      <c r="G356" s="31"/>
    </row>
    <row r="357">
      <c r="G357" s="31"/>
    </row>
    <row r="358">
      <c r="G358" s="31"/>
    </row>
    <row r="359">
      <c r="G359" s="31"/>
    </row>
    <row r="360">
      <c r="G360" s="31"/>
    </row>
    <row r="361">
      <c r="G361" s="31"/>
    </row>
    <row r="362">
      <c r="G362" s="31"/>
    </row>
    <row r="363">
      <c r="G363" s="31"/>
    </row>
    <row r="364">
      <c r="G364" s="31"/>
    </row>
    <row r="365">
      <c r="G365" s="31"/>
    </row>
    <row r="366">
      <c r="G366" s="31"/>
    </row>
    <row r="367">
      <c r="G367" s="31"/>
    </row>
    <row r="368">
      <c r="G368" s="31"/>
    </row>
    <row r="369">
      <c r="G369" s="31"/>
    </row>
    <row r="370">
      <c r="G370" s="31"/>
    </row>
    <row r="371">
      <c r="G371" s="31"/>
    </row>
    <row r="372">
      <c r="G372" s="31"/>
    </row>
    <row r="373">
      <c r="G373" s="31"/>
    </row>
    <row r="374">
      <c r="G374" s="31"/>
    </row>
    <row r="375">
      <c r="G375" s="31"/>
    </row>
    <row r="376">
      <c r="G376" s="31"/>
    </row>
    <row r="377">
      <c r="G377" s="31"/>
    </row>
    <row r="378">
      <c r="G378" s="31"/>
    </row>
    <row r="379">
      <c r="G379" s="31"/>
    </row>
    <row r="380">
      <c r="G380" s="31"/>
    </row>
    <row r="381">
      <c r="G381" s="31"/>
    </row>
    <row r="382">
      <c r="G382" s="31"/>
    </row>
    <row r="383">
      <c r="G383" s="31"/>
    </row>
    <row r="384">
      <c r="G384" s="31"/>
    </row>
    <row r="385">
      <c r="G385" s="31"/>
    </row>
    <row r="386">
      <c r="G386" s="31"/>
    </row>
    <row r="387">
      <c r="G387" s="31"/>
    </row>
    <row r="388">
      <c r="G388" s="31"/>
    </row>
    <row r="389">
      <c r="G389" s="31"/>
    </row>
    <row r="390">
      <c r="G390" s="31"/>
    </row>
    <row r="391">
      <c r="G391" s="31"/>
    </row>
    <row r="392">
      <c r="G392" s="31"/>
    </row>
    <row r="393">
      <c r="G393" s="31"/>
    </row>
    <row r="394">
      <c r="G394" s="31"/>
    </row>
    <row r="395">
      <c r="G395" s="31"/>
    </row>
    <row r="396">
      <c r="G396" s="31"/>
    </row>
    <row r="397">
      <c r="G397" s="31"/>
    </row>
    <row r="398">
      <c r="G398" s="31"/>
    </row>
    <row r="399">
      <c r="G399" s="31"/>
    </row>
    <row r="400">
      <c r="G400" s="31"/>
    </row>
    <row r="401">
      <c r="G401" s="31"/>
    </row>
    <row r="402">
      <c r="G402" s="31"/>
    </row>
    <row r="403">
      <c r="G403" s="31"/>
    </row>
    <row r="404">
      <c r="G404" s="31"/>
    </row>
    <row r="405">
      <c r="G405" s="31"/>
    </row>
    <row r="406">
      <c r="G406" s="31"/>
    </row>
    <row r="407">
      <c r="G407" s="31"/>
    </row>
    <row r="408">
      <c r="G408" s="31"/>
    </row>
    <row r="409">
      <c r="G409" s="31"/>
    </row>
    <row r="410">
      <c r="G410" s="31"/>
    </row>
    <row r="411">
      <c r="G411" s="31"/>
    </row>
    <row r="412">
      <c r="G412" s="31"/>
    </row>
    <row r="413">
      <c r="G413" s="31"/>
    </row>
    <row r="414">
      <c r="G414" s="31"/>
    </row>
    <row r="415">
      <c r="G415" s="31"/>
    </row>
    <row r="416">
      <c r="G416" s="31"/>
    </row>
    <row r="417">
      <c r="G417" s="31"/>
    </row>
    <row r="418">
      <c r="G418" s="31"/>
    </row>
    <row r="419">
      <c r="G419" s="31"/>
    </row>
    <row r="420">
      <c r="G420" s="31"/>
    </row>
    <row r="421">
      <c r="G421" s="31"/>
    </row>
    <row r="422">
      <c r="G422" s="31"/>
    </row>
    <row r="423">
      <c r="G423" s="31"/>
    </row>
    <row r="424">
      <c r="G424" s="31"/>
    </row>
    <row r="425">
      <c r="G425" s="31"/>
    </row>
    <row r="426">
      <c r="G426" s="31"/>
    </row>
    <row r="427">
      <c r="G427" s="31"/>
    </row>
    <row r="428">
      <c r="G428" s="31"/>
    </row>
    <row r="429">
      <c r="G429" s="31"/>
    </row>
    <row r="430">
      <c r="G430" s="31"/>
    </row>
    <row r="431">
      <c r="G431" s="31"/>
    </row>
    <row r="432">
      <c r="G432" s="31"/>
    </row>
    <row r="433">
      <c r="G433" s="31"/>
    </row>
    <row r="434">
      <c r="G434" s="31"/>
    </row>
    <row r="435">
      <c r="G435" s="31"/>
    </row>
    <row r="436">
      <c r="G436" s="31"/>
    </row>
    <row r="437">
      <c r="G437" s="31"/>
    </row>
    <row r="438">
      <c r="G438" s="31"/>
    </row>
    <row r="439">
      <c r="G439" s="31"/>
    </row>
    <row r="440">
      <c r="G440" s="31"/>
    </row>
    <row r="441">
      <c r="G441" s="31"/>
    </row>
    <row r="442">
      <c r="G442" s="31"/>
    </row>
    <row r="443">
      <c r="G443" s="31"/>
    </row>
    <row r="444">
      <c r="G444" s="31"/>
    </row>
    <row r="445">
      <c r="G445" s="31"/>
    </row>
    <row r="446">
      <c r="G446" s="31"/>
    </row>
    <row r="447">
      <c r="G447" s="31"/>
    </row>
    <row r="448">
      <c r="G448" s="31"/>
    </row>
    <row r="449">
      <c r="G449" s="31"/>
    </row>
    <row r="450">
      <c r="G450" s="31"/>
    </row>
    <row r="451">
      <c r="G451" s="31"/>
    </row>
    <row r="452">
      <c r="G452" s="31"/>
    </row>
    <row r="453">
      <c r="G453" s="31"/>
    </row>
    <row r="454">
      <c r="G454" s="31"/>
    </row>
    <row r="455">
      <c r="G455" s="31"/>
    </row>
    <row r="456">
      <c r="G456" s="31"/>
    </row>
    <row r="457">
      <c r="G457" s="31"/>
    </row>
    <row r="458">
      <c r="G458" s="31"/>
    </row>
    <row r="459">
      <c r="G459" s="31"/>
    </row>
    <row r="460">
      <c r="G460" s="31"/>
    </row>
    <row r="461">
      <c r="G461" s="31"/>
    </row>
    <row r="462">
      <c r="G462" s="31"/>
    </row>
    <row r="463">
      <c r="G463" s="31"/>
    </row>
    <row r="464">
      <c r="G464" s="31"/>
    </row>
    <row r="465">
      <c r="G465" s="31"/>
    </row>
    <row r="466">
      <c r="G466" s="31"/>
    </row>
    <row r="467">
      <c r="G467" s="31"/>
    </row>
    <row r="468">
      <c r="G468" s="31"/>
    </row>
    <row r="469">
      <c r="G469" s="31"/>
    </row>
    <row r="470">
      <c r="G470" s="31"/>
    </row>
    <row r="471">
      <c r="G471" s="31"/>
    </row>
    <row r="472">
      <c r="G472" s="31"/>
    </row>
    <row r="473">
      <c r="G473" s="31"/>
    </row>
    <row r="474">
      <c r="G474" s="31"/>
    </row>
    <row r="475">
      <c r="G475" s="31"/>
    </row>
    <row r="476">
      <c r="G476" s="31"/>
    </row>
    <row r="477">
      <c r="G477" s="31"/>
    </row>
    <row r="478">
      <c r="G478" s="31"/>
    </row>
    <row r="479">
      <c r="G479" s="31"/>
    </row>
    <row r="480">
      <c r="G480" s="31"/>
    </row>
    <row r="481">
      <c r="G481" s="31"/>
    </row>
    <row r="482">
      <c r="G482" s="31"/>
    </row>
    <row r="483">
      <c r="G483" s="31"/>
    </row>
    <row r="484">
      <c r="G484" s="31"/>
    </row>
    <row r="485">
      <c r="G485" s="31"/>
    </row>
    <row r="486">
      <c r="G486" s="31"/>
    </row>
    <row r="487">
      <c r="G487" s="31"/>
    </row>
    <row r="488">
      <c r="G488" s="31"/>
    </row>
    <row r="489">
      <c r="G489" s="31"/>
    </row>
    <row r="490">
      <c r="G490" s="31"/>
    </row>
    <row r="491">
      <c r="G491" s="31"/>
    </row>
    <row r="492">
      <c r="G492" s="31"/>
    </row>
    <row r="493">
      <c r="G493" s="31"/>
    </row>
    <row r="494">
      <c r="G494" s="31"/>
    </row>
    <row r="495">
      <c r="G495" s="31"/>
    </row>
    <row r="496">
      <c r="G496" s="31"/>
    </row>
    <row r="497">
      <c r="G497" s="31"/>
    </row>
    <row r="498">
      <c r="G498" s="31"/>
    </row>
    <row r="499">
      <c r="G499" s="31"/>
    </row>
    <row r="500">
      <c r="G500" s="31"/>
    </row>
    <row r="501">
      <c r="G501" s="31"/>
    </row>
    <row r="502">
      <c r="G502" s="31"/>
    </row>
    <row r="503">
      <c r="G503" s="31"/>
    </row>
    <row r="504">
      <c r="G504" s="31"/>
    </row>
    <row r="505">
      <c r="G505" s="31"/>
    </row>
    <row r="506">
      <c r="G506" s="31"/>
    </row>
    <row r="507">
      <c r="G507" s="31"/>
    </row>
    <row r="508">
      <c r="G508" s="31"/>
    </row>
    <row r="509">
      <c r="G509" s="31"/>
    </row>
    <row r="510">
      <c r="G510" s="31"/>
    </row>
    <row r="511">
      <c r="G511" s="31"/>
    </row>
    <row r="512">
      <c r="G512" s="31"/>
    </row>
    <row r="513">
      <c r="G513" s="31"/>
    </row>
    <row r="514">
      <c r="G514" s="31"/>
    </row>
    <row r="515">
      <c r="G515" s="31"/>
    </row>
    <row r="516">
      <c r="G516" s="31"/>
    </row>
    <row r="517">
      <c r="G517" s="31"/>
    </row>
    <row r="518">
      <c r="G518" s="31"/>
    </row>
    <row r="519">
      <c r="G519" s="31"/>
    </row>
    <row r="520">
      <c r="G520" s="31"/>
    </row>
    <row r="521">
      <c r="G521" s="31"/>
    </row>
    <row r="522">
      <c r="G522" s="31"/>
    </row>
    <row r="523">
      <c r="G523" s="31"/>
    </row>
    <row r="524">
      <c r="G524" s="31"/>
    </row>
    <row r="525">
      <c r="G525" s="31"/>
    </row>
    <row r="526">
      <c r="G526" s="31"/>
    </row>
    <row r="527">
      <c r="G527" s="31"/>
    </row>
    <row r="528">
      <c r="G528" s="31"/>
    </row>
    <row r="529">
      <c r="G529" s="31"/>
    </row>
    <row r="530">
      <c r="G530" s="31"/>
    </row>
    <row r="531">
      <c r="G531" s="31"/>
    </row>
    <row r="532">
      <c r="G532" s="31"/>
    </row>
    <row r="533">
      <c r="G533" s="31"/>
    </row>
    <row r="534">
      <c r="G534" s="31"/>
    </row>
    <row r="535">
      <c r="G535" s="31"/>
    </row>
    <row r="536">
      <c r="G536" s="31"/>
    </row>
    <row r="537">
      <c r="G537" s="31"/>
    </row>
    <row r="538">
      <c r="G538" s="31"/>
    </row>
    <row r="539">
      <c r="G539" s="31"/>
    </row>
    <row r="540">
      <c r="G540" s="31"/>
    </row>
    <row r="541">
      <c r="G541" s="31"/>
    </row>
    <row r="542">
      <c r="G542" s="31"/>
    </row>
    <row r="543">
      <c r="G543" s="31"/>
    </row>
    <row r="544">
      <c r="G544" s="31"/>
    </row>
    <row r="545">
      <c r="G545" s="31"/>
    </row>
    <row r="546">
      <c r="G546" s="31"/>
    </row>
    <row r="547">
      <c r="G547" s="31"/>
    </row>
    <row r="548">
      <c r="G548" s="31"/>
    </row>
    <row r="549">
      <c r="G549" s="31"/>
    </row>
    <row r="550">
      <c r="G550" s="31"/>
    </row>
    <row r="551">
      <c r="G551" s="31"/>
    </row>
    <row r="552">
      <c r="G552" s="31"/>
    </row>
    <row r="553">
      <c r="G553" s="31"/>
    </row>
    <row r="554">
      <c r="G554" s="31"/>
    </row>
    <row r="555">
      <c r="G555" s="31"/>
    </row>
    <row r="556">
      <c r="G556" s="31"/>
    </row>
    <row r="557">
      <c r="G557" s="31"/>
    </row>
    <row r="558">
      <c r="G558" s="31"/>
    </row>
    <row r="559">
      <c r="G559" s="31"/>
    </row>
    <row r="560">
      <c r="G560" s="31"/>
    </row>
    <row r="561">
      <c r="G561" s="31"/>
    </row>
    <row r="562">
      <c r="G562" s="31"/>
    </row>
    <row r="563">
      <c r="G563" s="31"/>
    </row>
    <row r="564">
      <c r="G564" s="31"/>
    </row>
    <row r="565">
      <c r="G565" s="31"/>
    </row>
    <row r="566">
      <c r="G566" s="31"/>
    </row>
    <row r="567">
      <c r="G567" s="31"/>
    </row>
    <row r="568">
      <c r="G568" s="31"/>
    </row>
    <row r="569">
      <c r="G569" s="31"/>
    </row>
    <row r="570">
      <c r="G570" s="31"/>
    </row>
    <row r="571">
      <c r="G571" s="31"/>
    </row>
    <row r="572">
      <c r="G572" s="31"/>
    </row>
    <row r="573">
      <c r="G573" s="31"/>
    </row>
    <row r="574">
      <c r="G574" s="31"/>
    </row>
    <row r="575">
      <c r="G575" s="31"/>
    </row>
    <row r="576">
      <c r="G576" s="31"/>
    </row>
    <row r="577">
      <c r="G577" s="31"/>
    </row>
    <row r="578">
      <c r="G578" s="31"/>
    </row>
    <row r="579">
      <c r="G579" s="31"/>
    </row>
    <row r="580">
      <c r="G580" s="31"/>
    </row>
    <row r="581">
      <c r="G581" s="31"/>
    </row>
    <row r="582">
      <c r="G582" s="31"/>
    </row>
    <row r="583">
      <c r="G583" s="31"/>
    </row>
    <row r="584">
      <c r="G584" s="31"/>
    </row>
    <row r="585">
      <c r="G585" s="31"/>
    </row>
    <row r="586">
      <c r="G586" s="31"/>
    </row>
    <row r="587">
      <c r="G587" s="31"/>
    </row>
    <row r="588">
      <c r="G588" s="31"/>
    </row>
    <row r="589">
      <c r="G589" s="31"/>
    </row>
    <row r="590">
      <c r="G590" s="31"/>
    </row>
    <row r="591">
      <c r="G591" s="31"/>
    </row>
    <row r="592">
      <c r="G592" s="31"/>
    </row>
    <row r="593">
      <c r="G593" s="31"/>
    </row>
    <row r="594">
      <c r="G594" s="31"/>
    </row>
    <row r="595">
      <c r="G595" s="31"/>
    </row>
    <row r="596">
      <c r="G596" s="31"/>
    </row>
    <row r="597">
      <c r="G597" s="31"/>
    </row>
    <row r="598">
      <c r="G598" s="31"/>
    </row>
    <row r="599">
      <c r="G599" s="31"/>
    </row>
    <row r="600">
      <c r="G600" s="31"/>
    </row>
    <row r="601">
      <c r="G601" s="31"/>
    </row>
    <row r="602">
      <c r="G602" s="31"/>
    </row>
    <row r="603">
      <c r="G603" s="31"/>
    </row>
    <row r="604">
      <c r="G604" s="31"/>
    </row>
    <row r="605">
      <c r="G605" s="31"/>
    </row>
    <row r="606">
      <c r="G606" s="31"/>
    </row>
    <row r="607">
      <c r="G607" s="31"/>
    </row>
    <row r="608">
      <c r="G608" s="31"/>
    </row>
    <row r="609">
      <c r="G609" s="31"/>
    </row>
    <row r="610">
      <c r="G610" s="31"/>
    </row>
    <row r="611">
      <c r="G611" s="31"/>
    </row>
    <row r="612">
      <c r="G612" s="31"/>
    </row>
    <row r="613">
      <c r="G613" s="31"/>
    </row>
    <row r="614">
      <c r="G614" s="31"/>
    </row>
    <row r="615">
      <c r="G615" s="31"/>
    </row>
    <row r="616">
      <c r="G616" s="31"/>
    </row>
    <row r="617">
      <c r="G617" s="31"/>
    </row>
    <row r="618">
      <c r="G618" s="31"/>
    </row>
    <row r="619">
      <c r="G619" s="31"/>
    </row>
    <row r="620">
      <c r="G620" s="31"/>
    </row>
    <row r="621">
      <c r="G621" s="31"/>
    </row>
    <row r="622">
      <c r="G622" s="31"/>
    </row>
    <row r="623">
      <c r="G623" s="31"/>
    </row>
    <row r="624">
      <c r="G624" s="31"/>
    </row>
    <row r="625">
      <c r="G625" s="31"/>
    </row>
    <row r="626">
      <c r="G626" s="31"/>
    </row>
    <row r="627">
      <c r="G627" s="31"/>
    </row>
    <row r="628">
      <c r="G628" s="31"/>
    </row>
    <row r="629">
      <c r="G629" s="31"/>
    </row>
    <row r="630">
      <c r="G630" s="31"/>
    </row>
    <row r="631">
      <c r="G631" s="31"/>
    </row>
    <row r="632">
      <c r="G632" s="31"/>
    </row>
    <row r="633">
      <c r="G633" s="31"/>
    </row>
    <row r="634">
      <c r="G634" s="31"/>
    </row>
    <row r="635">
      <c r="G635" s="31"/>
    </row>
    <row r="636">
      <c r="G636" s="31"/>
    </row>
    <row r="637">
      <c r="G637" s="31"/>
    </row>
    <row r="638">
      <c r="G638" s="31"/>
    </row>
    <row r="639">
      <c r="G639" s="31"/>
    </row>
    <row r="640">
      <c r="G640" s="31"/>
    </row>
    <row r="641">
      <c r="G641" s="31"/>
    </row>
    <row r="642">
      <c r="G642" s="31"/>
    </row>
    <row r="643">
      <c r="G643" s="31"/>
    </row>
    <row r="644">
      <c r="G644" s="31"/>
    </row>
    <row r="645">
      <c r="G645" s="31"/>
    </row>
    <row r="646">
      <c r="G646" s="31"/>
    </row>
    <row r="647">
      <c r="G647" s="31"/>
    </row>
    <row r="648">
      <c r="G648" s="31"/>
    </row>
    <row r="649">
      <c r="G649" s="31"/>
    </row>
    <row r="650">
      <c r="G650" s="31"/>
    </row>
    <row r="651">
      <c r="G651" s="31"/>
    </row>
    <row r="652">
      <c r="G652" s="31"/>
    </row>
    <row r="653">
      <c r="G653" s="31"/>
    </row>
    <row r="654">
      <c r="G654" s="31"/>
    </row>
    <row r="655">
      <c r="G655" s="31"/>
    </row>
    <row r="656">
      <c r="G656" s="31"/>
    </row>
    <row r="657">
      <c r="G657" s="31"/>
    </row>
    <row r="658">
      <c r="G658" s="31"/>
    </row>
    <row r="659">
      <c r="G659" s="31"/>
    </row>
    <row r="660">
      <c r="G660" s="31"/>
    </row>
    <row r="661">
      <c r="G661" s="31"/>
    </row>
    <row r="662">
      <c r="G662" s="31"/>
    </row>
    <row r="663">
      <c r="G663" s="31"/>
    </row>
    <row r="664">
      <c r="G664" s="31"/>
    </row>
    <row r="665">
      <c r="G665" s="31"/>
    </row>
    <row r="666">
      <c r="G666" s="31"/>
    </row>
    <row r="667">
      <c r="G667" s="31"/>
    </row>
    <row r="668">
      <c r="G668" s="31"/>
    </row>
    <row r="669">
      <c r="G669" s="31"/>
    </row>
    <row r="670">
      <c r="G670" s="31"/>
    </row>
    <row r="671">
      <c r="G671" s="31"/>
    </row>
    <row r="672">
      <c r="G672" s="31"/>
    </row>
    <row r="673">
      <c r="G673" s="31"/>
    </row>
    <row r="674">
      <c r="G674" s="31"/>
    </row>
    <row r="675">
      <c r="G675" s="31"/>
    </row>
    <row r="676">
      <c r="G676" s="31"/>
    </row>
    <row r="677">
      <c r="G677" s="31"/>
    </row>
    <row r="678">
      <c r="G678" s="31"/>
    </row>
    <row r="679">
      <c r="G679" s="31"/>
    </row>
    <row r="680">
      <c r="G680" s="31"/>
    </row>
    <row r="681">
      <c r="G681" s="31"/>
    </row>
    <row r="682">
      <c r="G682" s="31"/>
    </row>
    <row r="683">
      <c r="G683" s="31"/>
    </row>
    <row r="684">
      <c r="G684" s="31"/>
    </row>
    <row r="685">
      <c r="G685" s="31"/>
    </row>
    <row r="686">
      <c r="G686" s="31"/>
    </row>
    <row r="687">
      <c r="G687" s="31"/>
    </row>
    <row r="688">
      <c r="G688" s="31"/>
    </row>
    <row r="689">
      <c r="G689" s="31"/>
    </row>
    <row r="690">
      <c r="G690" s="31"/>
    </row>
    <row r="691">
      <c r="G691" s="31"/>
    </row>
    <row r="692">
      <c r="G692" s="31"/>
    </row>
    <row r="693">
      <c r="G693" s="31"/>
    </row>
    <row r="694">
      <c r="G694" s="31"/>
    </row>
    <row r="695">
      <c r="G695" s="31"/>
    </row>
    <row r="696">
      <c r="G696" s="31"/>
    </row>
    <row r="697">
      <c r="G697" s="31"/>
    </row>
    <row r="698">
      <c r="G698" s="31"/>
    </row>
    <row r="699">
      <c r="G699" s="31"/>
    </row>
    <row r="700">
      <c r="G700" s="31"/>
    </row>
    <row r="701">
      <c r="G701" s="31"/>
    </row>
    <row r="702">
      <c r="G702" s="31"/>
    </row>
    <row r="703">
      <c r="G703" s="31"/>
    </row>
    <row r="704">
      <c r="G704" s="31"/>
    </row>
    <row r="705">
      <c r="G705" s="31"/>
    </row>
    <row r="706">
      <c r="G706" s="31"/>
    </row>
    <row r="707">
      <c r="G707" s="31"/>
    </row>
    <row r="708">
      <c r="G708" s="31"/>
    </row>
    <row r="709">
      <c r="G709" s="31"/>
    </row>
    <row r="710">
      <c r="G710" s="31"/>
    </row>
    <row r="711">
      <c r="G711" s="31"/>
    </row>
    <row r="712">
      <c r="G712" s="31"/>
    </row>
    <row r="713">
      <c r="G713" s="31"/>
    </row>
    <row r="714">
      <c r="G714" s="31"/>
    </row>
    <row r="715">
      <c r="G715" s="31"/>
    </row>
    <row r="716">
      <c r="G716" s="31"/>
    </row>
    <row r="717">
      <c r="G717" s="31"/>
    </row>
    <row r="718">
      <c r="G718" s="31"/>
    </row>
    <row r="719">
      <c r="G719" s="31"/>
    </row>
    <row r="720">
      <c r="G720" s="31"/>
    </row>
    <row r="721">
      <c r="G721" s="31"/>
    </row>
    <row r="722">
      <c r="G722" s="31"/>
    </row>
    <row r="723">
      <c r="G723" s="31"/>
    </row>
    <row r="724">
      <c r="G724" s="31"/>
    </row>
    <row r="725">
      <c r="G725" s="31"/>
    </row>
    <row r="726">
      <c r="G726" s="31"/>
    </row>
    <row r="727">
      <c r="G727" s="31"/>
    </row>
    <row r="728">
      <c r="G728" s="31"/>
    </row>
    <row r="729">
      <c r="G729" s="31"/>
    </row>
    <row r="730">
      <c r="G730" s="31"/>
    </row>
    <row r="731">
      <c r="G731" s="31"/>
    </row>
    <row r="732">
      <c r="G732" s="31"/>
    </row>
    <row r="733">
      <c r="G733" s="31"/>
    </row>
    <row r="734">
      <c r="G734" s="31"/>
    </row>
    <row r="735">
      <c r="G735" s="31"/>
    </row>
    <row r="736">
      <c r="G736" s="31"/>
    </row>
    <row r="737">
      <c r="G737" s="31"/>
    </row>
    <row r="738">
      <c r="G738" s="31"/>
    </row>
    <row r="739">
      <c r="G739" s="31"/>
    </row>
    <row r="740">
      <c r="G740" s="31"/>
    </row>
    <row r="741">
      <c r="G741" s="31"/>
    </row>
    <row r="742">
      <c r="G742" s="31"/>
    </row>
    <row r="743">
      <c r="G743" s="31"/>
    </row>
    <row r="744">
      <c r="G744" s="31"/>
    </row>
    <row r="745">
      <c r="G745" s="31"/>
    </row>
    <row r="746">
      <c r="G746" s="31"/>
    </row>
    <row r="747">
      <c r="G747" s="31"/>
    </row>
    <row r="748">
      <c r="G748" s="31"/>
    </row>
    <row r="749">
      <c r="G749" s="31"/>
    </row>
    <row r="750">
      <c r="G750" s="31"/>
    </row>
    <row r="751">
      <c r="G751" s="31"/>
    </row>
    <row r="752">
      <c r="G752" s="31"/>
    </row>
    <row r="753">
      <c r="G753" s="31"/>
    </row>
    <row r="754">
      <c r="G754" s="31"/>
    </row>
    <row r="755">
      <c r="G755" s="31"/>
    </row>
    <row r="756">
      <c r="G756" s="31"/>
    </row>
    <row r="757">
      <c r="G757" s="31"/>
    </row>
    <row r="758">
      <c r="G758" s="31"/>
    </row>
    <row r="759">
      <c r="G759" s="31"/>
    </row>
    <row r="760">
      <c r="G760" s="31"/>
    </row>
    <row r="761">
      <c r="G761" s="31"/>
    </row>
    <row r="762">
      <c r="G762" s="31"/>
    </row>
    <row r="763">
      <c r="G763" s="31"/>
    </row>
    <row r="764">
      <c r="G764" s="31"/>
    </row>
    <row r="765">
      <c r="G765" s="31"/>
    </row>
    <row r="766">
      <c r="G766" s="31"/>
    </row>
    <row r="767">
      <c r="G767" s="31"/>
    </row>
    <row r="768">
      <c r="G768" s="31"/>
    </row>
    <row r="769">
      <c r="G769" s="31"/>
    </row>
    <row r="770">
      <c r="G770" s="31"/>
    </row>
    <row r="771">
      <c r="G771" s="31"/>
    </row>
    <row r="772">
      <c r="G772" s="31"/>
    </row>
    <row r="773">
      <c r="G773" s="31"/>
    </row>
    <row r="774">
      <c r="G774" s="31"/>
    </row>
    <row r="775">
      <c r="G775" s="31"/>
    </row>
    <row r="776">
      <c r="G776" s="31"/>
    </row>
    <row r="777">
      <c r="G777" s="31"/>
    </row>
    <row r="778">
      <c r="G778" s="31"/>
    </row>
    <row r="779">
      <c r="G779" s="31"/>
    </row>
    <row r="780">
      <c r="G780" s="31"/>
    </row>
    <row r="781">
      <c r="G781" s="31"/>
    </row>
    <row r="782">
      <c r="G782" s="31"/>
    </row>
    <row r="783">
      <c r="G783" s="31"/>
    </row>
    <row r="784">
      <c r="G784" s="31"/>
    </row>
    <row r="785">
      <c r="G785" s="31"/>
    </row>
    <row r="786">
      <c r="G786" s="31"/>
    </row>
    <row r="787">
      <c r="G787" s="31"/>
    </row>
    <row r="788">
      <c r="G788" s="31"/>
    </row>
    <row r="789">
      <c r="G789" s="31"/>
    </row>
    <row r="790">
      <c r="G790" s="31"/>
    </row>
    <row r="791">
      <c r="G791" s="31"/>
    </row>
    <row r="792">
      <c r="G792" s="31"/>
    </row>
    <row r="793">
      <c r="G793" s="31"/>
    </row>
    <row r="794">
      <c r="G794" s="31"/>
    </row>
    <row r="795">
      <c r="G795" s="31"/>
    </row>
    <row r="796">
      <c r="G796" s="31"/>
    </row>
    <row r="797">
      <c r="G797" s="31"/>
    </row>
    <row r="798">
      <c r="G798" s="31"/>
    </row>
    <row r="799">
      <c r="G799" s="31"/>
    </row>
    <row r="800">
      <c r="G800" s="31"/>
    </row>
    <row r="801">
      <c r="G801" s="31"/>
    </row>
    <row r="802">
      <c r="G802" s="31"/>
    </row>
    <row r="803">
      <c r="G803" s="31"/>
    </row>
    <row r="804">
      <c r="G804" s="31"/>
    </row>
    <row r="805">
      <c r="G805" s="31"/>
    </row>
    <row r="806">
      <c r="G806" s="31"/>
    </row>
    <row r="807">
      <c r="G807" s="31"/>
    </row>
    <row r="808">
      <c r="G808" s="31"/>
    </row>
    <row r="809">
      <c r="G809" s="31"/>
    </row>
    <row r="810">
      <c r="G810" s="31"/>
    </row>
    <row r="811">
      <c r="G811" s="31"/>
    </row>
    <row r="812">
      <c r="G812" s="31"/>
    </row>
    <row r="813">
      <c r="G813" s="31"/>
    </row>
    <row r="814">
      <c r="G814" s="31"/>
    </row>
    <row r="815">
      <c r="G815" s="31"/>
    </row>
    <row r="816">
      <c r="G816" s="31"/>
    </row>
    <row r="817">
      <c r="G817" s="31"/>
    </row>
    <row r="818">
      <c r="G818" s="31"/>
    </row>
    <row r="819">
      <c r="G819" s="31"/>
    </row>
    <row r="820">
      <c r="G820" s="31"/>
    </row>
    <row r="821">
      <c r="G821" s="31"/>
    </row>
    <row r="822">
      <c r="G822" s="31"/>
    </row>
    <row r="823">
      <c r="G823" s="31"/>
    </row>
    <row r="824">
      <c r="G824" s="31"/>
    </row>
    <row r="825">
      <c r="G825" s="31"/>
    </row>
    <row r="826">
      <c r="G826" s="31"/>
    </row>
    <row r="827">
      <c r="G827" s="31"/>
    </row>
    <row r="828">
      <c r="G828" s="31"/>
    </row>
    <row r="829">
      <c r="G829" s="31"/>
    </row>
    <row r="830">
      <c r="G830" s="31"/>
    </row>
    <row r="831">
      <c r="G831" s="31"/>
    </row>
    <row r="832">
      <c r="G832" s="31"/>
    </row>
    <row r="833">
      <c r="G833" s="31"/>
    </row>
    <row r="834">
      <c r="G834" s="31"/>
    </row>
    <row r="835">
      <c r="G835" s="31"/>
    </row>
    <row r="836">
      <c r="G836" s="31"/>
    </row>
    <row r="837">
      <c r="G837" s="31"/>
    </row>
    <row r="838">
      <c r="G838" s="31"/>
    </row>
    <row r="839">
      <c r="G839" s="31"/>
    </row>
    <row r="840">
      <c r="G840" s="31"/>
    </row>
    <row r="841">
      <c r="G841" s="31"/>
    </row>
    <row r="842">
      <c r="G842" s="31"/>
    </row>
    <row r="843">
      <c r="G843" s="31"/>
    </row>
    <row r="844">
      <c r="G844" s="31"/>
    </row>
    <row r="845">
      <c r="G845" s="31"/>
    </row>
    <row r="846">
      <c r="G846" s="31"/>
    </row>
    <row r="847">
      <c r="G847" s="31"/>
    </row>
    <row r="848">
      <c r="G848" s="31"/>
    </row>
    <row r="849">
      <c r="G849" s="31"/>
    </row>
    <row r="850">
      <c r="G850" s="31"/>
    </row>
    <row r="851">
      <c r="G851" s="31"/>
    </row>
    <row r="852">
      <c r="G852" s="31"/>
    </row>
    <row r="853">
      <c r="G853" s="31"/>
    </row>
    <row r="854">
      <c r="G854" s="31"/>
    </row>
    <row r="855">
      <c r="G855" s="31"/>
    </row>
    <row r="856">
      <c r="G856" s="31"/>
    </row>
    <row r="857">
      <c r="G857" s="31"/>
    </row>
    <row r="858">
      <c r="G858" s="31"/>
    </row>
    <row r="859">
      <c r="G859" s="31"/>
    </row>
    <row r="860">
      <c r="G860" s="31"/>
    </row>
    <row r="861">
      <c r="G861" s="31"/>
    </row>
    <row r="862">
      <c r="G862" s="31"/>
    </row>
    <row r="863">
      <c r="G863" s="31"/>
    </row>
    <row r="864">
      <c r="G864" s="31"/>
    </row>
    <row r="865">
      <c r="G865" s="31"/>
    </row>
    <row r="866">
      <c r="G866" s="31"/>
    </row>
    <row r="867">
      <c r="G867" s="31"/>
    </row>
    <row r="868">
      <c r="G868" s="31"/>
    </row>
    <row r="869">
      <c r="G869" s="31"/>
    </row>
    <row r="870">
      <c r="G870" s="31"/>
    </row>
    <row r="871">
      <c r="G871" s="31"/>
    </row>
    <row r="872">
      <c r="G872" s="31"/>
    </row>
    <row r="873">
      <c r="G873" s="31"/>
    </row>
    <row r="874">
      <c r="G874" s="31"/>
    </row>
    <row r="875">
      <c r="G875" s="31"/>
    </row>
    <row r="876">
      <c r="G876" s="31"/>
    </row>
    <row r="877">
      <c r="G877" s="31"/>
    </row>
    <row r="878">
      <c r="G878" s="31"/>
    </row>
    <row r="879">
      <c r="G879" s="31"/>
    </row>
    <row r="880">
      <c r="G880" s="31"/>
    </row>
    <row r="881">
      <c r="G881" s="31"/>
    </row>
    <row r="882">
      <c r="G882" s="31"/>
    </row>
    <row r="883">
      <c r="G883" s="31"/>
    </row>
    <row r="884">
      <c r="G884" s="31"/>
    </row>
    <row r="885">
      <c r="G885" s="31"/>
    </row>
    <row r="886">
      <c r="G886" s="31"/>
    </row>
    <row r="887">
      <c r="G887" s="31"/>
    </row>
    <row r="888">
      <c r="G888" s="31"/>
    </row>
    <row r="889">
      <c r="G889" s="31"/>
    </row>
    <row r="890">
      <c r="G890" s="31"/>
    </row>
    <row r="891">
      <c r="G891" s="31"/>
    </row>
    <row r="892">
      <c r="G892" s="31"/>
    </row>
    <row r="893">
      <c r="G893" s="31"/>
    </row>
    <row r="894">
      <c r="G894" s="31"/>
    </row>
    <row r="895">
      <c r="G895" s="31"/>
    </row>
    <row r="896">
      <c r="G896" s="31"/>
    </row>
    <row r="897">
      <c r="G897" s="31"/>
    </row>
    <row r="898">
      <c r="G898" s="31"/>
    </row>
    <row r="899">
      <c r="G899" s="31"/>
    </row>
    <row r="900">
      <c r="G900" s="31"/>
    </row>
    <row r="901">
      <c r="G901" s="31"/>
    </row>
    <row r="902">
      <c r="G902" s="31"/>
    </row>
    <row r="903">
      <c r="G903" s="31"/>
    </row>
    <row r="904">
      <c r="G904" s="31"/>
    </row>
    <row r="905">
      <c r="G905" s="31"/>
    </row>
    <row r="906">
      <c r="G906" s="31"/>
    </row>
    <row r="907">
      <c r="G907" s="31"/>
    </row>
    <row r="908">
      <c r="G908" s="31"/>
    </row>
    <row r="909">
      <c r="G909" s="31"/>
    </row>
    <row r="910">
      <c r="G910" s="31"/>
    </row>
    <row r="911">
      <c r="G911" s="31"/>
    </row>
    <row r="912">
      <c r="G912" s="31"/>
    </row>
    <row r="913">
      <c r="G913" s="31"/>
    </row>
    <row r="914">
      <c r="G914" s="31"/>
    </row>
    <row r="915">
      <c r="G915" s="31"/>
    </row>
    <row r="916">
      <c r="G916" s="31"/>
    </row>
    <row r="917">
      <c r="G917" s="31"/>
    </row>
    <row r="918">
      <c r="G918" s="31"/>
    </row>
    <row r="919">
      <c r="G919" s="31"/>
    </row>
    <row r="920">
      <c r="G920" s="31"/>
    </row>
    <row r="921">
      <c r="G921" s="31"/>
    </row>
    <row r="922">
      <c r="G922" s="31"/>
    </row>
    <row r="923">
      <c r="G923" s="31"/>
    </row>
    <row r="924">
      <c r="G924" s="31"/>
    </row>
    <row r="925">
      <c r="G925" s="31"/>
    </row>
    <row r="926">
      <c r="G926" s="31"/>
    </row>
    <row r="927">
      <c r="G927" s="31"/>
    </row>
    <row r="928">
      <c r="G928" s="31"/>
    </row>
    <row r="929">
      <c r="G929" s="31"/>
    </row>
    <row r="930">
      <c r="G930" s="31"/>
    </row>
    <row r="931">
      <c r="G931" s="31"/>
    </row>
    <row r="932">
      <c r="G932" s="31"/>
    </row>
    <row r="933">
      <c r="G933" s="31"/>
    </row>
    <row r="934">
      <c r="G934" s="31"/>
    </row>
    <row r="935">
      <c r="G935" s="31"/>
    </row>
    <row r="936">
      <c r="G936" s="31"/>
    </row>
    <row r="937">
      <c r="G937" s="31"/>
    </row>
    <row r="938">
      <c r="G938" s="31"/>
    </row>
    <row r="939">
      <c r="G939" s="31"/>
    </row>
    <row r="940">
      <c r="G940" s="31"/>
    </row>
    <row r="941">
      <c r="G941" s="31"/>
    </row>
    <row r="942">
      <c r="G942" s="31"/>
    </row>
    <row r="943">
      <c r="G943" s="31"/>
    </row>
    <row r="944">
      <c r="G944" s="31"/>
    </row>
    <row r="945">
      <c r="G945" s="31"/>
    </row>
    <row r="946">
      <c r="G946" s="31"/>
    </row>
    <row r="947">
      <c r="G947" s="31"/>
    </row>
    <row r="948">
      <c r="G948" s="31"/>
    </row>
    <row r="949">
      <c r="G949" s="31"/>
    </row>
    <row r="950">
      <c r="G950" s="31"/>
    </row>
    <row r="951">
      <c r="G951" s="31"/>
    </row>
    <row r="952">
      <c r="G952" s="31"/>
    </row>
    <row r="953">
      <c r="G953" s="31"/>
    </row>
    <row r="954">
      <c r="G954" s="31"/>
    </row>
    <row r="955">
      <c r="G955" s="31"/>
    </row>
    <row r="956">
      <c r="G956" s="31"/>
    </row>
    <row r="957">
      <c r="G957" s="31"/>
    </row>
    <row r="958">
      <c r="G958" s="31"/>
    </row>
    <row r="959">
      <c r="G959" s="31"/>
    </row>
    <row r="960">
      <c r="G960" s="31"/>
    </row>
    <row r="961">
      <c r="G961" s="31"/>
    </row>
    <row r="962">
      <c r="G962" s="31"/>
    </row>
    <row r="963">
      <c r="G963" s="31"/>
    </row>
    <row r="964">
      <c r="G964" s="31"/>
    </row>
    <row r="965">
      <c r="G965" s="31"/>
    </row>
    <row r="966">
      <c r="G966" s="31"/>
    </row>
    <row r="967">
      <c r="G967" s="31"/>
    </row>
    <row r="968">
      <c r="G968" s="31"/>
    </row>
    <row r="969">
      <c r="G969" s="31"/>
    </row>
    <row r="970">
      <c r="G970" s="31"/>
    </row>
    <row r="971">
      <c r="G971" s="31"/>
    </row>
    <row r="972">
      <c r="G972" s="31"/>
    </row>
    <row r="973">
      <c r="G973" s="31"/>
    </row>
    <row r="974">
      <c r="G974" s="31"/>
    </row>
    <row r="975">
      <c r="G975" s="31"/>
    </row>
    <row r="976">
      <c r="G976" s="31"/>
    </row>
    <row r="977">
      <c r="G977" s="31"/>
    </row>
    <row r="978">
      <c r="G978" s="31"/>
    </row>
    <row r="979">
      <c r="G979" s="31"/>
    </row>
    <row r="980">
      <c r="G980" s="31"/>
    </row>
    <row r="981">
      <c r="G981" s="31"/>
    </row>
    <row r="982">
      <c r="G982" s="31"/>
    </row>
    <row r="983">
      <c r="G983" s="31"/>
    </row>
    <row r="984">
      <c r="G984" s="31"/>
    </row>
    <row r="985">
      <c r="G985" s="31"/>
    </row>
    <row r="986">
      <c r="G986" s="31"/>
    </row>
    <row r="987">
      <c r="G987" s="31"/>
    </row>
    <row r="988">
      <c r="G988" s="31"/>
    </row>
    <row r="989">
      <c r="G989" s="31"/>
    </row>
    <row r="990">
      <c r="G990" s="31"/>
    </row>
    <row r="991">
      <c r="G991" s="31"/>
    </row>
  </sheetData>
  <mergeCells count="5">
    <mergeCell ref="A1:A2"/>
    <mergeCell ref="B1:B2"/>
    <mergeCell ref="C1:C2"/>
    <mergeCell ref="D1:D2"/>
    <mergeCell ref="E1:E2"/>
  </mergeCells>
  <conditionalFormatting sqref="F3:AT30">
    <cfRule type="cellIs" dxfId="3" priority="1" operator="equal">
      <formula>1</formula>
    </cfRule>
  </conditionalFormatting>
  <conditionalFormatting sqref="F3:AT30">
    <cfRule type="cellIs" dxfId="4" priority="2" operator="equal">
      <formula>"R"</formula>
    </cfRule>
  </conditionalFormatting>
  <conditionalFormatting sqref="B3:C30">
    <cfRule type="cellIs" dxfId="5" priority="3" operator="greaterThanOrEqual">
      <formula>3</formula>
    </cfRule>
  </conditionalFormatting>
  <conditionalFormatting sqref="B3:B30">
    <cfRule type="cellIs" dxfId="6" priority="4" operator="lessThan">
      <formula>1</formula>
    </cfRule>
  </conditionalFormatting>
  <conditionalFormatting sqref="B3:B31 C3:C33">
    <cfRule type="cellIs" dxfId="7" priority="5" operator="equal">
      <formula>0</formula>
    </cfRule>
  </conditionalFormatting>
  <conditionalFormatting sqref="B3:C30">
    <cfRule type="cellIs" dxfId="8" priority="6" operator="lessThan">
      <formula>2</formula>
    </cfRule>
  </conditionalFormatting>
  <conditionalFormatting sqref="B3:C30">
    <cfRule type="cellIs" dxfId="9" priority="7" operator="lessThan">
      <formula>3</formula>
    </cfRule>
  </conditionalFormatting>
  <conditionalFormatting sqref="B3:B31 C3:C33">
    <cfRule type="containsBlanks" dxfId="6" priority="8">
      <formula>LEN(TRIM(B3))=0</formula>
    </cfRule>
  </conditionalFormatting>
  <conditionalFormatting sqref="F3:AT30">
    <cfRule type="cellIs" dxfId="10" priority="9" operator="equal">
      <formula>"R2"</formula>
    </cfRule>
  </conditionalFormatting>
  <conditionalFormatting sqref="F31:AT31">
    <cfRule type="cellIs" dxfId="7" priority="10" operator="lessThan">
      <formula>1</formula>
    </cfRule>
  </conditionalFormatting>
  <conditionalFormatting sqref="F31:AT31">
    <cfRule type="cellIs" dxfId="3" priority="11" operator="equal">
      <formula>1</formula>
    </cfRule>
  </conditionalFormatting>
  <conditionalFormatting sqref="F31:AT31">
    <cfRule type="cellIs" dxfId="11" priority="12" operator="greaterThan">
      <formula>1</formula>
    </cfRule>
  </conditionalFormatting>
  <conditionalFormatting sqref="D3:E31">
    <cfRule type="cellIs" dxfId="9" priority="13" operator="equal">
      <formula>1</formula>
    </cfRule>
  </conditionalFormatting>
  <conditionalFormatting sqref="F32:AT33">
    <cfRule type="cellIs" dxfId="7" priority="14" operator="lessThan">
      <formula>1</formula>
    </cfRule>
  </conditionalFormatting>
  <conditionalFormatting sqref="F32:AT33">
    <cfRule type="cellIs" dxfId="12" priority="15" operator="equal">
      <formula>1</formula>
    </cfRule>
  </conditionalFormatting>
  <conditionalFormatting sqref="F32:AT33">
    <cfRule type="cellIs" dxfId="11" priority="16" operator="greaterThan">
      <formula>1</formula>
    </cfRule>
  </conditionalFormatting>
  <conditionalFormatting sqref="D3:D30">
    <cfRule type="cellIs" dxfId="7" priority="17" operator="equal">
      <formula>0</formula>
    </cfRule>
  </conditionalFormatting>
  <conditionalFormatting sqref="D3:D30">
    <cfRule type="cellIs" dxfId="4" priority="18" operator="equal">
      <formula>2</formula>
    </cfRule>
  </conditionalFormatting>
  <conditionalFormatting sqref="E3:E30">
    <cfRule type="cellIs" dxfId="7" priority="19" operator="equal">
      <formula>0</formula>
    </cfRule>
  </conditionalFormatting>
  <conditionalFormatting sqref="E3:E30">
    <cfRule type="cellIs" dxfId="4" priority="20" operator="greaterThanOrEqual">
      <formula>2</formula>
    </cfRule>
  </conditionalFormatting>
  <conditionalFormatting sqref="C35">
    <cfRule type="notContainsBlanks" dxfId="3" priority="21">
      <formula>LEN(TRIM(C35))&gt;0</formula>
    </cfRule>
  </conditionalFormatting>
  <conditionalFormatting sqref="AR2:AT2">
    <cfRule type="containsText" dxfId="13" priority="22" operator="containsText" text="(PAM)">
      <formula>NOT(ISERROR(SEARCH(("(PAM)"),(AR2))))</formula>
    </cfRule>
  </conditionalFormatting>
  <conditionalFormatting sqref="AR2:AT2">
    <cfRule type="containsText" dxfId="13" priority="23" operator="containsText" text="(PPM)">
      <formula>NOT(ISERROR(SEARCH(("(PPM)"),(AR2))))</formula>
    </cfRule>
  </conditionalFormatting>
  <conditionalFormatting sqref="F2:AT2">
    <cfRule type="containsText" dxfId="7" priority="24" operator="containsText" text="(AM)">
      <formula>NOT(ISERROR(SEARCH(("(AM)"),(F2))))</formula>
    </cfRule>
  </conditionalFormatting>
  <conditionalFormatting sqref="F2:AT2">
    <cfRule type="containsText" dxfId="7" priority="25" operator="containsText" text="(PM)">
      <formula>NOT(ISERROR(SEARCH(("(PM)"),(F2))))</formula>
    </cfRule>
  </conditionalFormatting>
  <conditionalFormatting sqref="F2:AT2">
    <cfRule type="notContainsText" dxfId="14" priority="26" operator="notContains" text="(AM) (PM)">
      <formula>ISERROR(SEARCH(("(AM) (PM)"),(F2)))</formula>
    </cfRule>
  </conditionalFormatting>
  <drawing r:id="rId2"/>
  <legacyDrawing r:id="rId3"/>
  <tableParts count="1">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14.63"/>
    <col customWidth="1" hidden="1" min="2" max="2" width="11.38"/>
    <col customWidth="1" min="4" max="4" width="14.13"/>
    <col customWidth="1" min="6" max="8" width="8.63"/>
    <col customWidth="1" min="9" max="9" width="8.38"/>
    <col customWidth="1" min="10" max="10" width="8.25"/>
    <col customWidth="1" min="11" max="43" width="8.63"/>
    <col customWidth="1" min="44" max="46" width="9.5"/>
    <col customWidth="1" hidden="1" min="47" max="47" width="9.5"/>
  </cols>
  <sheetData>
    <row r="1">
      <c r="A1" s="1" t="s">
        <v>0</v>
      </c>
      <c r="B1" s="1" t="s">
        <v>1</v>
      </c>
      <c r="C1" s="1" t="s">
        <v>2</v>
      </c>
      <c r="D1" s="1" t="s">
        <v>3</v>
      </c>
      <c r="E1" s="1" t="s">
        <v>4</v>
      </c>
      <c r="F1" s="4" t="s">
        <v>7</v>
      </c>
      <c r="G1" s="2" t="s">
        <v>8</v>
      </c>
      <c r="H1" s="2" t="s">
        <v>9</v>
      </c>
      <c r="I1" s="2" t="s">
        <v>10</v>
      </c>
      <c r="J1" s="2" t="s">
        <v>11</v>
      </c>
      <c r="K1" s="3" t="s">
        <v>12</v>
      </c>
      <c r="L1" s="4" t="s">
        <v>13</v>
      </c>
      <c r="M1" s="55" t="s">
        <v>5</v>
      </c>
      <c r="N1" s="55" t="s">
        <v>6</v>
      </c>
      <c r="O1" s="54" t="s">
        <v>7</v>
      </c>
      <c r="P1" s="54" t="s">
        <v>8</v>
      </c>
      <c r="Q1" s="55" t="s">
        <v>9</v>
      </c>
      <c r="R1" s="55" t="s">
        <v>10</v>
      </c>
      <c r="S1" s="54" t="s">
        <v>11</v>
      </c>
      <c r="T1" s="55" t="s">
        <v>12</v>
      </c>
      <c r="U1" s="55" t="s">
        <v>13</v>
      </c>
      <c r="V1" s="55" t="s">
        <v>5</v>
      </c>
      <c r="W1" s="55" t="s">
        <v>6</v>
      </c>
      <c r="X1" s="54" t="s">
        <v>7</v>
      </c>
      <c r="Y1" s="54" t="s">
        <v>8</v>
      </c>
      <c r="Z1" s="55" t="s">
        <v>9</v>
      </c>
      <c r="AA1" s="55" t="s">
        <v>10</v>
      </c>
      <c r="AB1" s="54" t="s">
        <v>11</v>
      </c>
      <c r="AC1" s="55" t="s">
        <v>12</v>
      </c>
      <c r="AD1" s="55" t="s">
        <v>13</v>
      </c>
      <c r="AE1" s="55" t="s">
        <v>5</v>
      </c>
      <c r="AF1" s="55" t="s">
        <v>6</v>
      </c>
      <c r="AG1" s="54" t="s">
        <v>7</v>
      </c>
      <c r="AH1" s="54" t="s">
        <v>8</v>
      </c>
      <c r="AI1" s="55" t="s">
        <v>9</v>
      </c>
      <c r="AJ1" s="55" t="s">
        <v>10</v>
      </c>
      <c r="AK1" s="3" t="s">
        <v>204</v>
      </c>
      <c r="AL1" s="3" t="s">
        <v>205</v>
      </c>
      <c r="AM1" s="4" t="s">
        <v>12</v>
      </c>
      <c r="AN1" s="3" t="s">
        <v>13</v>
      </c>
      <c r="AO1" s="55" t="s">
        <v>5</v>
      </c>
      <c r="AP1" s="55" t="s">
        <v>6</v>
      </c>
      <c r="AQ1" s="54" t="s">
        <v>7</v>
      </c>
      <c r="AR1" s="54" t="s">
        <v>8</v>
      </c>
      <c r="AS1" s="55" t="s">
        <v>9</v>
      </c>
      <c r="AT1" s="55" t="s">
        <v>10</v>
      </c>
      <c r="AU1" s="55" t="s">
        <v>10</v>
      </c>
    </row>
    <row r="2">
      <c r="F2" s="51" t="s">
        <v>206</v>
      </c>
      <c r="G2" s="51" t="s">
        <v>207</v>
      </c>
      <c r="H2" s="56">
        <v>45628.0</v>
      </c>
      <c r="I2" s="56">
        <v>45629.0</v>
      </c>
      <c r="J2" s="56">
        <v>45630.0</v>
      </c>
      <c r="K2" s="56">
        <v>45631.0</v>
      </c>
      <c r="L2" s="56">
        <v>45632.0</v>
      </c>
      <c r="M2" s="65" t="s">
        <v>208</v>
      </c>
      <c r="N2" s="65" t="s">
        <v>209</v>
      </c>
      <c r="O2" s="65" t="s">
        <v>210</v>
      </c>
      <c r="P2" s="65" t="s">
        <v>211</v>
      </c>
      <c r="Q2" s="38">
        <v>45635.0</v>
      </c>
      <c r="R2" s="38">
        <v>45636.0</v>
      </c>
      <c r="S2" s="38">
        <v>45637.0</v>
      </c>
      <c r="T2" s="38">
        <v>45638.0</v>
      </c>
      <c r="U2" s="38">
        <v>45639.0</v>
      </c>
      <c r="V2" s="65" t="s">
        <v>212</v>
      </c>
      <c r="W2" s="65" t="s">
        <v>213</v>
      </c>
      <c r="X2" s="65" t="s">
        <v>214</v>
      </c>
      <c r="Y2" s="65" t="s">
        <v>215</v>
      </c>
      <c r="Z2" s="38">
        <v>45642.0</v>
      </c>
      <c r="AA2" s="38">
        <v>45643.0</v>
      </c>
      <c r="AB2" s="38">
        <v>45644.0</v>
      </c>
      <c r="AC2" s="38">
        <v>45645.0</v>
      </c>
      <c r="AD2" s="38">
        <v>45646.0</v>
      </c>
      <c r="AE2" s="65" t="s">
        <v>216</v>
      </c>
      <c r="AF2" s="65" t="s">
        <v>217</v>
      </c>
      <c r="AG2" s="65" t="s">
        <v>218</v>
      </c>
      <c r="AH2" s="65" t="s">
        <v>219</v>
      </c>
      <c r="AI2" s="38">
        <v>45649.0</v>
      </c>
      <c r="AJ2" s="38">
        <v>45650.0</v>
      </c>
      <c r="AK2" s="66" t="s">
        <v>220</v>
      </c>
      <c r="AL2" s="66" t="s">
        <v>221</v>
      </c>
      <c r="AM2" s="38">
        <v>45652.0</v>
      </c>
      <c r="AN2" s="38">
        <v>45653.0</v>
      </c>
      <c r="AO2" s="65" t="s">
        <v>222</v>
      </c>
      <c r="AP2" s="65" t="s">
        <v>223</v>
      </c>
      <c r="AQ2" s="65" t="s">
        <v>224</v>
      </c>
      <c r="AR2" s="65" t="s">
        <v>225</v>
      </c>
      <c r="AS2" s="56">
        <v>45656.0</v>
      </c>
      <c r="AT2" s="56">
        <v>45657.0</v>
      </c>
      <c r="AU2" s="38">
        <v>45650.0</v>
      </c>
    </row>
    <row r="3">
      <c r="A3" s="39" t="s">
        <v>226</v>
      </c>
      <c r="B3" s="40">
        <f t="shared" ref="B3:B5" si="1">SUM(C3:D3)</f>
        <v>4</v>
      </c>
      <c r="C3" s="10">
        <f t="shared" ref="C3:C32" si="2">SUM(F3:AT3)</f>
        <v>2</v>
      </c>
      <c r="D3" s="11">
        <f t="array" ref="D3">SUM(IF(F3:AT3="R",1,0))</f>
        <v>2</v>
      </c>
      <c r="E3" s="11">
        <f t="array" ref="E3">SUM(IF(F3:AT3="R2",1,0))</f>
        <v>2</v>
      </c>
      <c r="F3" s="59"/>
      <c r="H3" s="16"/>
      <c r="K3" s="16"/>
      <c r="L3" s="16"/>
      <c r="M3" s="16"/>
      <c r="N3" s="16"/>
      <c r="O3" s="16"/>
      <c r="P3" s="16"/>
      <c r="Q3" s="17" t="s">
        <v>40</v>
      </c>
      <c r="W3" s="17" t="s">
        <v>39</v>
      </c>
      <c r="Y3" s="17">
        <v>1.0</v>
      </c>
      <c r="AH3" s="17">
        <v>1.0</v>
      </c>
      <c r="AJ3" s="17" t="s">
        <v>40</v>
      </c>
      <c r="AN3" s="16"/>
      <c r="AS3" s="17" t="s">
        <v>39</v>
      </c>
    </row>
    <row r="4">
      <c r="A4" s="14" t="s">
        <v>146</v>
      </c>
      <c r="B4" s="10">
        <f t="shared" si="1"/>
        <v>4</v>
      </c>
      <c r="C4" s="10">
        <f t="shared" si="2"/>
        <v>2</v>
      </c>
      <c r="D4" s="11">
        <f t="array" ref="D4">SUM(IF(F4:AT4="R",1,0))</f>
        <v>2</v>
      </c>
      <c r="E4" s="11">
        <f t="array" ref="E4">SUM(IF(F4:AT4="R2",1,0))</f>
        <v>2</v>
      </c>
      <c r="I4" s="67"/>
      <c r="J4" s="67"/>
      <c r="K4" s="67"/>
      <c r="L4" s="60"/>
      <c r="M4" s="60"/>
      <c r="N4" s="60"/>
      <c r="O4" s="67"/>
      <c r="P4" s="17" t="s">
        <v>39</v>
      </c>
      <c r="Q4" s="16"/>
      <c r="W4" s="67"/>
      <c r="AB4" s="17" t="s">
        <v>40</v>
      </c>
      <c r="AF4" s="17">
        <v>1.0</v>
      </c>
      <c r="AH4" s="17" t="s">
        <v>39</v>
      </c>
      <c r="AK4" s="17">
        <v>1.0</v>
      </c>
      <c r="AN4" s="17" t="s">
        <v>40</v>
      </c>
      <c r="AO4" s="67"/>
    </row>
    <row r="5">
      <c r="A5" s="14" t="s">
        <v>44</v>
      </c>
      <c r="B5" s="10">
        <f t="shared" si="1"/>
        <v>3</v>
      </c>
      <c r="C5" s="10">
        <f t="shared" si="2"/>
        <v>1</v>
      </c>
      <c r="D5" s="11">
        <f t="array" ref="D5">SUM(IF(F5:AT5="R",1,0))</f>
        <v>2</v>
      </c>
      <c r="E5" s="11">
        <f t="array" ref="E5">SUM(IF(F5:AT5="R2",1,0))</f>
        <v>2</v>
      </c>
      <c r="I5" s="16"/>
      <c r="J5" s="16"/>
      <c r="K5" s="16"/>
      <c r="L5" s="16"/>
      <c r="M5" s="16"/>
      <c r="N5" s="16"/>
      <c r="O5" s="17">
        <v>1.0</v>
      </c>
      <c r="Q5" s="16"/>
      <c r="W5" s="67"/>
      <c r="Y5" s="17" t="s">
        <v>39</v>
      </c>
      <c r="Z5" s="67"/>
      <c r="AA5" s="17" t="s">
        <v>40</v>
      </c>
      <c r="AC5" s="16"/>
      <c r="AD5" s="16"/>
      <c r="AE5" s="16"/>
      <c r="AF5" s="16"/>
      <c r="AG5" s="16"/>
      <c r="AH5" s="16"/>
      <c r="AI5" s="16"/>
      <c r="AJ5" s="17" t="s">
        <v>39</v>
      </c>
      <c r="AM5" s="16"/>
      <c r="AN5" s="16"/>
      <c r="AP5" s="17" t="s">
        <v>40</v>
      </c>
      <c r="AS5" s="16"/>
      <c r="AT5" s="16"/>
    </row>
    <row r="6">
      <c r="A6" s="14" t="s">
        <v>175</v>
      </c>
      <c r="B6" s="10"/>
      <c r="C6" s="10">
        <f t="shared" si="2"/>
        <v>1</v>
      </c>
      <c r="D6" s="11">
        <f t="array" ref="D6">SUM(IF(F6:AT6="R",1,0))</f>
        <v>2</v>
      </c>
      <c r="E6" s="11">
        <f t="array" ref="E6">SUM(IF(F6:AT6="R2",1,0))</f>
        <v>2</v>
      </c>
      <c r="I6" s="16"/>
      <c r="J6" s="16"/>
      <c r="K6" s="16"/>
      <c r="L6" s="16"/>
      <c r="M6" s="16"/>
      <c r="N6" s="16"/>
      <c r="O6" s="16"/>
      <c r="P6" s="16"/>
      <c r="Q6" s="16"/>
      <c r="T6" s="17">
        <v>1.0</v>
      </c>
      <c r="V6" s="17" t="s">
        <v>40</v>
      </c>
      <c r="X6" s="17" t="s">
        <v>39</v>
      </c>
      <c r="AF6" s="17" t="s">
        <v>39</v>
      </c>
      <c r="AH6" s="17" t="s">
        <v>40</v>
      </c>
    </row>
    <row r="7">
      <c r="A7" s="25" t="s">
        <v>147</v>
      </c>
      <c r="B7" s="10">
        <f t="shared" ref="B7:B9" si="3">SUM(C7:D7)</f>
        <v>3</v>
      </c>
      <c r="C7" s="10">
        <f t="shared" si="2"/>
        <v>1</v>
      </c>
      <c r="D7" s="11">
        <f t="array" ref="D7">SUM(IF(F7:AT7="R",1,0))</f>
        <v>2</v>
      </c>
      <c r="E7" s="11">
        <f t="array" ref="E7">SUM(IF(F7:AT7="R2",1,0))</f>
        <v>2</v>
      </c>
      <c r="I7" s="17" t="s">
        <v>39</v>
      </c>
      <c r="L7" s="16"/>
      <c r="M7" s="16"/>
      <c r="N7" s="16"/>
      <c r="O7" s="16"/>
      <c r="P7" s="16"/>
      <c r="Q7" s="16"/>
      <c r="R7" s="16"/>
      <c r="S7" s="68"/>
      <c r="T7" s="16"/>
      <c r="U7" s="16"/>
      <c r="Y7" s="17" t="s">
        <v>40</v>
      </c>
      <c r="AA7" s="17" t="s">
        <v>39</v>
      </c>
      <c r="AF7" s="17" t="s">
        <v>40</v>
      </c>
      <c r="AL7" s="17">
        <v>1.0</v>
      </c>
    </row>
    <row r="8">
      <c r="A8" s="25" t="s">
        <v>47</v>
      </c>
      <c r="B8" s="10">
        <f t="shared" si="3"/>
        <v>4</v>
      </c>
      <c r="C8" s="10">
        <f t="shared" si="2"/>
        <v>2</v>
      </c>
      <c r="D8" s="11">
        <f t="array" ref="D8">SUM(IF(F8:AT8="R",1,0))</f>
        <v>2</v>
      </c>
      <c r="E8" s="11">
        <f t="array" ref="E8">SUM(IF(F8:AT8="R2",1,0))</f>
        <v>2</v>
      </c>
      <c r="J8" s="17" t="s">
        <v>39</v>
      </c>
      <c r="K8" s="17" t="s">
        <v>40</v>
      </c>
      <c r="L8" s="16"/>
      <c r="M8" s="16"/>
      <c r="N8" s="16"/>
      <c r="O8" s="16"/>
      <c r="P8" s="16"/>
      <c r="Q8" s="16"/>
      <c r="U8" s="17" t="s">
        <v>40</v>
      </c>
      <c r="W8" s="17">
        <v>1.0</v>
      </c>
      <c r="X8" s="45"/>
      <c r="Y8" s="47"/>
      <c r="Z8" s="45"/>
      <c r="AA8" s="17">
        <v>1.0</v>
      </c>
      <c r="AC8" s="17" t="s">
        <v>39</v>
      </c>
      <c r="AE8" s="45"/>
    </row>
    <row r="9">
      <c r="A9" s="26" t="s">
        <v>55</v>
      </c>
      <c r="B9" s="10">
        <f t="shared" si="3"/>
        <v>1</v>
      </c>
      <c r="C9" s="10">
        <f t="shared" si="2"/>
        <v>1</v>
      </c>
      <c r="D9" s="11">
        <f t="array" ref="D9">SUM(IF(F9:AT9="R",1,0))</f>
        <v>0</v>
      </c>
      <c r="E9" s="11">
        <f t="array" ref="E9">SUM(IF(F9:AT9="R2",1,0))</f>
        <v>0</v>
      </c>
      <c r="G9" s="61"/>
      <c r="H9" s="61"/>
      <c r="I9" s="61"/>
      <c r="J9" s="61"/>
      <c r="K9" s="16"/>
      <c r="L9" s="16"/>
      <c r="M9" s="16"/>
      <c r="N9" s="61"/>
      <c r="O9" s="16"/>
      <c r="P9" s="61"/>
      <c r="Q9" s="16"/>
      <c r="R9" s="61"/>
      <c r="S9" s="61"/>
      <c r="T9" s="61"/>
      <c r="U9" s="61"/>
      <c r="V9" s="17">
        <v>1.0</v>
      </c>
      <c r="W9" s="61"/>
      <c r="Y9" s="61"/>
      <c r="Z9" s="61"/>
      <c r="AA9" s="61"/>
      <c r="AB9" s="61"/>
      <c r="AC9" s="61"/>
      <c r="AD9" s="61"/>
      <c r="AE9" s="16"/>
      <c r="AF9" s="16"/>
      <c r="AG9" s="16"/>
      <c r="AH9" s="16"/>
      <c r="AI9" s="16"/>
      <c r="AJ9" s="16"/>
      <c r="AK9" s="16"/>
      <c r="AL9" s="16"/>
      <c r="AM9" s="16"/>
      <c r="AN9" s="16"/>
      <c r="AO9" s="16"/>
      <c r="AP9" s="16"/>
      <c r="AQ9" s="16"/>
      <c r="AR9" s="16"/>
      <c r="AS9" s="16"/>
      <c r="AT9" s="16"/>
    </row>
    <row r="10">
      <c r="A10" s="23" t="s">
        <v>176</v>
      </c>
      <c r="B10" s="10"/>
      <c r="C10" s="10">
        <f t="shared" si="2"/>
        <v>2</v>
      </c>
      <c r="D10" s="11">
        <f t="array" ref="D10">SUM(IF(F10:AT10="R",1,0))</f>
        <v>2</v>
      </c>
      <c r="E10" s="11">
        <f t="array" ref="E10">SUM(IF(F10:AT10="R2",1,0))</f>
        <v>2</v>
      </c>
      <c r="F10" s="67"/>
      <c r="I10" s="16"/>
      <c r="J10" s="16"/>
      <c r="K10" s="16"/>
      <c r="L10" s="16"/>
      <c r="M10" s="16"/>
      <c r="O10" s="67"/>
      <c r="Q10" s="16"/>
      <c r="S10" s="17" t="s">
        <v>40</v>
      </c>
      <c r="U10" s="16"/>
      <c r="V10" s="16"/>
      <c r="W10" s="16"/>
      <c r="X10" s="16"/>
      <c r="Y10" s="16"/>
      <c r="Z10" s="16"/>
      <c r="AA10" s="16"/>
      <c r="AB10" s="16"/>
      <c r="AC10" s="16"/>
      <c r="AD10" s="16"/>
      <c r="AJ10" s="17">
        <v>1.0</v>
      </c>
      <c r="AL10" s="17" t="s">
        <v>39</v>
      </c>
      <c r="AN10" s="17">
        <v>1.0</v>
      </c>
      <c r="AQ10" s="17" t="s">
        <v>39</v>
      </c>
      <c r="AR10" s="17" t="s">
        <v>40</v>
      </c>
    </row>
    <row r="11" hidden="1">
      <c r="A11" s="23" t="s">
        <v>53</v>
      </c>
      <c r="B11" s="10">
        <f>SUM(C11:D11)</f>
        <v>0</v>
      </c>
      <c r="C11" s="10">
        <f t="shared" si="2"/>
        <v>0</v>
      </c>
      <c r="D11" s="11">
        <f t="array" ref="D11">SUM(IF(F11:AT11="R",1,0))</f>
        <v>0</v>
      </c>
      <c r="E11" s="11">
        <f t="array" ref="E11">SUM(IF(F11:AT11="R2",1,0))</f>
        <v>0</v>
      </c>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row>
    <row r="12">
      <c r="A12" s="9" t="s">
        <v>227</v>
      </c>
      <c r="B12" s="10"/>
      <c r="C12" s="10">
        <f t="shared" si="2"/>
        <v>2</v>
      </c>
      <c r="D12" s="11">
        <f t="array" ref="D12">SUM(IF(F12:AT12="R",1,0))</f>
        <v>2</v>
      </c>
      <c r="E12" s="11">
        <f t="array" ref="E12">SUM(IF(F12:AT12="R2",1,0))</f>
        <v>3</v>
      </c>
      <c r="L12" s="17">
        <v>1.0</v>
      </c>
      <c r="M12" s="17" t="s">
        <v>40</v>
      </c>
      <c r="N12" s="17" t="s">
        <v>40</v>
      </c>
      <c r="O12" s="67"/>
      <c r="Q12" s="17" t="s">
        <v>39</v>
      </c>
      <c r="AD12" s="17" t="s">
        <v>40</v>
      </c>
      <c r="AR12" s="17">
        <v>1.0</v>
      </c>
      <c r="AT12" s="17" t="s">
        <v>39</v>
      </c>
    </row>
    <row r="13">
      <c r="A13" s="9" t="s">
        <v>56</v>
      </c>
      <c r="B13" s="10">
        <f>SUM(C13:D13)</f>
        <v>4</v>
      </c>
      <c r="C13" s="10">
        <f t="shared" si="2"/>
        <v>2</v>
      </c>
      <c r="D13" s="11">
        <f t="array" ref="D13">SUM(IF(F13:AT13="R",1,0))</f>
        <v>2</v>
      </c>
      <c r="E13" s="11">
        <f t="array" ref="E13">SUM(IF(F13:AT13="R2",1,0))</f>
        <v>2</v>
      </c>
      <c r="F13" s="16"/>
      <c r="G13" s="12"/>
      <c r="I13" s="13"/>
      <c r="J13" s="12"/>
      <c r="L13" s="17" t="s">
        <v>39</v>
      </c>
      <c r="M13" s="12"/>
      <c r="N13" s="12">
        <v>1.0</v>
      </c>
      <c r="O13" s="12"/>
      <c r="P13" s="12"/>
      <c r="R13" s="12"/>
      <c r="S13" s="13"/>
      <c r="T13" s="13"/>
      <c r="V13" s="12"/>
      <c r="W13" s="17" t="s">
        <v>40</v>
      </c>
      <c r="X13" s="13"/>
      <c r="Y13" s="12"/>
      <c r="AA13" s="13"/>
      <c r="AB13" s="12"/>
      <c r="AD13" s="17" t="s">
        <v>39</v>
      </c>
      <c r="AG13" s="17">
        <v>1.0</v>
      </c>
      <c r="AH13" s="13"/>
      <c r="AJ13" s="13"/>
      <c r="AK13" s="13"/>
      <c r="AL13" s="12"/>
      <c r="AM13" s="17" t="s">
        <v>40</v>
      </c>
      <c r="AN13" s="12"/>
      <c r="AO13" s="12"/>
      <c r="AP13" s="13"/>
      <c r="AQ13" s="13"/>
    </row>
    <row r="14">
      <c r="A14" s="9" t="s">
        <v>178</v>
      </c>
      <c r="B14" s="10"/>
      <c r="C14" s="10">
        <f t="shared" si="2"/>
        <v>2</v>
      </c>
      <c r="D14" s="11">
        <f t="array" ref="D14">SUM(IF(F14:AT14="R",1,0))</f>
        <v>2</v>
      </c>
      <c r="E14" s="11">
        <f t="array" ref="E14">SUM(IF(F14:AT14="R2",1,0))</f>
        <v>2</v>
      </c>
      <c r="F14" s="12"/>
      <c r="G14" s="12"/>
      <c r="H14" s="17" t="s">
        <v>40</v>
      </c>
      <c r="I14" s="13"/>
      <c r="J14" s="12">
        <v>1.0</v>
      </c>
      <c r="K14" s="12"/>
      <c r="L14" s="16"/>
      <c r="M14" s="12"/>
      <c r="N14" s="12" t="s">
        <v>39</v>
      </c>
      <c r="O14" s="12"/>
      <c r="P14" s="13"/>
      <c r="R14" s="13"/>
      <c r="S14" s="13"/>
      <c r="T14" s="13"/>
      <c r="U14" s="16"/>
      <c r="V14" s="12"/>
      <c r="W14" s="12"/>
      <c r="X14" s="13"/>
      <c r="Y14" s="12"/>
      <c r="AA14" s="13"/>
      <c r="AB14" s="12"/>
      <c r="AC14" s="12"/>
      <c r="AD14" s="17">
        <v>1.0</v>
      </c>
      <c r="AE14" s="12"/>
      <c r="AF14" s="13"/>
      <c r="AG14" s="17" t="s">
        <v>40</v>
      </c>
      <c r="AH14" s="12"/>
      <c r="AJ14" s="13"/>
      <c r="AK14" s="13"/>
      <c r="AL14" s="13"/>
      <c r="AN14" s="12"/>
      <c r="AO14" s="12"/>
      <c r="AQ14" s="12"/>
      <c r="AR14" s="17" t="s">
        <v>39</v>
      </c>
    </row>
    <row r="15">
      <c r="A15" s="26" t="s">
        <v>91</v>
      </c>
      <c r="B15" s="10"/>
      <c r="C15" s="10">
        <f t="shared" si="2"/>
        <v>1</v>
      </c>
      <c r="D15" s="11">
        <f t="array" ref="D15">SUM(IF(F15:AT15="R",1,0))</f>
        <v>1</v>
      </c>
      <c r="E15" s="11">
        <f t="array" ref="E15">SUM(IF(F15:AT15="R2",1,0))</f>
        <v>0</v>
      </c>
      <c r="F15" s="17" t="s">
        <v>39</v>
      </c>
      <c r="G15" s="61"/>
      <c r="H15" s="61"/>
      <c r="I15" s="61"/>
      <c r="J15" s="61"/>
      <c r="K15" s="61"/>
      <c r="L15" s="61"/>
      <c r="M15" s="17">
        <v>1.0</v>
      </c>
      <c r="N15" s="61"/>
      <c r="P15" s="61"/>
      <c r="Q15" s="61"/>
      <c r="R15" s="61"/>
      <c r="S15" s="61"/>
      <c r="T15" s="61"/>
      <c r="U15" s="61"/>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row>
    <row r="16">
      <c r="A16" s="26" t="s">
        <v>228</v>
      </c>
      <c r="B16" s="10">
        <f>SUM(C16:D16)</f>
        <v>2</v>
      </c>
      <c r="C16" s="10">
        <f t="shared" si="2"/>
        <v>1</v>
      </c>
      <c r="D16" s="11">
        <f t="array" ref="D16">SUM(IF(F16:AT16="R",1,0))</f>
        <v>1</v>
      </c>
      <c r="E16" s="11">
        <f t="array" ref="E16">SUM(IF(F16:AT16="R2",1,0))</f>
        <v>0</v>
      </c>
      <c r="G16" s="61"/>
      <c r="H16" s="61"/>
      <c r="I16" s="61"/>
      <c r="J16" s="61"/>
      <c r="K16" s="61"/>
      <c r="L16" s="61"/>
      <c r="M16" s="16"/>
      <c r="N16" s="16"/>
      <c r="O16" s="21"/>
      <c r="P16" s="61"/>
      <c r="Q16" s="61"/>
      <c r="R16" s="61"/>
      <c r="S16" s="61"/>
      <c r="T16" s="61"/>
      <c r="U16" s="61"/>
      <c r="W16" s="61"/>
      <c r="Y16" s="61"/>
      <c r="Z16" s="61"/>
      <c r="AA16" s="61"/>
      <c r="AB16" s="61"/>
      <c r="AC16" s="61"/>
      <c r="AD16" s="61"/>
      <c r="AE16" s="17" t="s">
        <v>39</v>
      </c>
      <c r="AF16" s="61"/>
      <c r="AH16" s="61"/>
      <c r="AI16" s="61"/>
      <c r="AJ16" s="16"/>
      <c r="AK16" s="16"/>
      <c r="AL16" s="16"/>
      <c r="AM16" s="16"/>
      <c r="AN16" s="16"/>
      <c r="AO16" s="17">
        <v>1.0</v>
      </c>
      <c r="AP16" s="61"/>
      <c r="AR16" s="61"/>
      <c r="AS16" s="61"/>
      <c r="AT16" s="61"/>
    </row>
    <row r="17">
      <c r="A17" s="27" t="s">
        <v>149</v>
      </c>
      <c r="B17" s="10"/>
      <c r="C17" s="10">
        <f t="shared" si="2"/>
        <v>1</v>
      </c>
      <c r="D17" s="11">
        <f t="array" ref="D17">SUM(IF(F17:AT17="R",1,0))</f>
        <v>1</v>
      </c>
      <c r="E17" s="11">
        <f t="array" ref="E17">SUM(IF(F17:AT17="R2",1,0))</f>
        <v>0</v>
      </c>
      <c r="F17" s="61"/>
      <c r="G17" s="61"/>
      <c r="K17" s="16"/>
      <c r="L17" s="16"/>
      <c r="M17" s="61"/>
      <c r="N17" s="61"/>
      <c r="O17" s="61"/>
      <c r="P17" s="61"/>
      <c r="Q17" s="16"/>
      <c r="U17" s="17">
        <v>1.0</v>
      </c>
      <c r="V17" s="61"/>
      <c r="W17" s="61"/>
      <c r="X17" s="61"/>
      <c r="Y17" s="61"/>
      <c r="Z17" s="17" t="s">
        <v>39</v>
      </c>
      <c r="AA17" s="16"/>
      <c r="AB17" s="16"/>
      <c r="AC17" s="16"/>
      <c r="AD17" s="16"/>
      <c r="AE17" s="16"/>
      <c r="AF17" s="16"/>
      <c r="AG17" s="16"/>
      <c r="AH17" s="16"/>
      <c r="AI17" s="16"/>
      <c r="AJ17" s="16"/>
      <c r="AK17" s="16"/>
      <c r="AL17" s="16"/>
      <c r="AM17" s="16"/>
      <c r="AN17" s="16"/>
      <c r="AO17" s="61"/>
      <c r="AP17" s="61"/>
      <c r="AQ17" s="61"/>
      <c r="AR17" s="61"/>
      <c r="AS17" s="16"/>
      <c r="AT17" s="16"/>
      <c r="AU17" s="61"/>
    </row>
    <row r="18">
      <c r="A18" s="27" t="s">
        <v>58</v>
      </c>
      <c r="B18" s="10">
        <f t="shared" ref="B18:B21" si="4">SUM(C18:D18)</f>
        <v>3</v>
      </c>
      <c r="C18" s="10">
        <f t="shared" si="2"/>
        <v>2</v>
      </c>
      <c r="D18" s="11">
        <f t="array" ref="D18">SUM(IF(F18:AT18="R",1,0))</f>
        <v>1</v>
      </c>
      <c r="E18" s="11">
        <f t="array" ref="E18">SUM(IF(F18:AT18="R2",1,0))</f>
        <v>3</v>
      </c>
      <c r="J18" s="17" t="s">
        <v>40</v>
      </c>
      <c r="L18" s="16"/>
      <c r="M18" s="16"/>
      <c r="N18" s="16"/>
      <c r="O18" s="16"/>
      <c r="P18" s="16"/>
      <c r="S18" s="17">
        <v>1.0</v>
      </c>
      <c r="U18" s="16"/>
      <c r="V18" s="16"/>
      <c r="W18" s="16"/>
      <c r="X18" s="16"/>
      <c r="Y18" s="16"/>
      <c r="Z18" s="16"/>
      <c r="AA18" s="16"/>
      <c r="AC18" s="17" t="s">
        <v>40</v>
      </c>
      <c r="AE18" s="17">
        <v>1.0</v>
      </c>
      <c r="AL18" s="17" t="s">
        <v>40</v>
      </c>
      <c r="AO18" s="17" t="s">
        <v>39</v>
      </c>
      <c r="AQ18" s="16"/>
      <c r="AR18" s="16"/>
      <c r="AS18" s="16"/>
      <c r="AT18" s="16"/>
    </row>
    <row r="19">
      <c r="A19" s="27" t="s">
        <v>229</v>
      </c>
      <c r="B19" s="10">
        <f t="shared" si="4"/>
        <v>3</v>
      </c>
      <c r="C19" s="10">
        <f t="shared" si="2"/>
        <v>1</v>
      </c>
      <c r="D19" s="11">
        <f t="array" ref="D19">SUM(IF(F19:AT19="R",1,0))</f>
        <v>2</v>
      </c>
      <c r="E19" s="11">
        <f t="array" ref="E19">SUM(IF(F19:AT19="R2",1,0))</f>
        <v>2</v>
      </c>
      <c r="L19" s="16"/>
      <c r="M19" s="16"/>
      <c r="N19" s="16"/>
      <c r="O19" s="16"/>
      <c r="P19" s="16"/>
      <c r="U19" s="17" t="s">
        <v>39</v>
      </c>
      <c r="X19" s="17" t="s">
        <v>40</v>
      </c>
      <c r="AC19" s="17">
        <v>1.0</v>
      </c>
      <c r="AN19" s="17" t="s">
        <v>39</v>
      </c>
      <c r="AT19" s="17" t="s">
        <v>40</v>
      </c>
    </row>
    <row r="20">
      <c r="A20" s="62" t="s">
        <v>199</v>
      </c>
      <c r="B20" s="10">
        <f t="shared" si="4"/>
        <v>4</v>
      </c>
      <c r="C20" s="10">
        <f t="shared" si="2"/>
        <v>2</v>
      </c>
      <c r="D20" s="11">
        <f t="array" ref="D20">SUM(IF(F20:AT20="R",1,0))</f>
        <v>2</v>
      </c>
      <c r="E20" s="11">
        <f t="array" ref="E20">SUM(IF(F20:AT20="R2",1,0))</f>
        <v>2</v>
      </c>
      <c r="F20" s="17" t="s">
        <v>40</v>
      </c>
      <c r="K20" s="17" t="s">
        <v>39</v>
      </c>
      <c r="L20" s="16"/>
      <c r="M20" s="16"/>
      <c r="N20" s="16"/>
      <c r="O20" s="16"/>
      <c r="P20" s="16"/>
      <c r="Q20" s="17">
        <v>1.0</v>
      </c>
      <c r="U20" s="16"/>
      <c r="V20" s="16"/>
      <c r="W20" s="16"/>
      <c r="X20" s="16"/>
      <c r="Y20" s="16"/>
      <c r="Z20" s="16"/>
      <c r="AA20" s="16"/>
      <c r="AB20" s="16"/>
      <c r="AC20" s="16"/>
      <c r="AD20" s="16"/>
      <c r="AE20" s="16"/>
      <c r="AF20" s="16"/>
      <c r="AG20" s="16"/>
      <c r="AH20" s="16"/>
      <c r="AI20" s="16"/>
      <c r="AJ20" s="16"/>
      <c r="AM20" s="17" t="s">
        <v>39</v>
      </c>
      <c r="AP20" s="17">
        <v>1.0</v>
      </c>
      <c r="AS20" s="17" t="s">
        <v>40</v>
      </c>
      <c r="AT20" s="16"/>
    </row>
    <row r="21">
      <c r="A21" s="62" t="s">
        <v>200</v>
      </c>
      <c r="B21" s="10">
        <f t="shared" si="4"/>
        <v>4</v>
      </c>
      <c r="C21" s="10">
        <f t="shared" si="2"/>
        <v>2</v>
      </c>
      <c r="D21" s="11">
        <f t="array" ref="D21">SUM(IF(F21:AT21="R",1,0))</f>
        <v>2</v>
      </c>
      <c r="E21" s="11">
        <f t="array" ref="E21">SUM(IF(F21:AT21="R2",1,0))</f>
        <v>1</v>
      </c>
      <c r="G21" s="17" t="s">
        <v>40</v>
      </c>
      <c r="L21" s="16"/>
      <c r="M21" s="16"/>
      <c r="N21" s="16"/>
      <c r="O21" s="16"/>
      <c r="P21" s="16"/>
      <c r="S21" s="17" t="s">
        <v>39</v>
      </c>
      <c r="U21" s="16"/>
      <c r="V21" s="16"/>
      <c r="W21" s="16"/>
      <c r="X21" s="16"/>
      <c r="Y21" s="16"/>
      <c r="Z21" s="16"/>
      <c r="AA21" s="16"/>
      <c r="AB21" s="16"/>
      <c r="AC21" s="16"/>
      <c r="AD21" s="16"/>
      <c r="AE21" s="16"/>
      <c r="AF21" s="16"/>
      <c r="AG21" s="16"/>
      <c r="AH21" s="16"/>
      <c r="AI21" s="16"/>
      <c r="AM21" s="17">
        <v>1.0</v>
      </c>
      <c r="AP21" s="17" t="s">
        <v>39</v>
      </c>
      <c r="AS21" s="17">
        <v>1.0</v>
      </c>
    </row>
    <row r="22">
      <c r="A22" s="69" t="s">
        <v>230</v>
      </c>
      <c r="B22" s="10"/>
      <c r="C22" s="10">
        <f t="shared" si="2"/>
        <v>2</v>
      </c>
      <c r="D22" s="11">
        <f t="array" ref="D22">SUM(IF(F22:AT22="R",1,0))</f>
        <v>1</v>
      </c>
      <c r="E22" s="11">
        <f t="array" ref="E22">SUM(IF(F22:AT22="R2",1,0))</f>
        <v>2</v>
      </c>
      <c r="G22" s="17" t="s">
        <v>39</v>
      </c>
      <c r="K22" s="17">
        <v>1.0</v>
      </c>
      <c r="L22" s="17" t="s">
        <v>40</v>
      </c>
      <c r="Q22" s="16"/>
      <c r="R22" s="16"/>
      <c r="AJ22" s="16"/>
      <c r="AK22" s="16"/>
      <c r="AL22" s="16"/>
      <c r="AM22" s="16"/>
      <c r="AN22" s="16"/>
      <c r="AQ22" s="17" t="s">
        <v>40</v>
      </c>
      <c r="AT22" s="17">
        <v>1.0</v>
      </c>
    </row>
    <row r="23">
      <c r="A23" s="26" t="s">
        <v>46</v>
      </c>
      <c r="B23" s="10">
        <f>SUM(C23:D23)</f>
        <v>3</v>
      </c>
      <c r="C23" s="10">
        <f t="shared" si="2"/>
        <v>1</v>
      </c>
      <c r="D23" s="11">
        <f t="array" ref="D23">SUM(IF(F23:AT23="R",1,0))</f>
        <v>2</v>
      </c>
      <c r="E23" s="11">
        <f t="array" ref="E23">SUM(IF(F23:AT23="R2",1,0))</f>
        <v>2</v>
      </c>
      <c r="F23" s="16"/>
      <c r="G23" s="61"/>
      <c r="H23" s="61"/>
      <c r="I23" s="61"/>
      <c r="J23" s="61"/>
      <c r="K23" s="61"/>
      <c r="L23" s="61"/>
      <c r="M23" s="17" t="s">
        <v>39</v>
      </c>
      <c r="N23" s="61"/>
      <c r="O23" s="17" t="s">
        <v>39</v>
      </c>
      <c r="P23" s="61"/>
      <c r="Q23" s="61"/>
      <c r="R23" s="61"/>
      <c r="S23" s="61"/>
      <c r="T23" s="61"/>
      <c r="U23" s="61"/>
      <c r="W23" s="61"/>
      <c r="X23" s="17">
        <v>1.0</v>
      </c>
      <c r="Y23" s="61"/>
      <c r="Z23" s="61"/>
      <c r="AA23" s="61"/>
      <c r="AB23" s="61"/>
      <c r="AC23" s="61"/>
      <c r="AD23" s="61"/>
      <c r="AE23" s="17" t="s">
        <v>40</v>
      </c>
      <c r="AF23" s="61"/>
      <c r="AH23" s="61"/>
      <c r="AI23" s="61"/>
      <c r="AJ23" s="61"/>
      <c r="AK23" s="17" t="s">
        <v>40</v>
      </c>
      <c r="AL23" s="61"/>
      <c r="AM23" s="61"/>
      <c r="AN23" s="61"/>
      <c r="AP23" s="61"/>
      <c r="AR23" s="61"/>
      <c r="AS23" s="61"/>
      <c r="AT23" s="61"/>
      <c r="AU23" s="61"/>
    </row>
    <row r="24">
      <c r="A24" s="26" t="s">
        <v>201</v>
      </c>
      <c r="B24" s="10"/>
      <c r="C24" s="10">
        <f t="shared" si="2"/>
        <v>2</v>
      </c>
      <c r="D24" s="11">
        <f t="array" ref="D24">SUM(IF(F24:AT24="R",1,0))</f>
        <v>2</v>
      </c>
      <c r="E24" s="11">
        <f t="array" ref="E24">SUM(IF(F24:AT24="R2",1,0))</f>
        <v>2</v>
      </c>
      <c r="F24" s="17">
        <v>1.0</v>
      </c>
      <c r="G24" s="61"/>
      <c r="H24" s="61"/>
      <c r="I24" s="61"/>
      <c r="J24" s="61"/>
      <c r="K24" s="61"/>
      <c r="L24" s="16"/>
      <c r="M24" s="16"/>
      <c r="N24" s="16"/>
      <c r="O24" s="17" t="s">
        <v>40</v>
      </c>
      <c r="P24" s="61"/>
      <c r="Q24" s="61"/>
      <c r="R24" s="61"/>
      <c r="S24" s="61"/>
      <c r="T24" s="16"/>
      <c r="U24" s="16"/>
      <c r="V24" s="16"/>
      <c r="W24" s="16"/>
      <c r="X24" s="16"/>
      <c r="Y24" s="16"/>
      <c r="Z24" s="61"/>
      <c r="AA24" s="61"/>
      <c r="AB24" s="61"/>
      <c r="AC24" s="61"/>
      <c r="AD24" s="61"/>
      <c r="AF24" s="61"/>
      <c r="AG24" s="17" t="s">
        <v>39</v>
      </c>
      <c r="AH24" s="61"/>
      <c r="AI24" s="61"/>
      <c r="AJ24" s="61"/>
      <c r="AK24" s="17" t="s">
        <v>39</v>
      </c>
      <c r="AL24" s="61"/>
      <c r="AM24" s="61"/>
      <c r="AN24" s="61"/>
      <c r="AO24" s="17" t="s">
        <v>40</v>
      </c>
      <c r="AP24" s="61"/>
      <c r="AQ24" s="17">
        <v>1.0</v>
      </c>
      <c r="AR24" s="61"/>
      <c r="AS24" s="61"/>
      <c r="AT24" s="61"/>
    </row>
    <row r="25">
      <c r="A25" s="44" t="s">
        <v>117</v>
      </c>
      <c r="B25" s="10">
        <f t="shared" ref="B25:B28" si="5">SUM(C25:D25)</f>
        <v>2</v>
      </c>
      <c r="C25" s="10">
        <f t="shared" si="2"/>
        <v>2</v>
      </c>
      <c r="D25" s="11">
        <f t="array" ref="D25">SUM(IF(F25:AT25="R",1,0))</f>
        <v>0</v>
      </c>
      <c r="E25" s="11">
        <f t="array" ref="E25">SUM(IF(F25:AT25="R2",1,0))</f>
        <v>0</v>
      </c>
      <c r="F25" s="67"/>
      <c r="G25" s="17">
        <v>1.0</v>
      </c>
      <c r="I25" s="61"/>
      <c r="J25" s="16"/>
      <c r="K25" s="16"/>
      <c r="L25" s="16"/>
      <c r="M25" s="16"/>
      <c r="N25" s="16"/>
      <c r="O25" s="67"/>
      <c r="P25" s="17">
        <v>1.0</v>
      </c>
      <c r="R25" s="61"/>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row>
    <row r="26" hidden="1">
      <c r="A26" s="44" t="s">
        <v>67</v>
      </c>
      <c r="B26" s="10">
        <f t="shared" si="5"/>
        <v>0</v>
      </c>
      <c r="C26" s="10">
        <f t="shared" si="2"/>
        <v>0</v>
      </c>
      <c r="D26" s="11">
        <f t="array" ref="D26">SUM(IF(F26:AT26="R",1,0))</f>
        <v>0</v>
      </c>
      <c r="E26" s="11">
        <f t="array" ref="E26">SUM(IF(F26:AT26="R2",1,0))</f>
        <v>0</v>
      </c>
    </row>
    <row r="27">
      <c r="A27" s="20" t="s">
        <v>231</v>
      </c>
      <c r="B27" s="10">
        <f t="shared" si="5"/>
        <v>4</v>
      </c>
      <c r="C27" s="10">
        <f t="shared" si="2"/>
        <v>2</v>
      </c>
      <c r="D27" s="11">
        <f t="array" ref="D27">SUM(IF(F27:AT27="R",1,0))</f>
        <v>2</v>
      </c>
      <c r="E27" s="11">
        <f t="array" ref="E27">SUM(IF(F27:AT27="R2",1,0))</f>
        <v>2</v>
      </c>
      <c r="I27" s="17">
        <v>1.0</v>
      </c>
      <c r="K27" s="16"/>
      <c r="L27" s="16"/>
      <c r="M27" s="16"/>
      <c r="N27" s="16"/>
      <c r="P27" s="17" t="s">
        <v>40</v>
      </c>
      <c r="Q27" s="16"/>
      <c r="R27" s="17" t="s">
        <v>39</v>
      </c>
      <c r="T27" s="17" t="s">
        <v>39</v>
      </c>
      <c r="AB27" s="17">
        <v>1.0</v>
      </c>
      <c r="AI27" s="17" t="s">
        <v>40</v>
      </c>
    </row>
    <row r="28">
      <c r="A28" s="20" t="s">
        <v>202</v>
      </c>
      <c r="B28" s="10">
        <f t="shared" si="5"/>
        <v>4</v>
      </c>
      <c r="C28" s="10">
        <f t="shared" si="2"/>
        <v>2</v>
      </c>
      <c r="D28" s="11">
        <f t="array" ref="D28">SUM(IF(F28:AT28="R",1,0))</f>
        <v>2</v>
      </c>
      <c r="E28" s="11">
        <f t="array" ref="E28">SUM(IF(F28:AT28="R2",1,0))</f>
        <v>2</v>
      </c>
      <c r="H28" s="17" t="s">
        <v>39</v>
      </c>
      <c r="I28" s="17" t="s">
        <v>40</v>
      </c>
      <c r="K28" s="16"/>
      <c r="L28" s="16"/>
      <c r="M28" s="16"/>
      <c r="N28" s="16"/>
      <c r="Q28" s="16"/>
      <c r="R28" s="17" t="s">
        <v>40</v>
      </c>
      <c r="V28" s="17" t="s">
        <v>39</v>
      </c>
      <c r="Z28" s="17">
        <v>1.0</v>
      </c>
      <c r="AI28" s="17">
        <v>1.0</v>
      </c>
    </row>
    <row r="29">
      <c r="A29" s="20" t="s">
        <v>179</v>
      </c>
      <c r="B29" s="10"/>
      <c r="C29" s="10">
        <f t="shared" si="2"/>
        <v>2</v>
      </c>
      <c r="D29" s="11">
        <f t="array" ref="D29">SUM(IF(F29:AT29="R",1,0))</f>
        <v>2</v>
      </c>
      <c r="E29" s="11">
        <f t="array" ref="E29">SUM(IF(F29:AT29="R2",1,0))</f>
        <v>2</v>
      </c>
      <c r="F29" s="16"/>
      <c r="G29" s="16"/>
      <c r="H29" s="17">
        <v>1.0</v>
      </c>
      <c r="L29" s="60"/>
      <c r="M29" s="60"/>
      <c r="N29" s="60"/>
      <c r="Q29" s="16"/>
      <c r="R29" s="17">
        <v>1.0</v>
      </c>
      <c r="T29" s="17" t="s">
        <v>40</v>
      </c>
      <c r="Z29" s="17" t="s">
        <v>40</v>
      </c>
      <c r="AB29" s="17" t="s">
        <v>39</v>
      </c>
      <c r="AI29" s="17" t="s">
        <v>39</v>
      </c>
    </row>
    <row r="30">
      <c r="A30" s="17" t="s">
        <v>68</v>
      </c>
      <c r="B30" s="10">
        <f>SUM(B4:B11)</f>
        <v>15</v>
      </c>
      <c r="C30" s="10">
        <f t="shared" si="2"/>
        <v>41</v>
      </c>
      <c r="D30" s="11"/>
      <c r="E30" s="11"/>
      <c r="F30" s="28">
        <f t="shared" ref="F30:AT30" si="6">SUM(F3:F29)</f>
        <v>1</v>
      </c>
      <c r="G30" s="28">
        <f t="shared" si="6"/>
        <v>1</v>
      </c>
      <c r="H30" s="28">
        <f t="shared" si="6"/>
        <v>1</v>
      </c>
      <c r="I30" s="28">
        <f t="shared" si="6"/>
        <v>1</v>
      </c>
      <c r="J30" s="28">
        <f t="shared" si="6"/>
        <v>1</v>
      </c>
      <c r="K30" s="28">
        <f t="shared" si="6"/>
        <v>1</v>
      </c>
      <c r="L30" s="28">
        <f t="shared" si="6"/>
        <v>1</v>
      </c>
      <c r="M30" s="28">
        <f t="shared" si="6"/>
        <v>1</v>
      </c>
      <c r="N30" s="28">
        <f t="shared" si="6"/>
        <v>1</v>
      </c>
      <c r="O30" s="28">
        <f t="shared" si="6"/>
        <v>1</v>
      </c>
      <c r="P30" s="28">
        <f t="shared" si="6"/>
        <v>1</v>
      </c>
      <c r="Q30" s="28">
        <f t="shared" si="6"/>
        <v>1</v>
      </c>
      <c r="R30" s="28">
        <f t="shared" si="6"/>
        <v>1</v>
      </c>
      <c r="S30" s="28">
        <f t="shared" si="6"/>
        <v>1</v>
      </c>
      <c r="T30" s="28">
        <f t="shared" si="6"/>
        <v>1</v>
      </c>
      <c r="U30" s="28">
        <f t="shared" si="6"/>
        <v>1</v>
      </c>
      <c r="V30" s="28">
        <f t="shared" si="6"/>
        <v>1</v>
      </c>
      <c r="W30" s="28">
        <f t="shared" si="6"/>
        <v>1</v>
      </c>
      <c r="X30" s="28">
        <f t="shared" si="6"/>
        <v>1</v>
      </c>
      <c r="Y30" s="28">
        <f t="shared" si="6"/>
        <v>1</v>
      </c>
      <c r="Z30" s="28">
        <f t="shared" si="6"/>
        <v>1</v>
      </c>
      <c r="AA30" s="28">
        <f t="shared" si="6"/>
        <v>1</v>
      </c>
      <c r="AB30" s="28">
        <f t="shared" si="6"/>
        <v>1</v>
      </c>
      <c r="AC30" s="28">
        <f t="shared" si="6"/>
        <v>1</v>
      </c>
      <c r="AD30" s="28">
        <f t="shared" si="6"/>
        <v>1</v>
      </c>
      <c r="AE30" s="28">
        <f t="shared" si="6"/>
        <v>1</v>
      </c>
      <c r="AF30" s="28">
        <f t="shared" si="6"/>
        <v>1</v>
      </c>
      <c r="AG30" s="28">
        <f t="shared" si="6"/>
        <v>1</v>
      </c>
      <c r="AH30" s="28">
        <f t="shared" si="6"/>
        <v>1</v>
      </c>
      <c r="AI30" s="28">
        <f t="shared" si="6"/>
        <v>1</v>
      </c>
      <c r="AJ30" s="28">
        <f t="shared" si="6"/>
        <v>1</v>
      </c>
      <c r="AK30" s="28">
        <f t="shared" si="6"/>
        <v>1</v>
      </c>
      <c r="AL30" s="28">
        <f t="shared" si="6"/>
        <v>1</v>
      </c>
      <c r="AM30" s="28">
        <f t="shared" si="6"/>
        <v>1</v>
      </c>
      <c r="AN30" s="28">
        <f t="shared" si="6"/>
        <v>1</v>
      </c>
      <c r="AO30" s="28">
        <f t="shared" si="6"/>
        <v>1</v>
      </c>
      <c r="AP30" s="28">
        <f t="shared" si="6"/>
        <v>1</v>
      </c>
      <c r="AQ30" s="28">
        <f t="shared" si="6"/>
        <v>1</v>
      </c>
      <c r="AR30" s="28">
        <f t="shared" si="6"/>
        <v>1</v>
      </c>
      <c r="AS30" s="28">
        <f t="shared" si="6"/>
        <v>1</v>
      </c>
      <c r="AT30" s="28">
        <f t="shared" si="6"/>
        <v>1</v>
      </c>
    </row>
    <row r="31">
      <c r="A31" s="17" t="s">
        <v>69</v>
      </c>
      <c r="B31" s="28">
        <f t="shared" ref="B31:B32" si="7">SUM(F31:AR31)</f>
        <v>39</v>
      </c>
      <c r="C31" s="10">
        <f t="shared" si="2"/>
        <v>41</v>
      </c>
      <c r="F31" s="11">
        <f t="array" ref="F31">SUM(IF(F3:F29="R",1,0))</f>
        <v>1</v>
      </c>
      <c r="G31" s="11">
        <f t="array" ref="G31">SUM(IF(G3:G29="R",1,0))</f>
        <v>1</v>
      </c>
      <c r="H31" s="11">
        <f t="array" ref="H31">SUM(IF(H3:H29="R",1,0))</f>
        <v>1</v>
      </c>
      <c r="I31" s="11">
        <f t="array" ref="I31">SUM(IF(I3:I29="R",1,0))</f>
        <v>1</v>
      </c>
      <c r="J31" s="11">
        <f t="array" ref="J31">SUM(IF(J3:J29="R",1,0))</f>
        <v>1</v>
      </c>
      <c r="K31" s="11">
        <f t="array" ref="K31">SUM(IF(K3:K29="R",1,0))</f>
        <v>1</v>
      </c>
      <c r="L31" s="11">
        <f t="array" ref="L31">SUM(IF(L3:L29="R",1,0))</f>
        <v>1</v>
      </c>
      <c r="M31" s="11">
        <f t="array" ref="M31">SUM(IF(M3:M29="R",1,0))</f>
        <v>1</v>
      </c>
      <c r="N31" s="11">
        <f t="array" ref="N31">SUM(IF(N3:N29="R",1,0))</f>
        <v>1</v>
      </c>
      <c r="O31" s="11">
        <f t="array" ref="O31">SUM(IF(O3:O29="R",1,0))</f>
        <v>1</v>
      </c>
      <c r="P31" s="11">
        <f t="array" ref="P31">SUM(IF(P3:P29="R",1,0))</f>
        <v>1</v>
      </c>
      <c r="Q31" s="11">
        <f t="array" ref="Q31">SUM(IF(Q3:Q29="R",1,0))</f>
        <v>1</v>
      </c>
      <c r="R31" s="11">
        <f t="array" ref="R31">SUM(IF(R3:R29="R",1,0))</f>
        <v>1</v>
      </c>
      <c r="S31" s="11">
        <f t="array" ref="S31">SUM(IF(S3:S29="R",1,0))</f>
        <v>1</v>
      </c>
      <c r="T31" s="11">
        <f t="array" ref="T31">SUM(IF(T3:T29="R",1,0))</f>
        <v>1</v>
      </c>
      <c r="U31" s="11">
        <f t="array" ref="U31">SUM(IF(U3:U29="R",1,0))</f>
        <v>1</v>
      </c>
      <c r="V31" s="11">
        <f t="array" ref="V31">SUM(IF(V3:V29="R",1,0))</f>
        <v>1</v>
      </c>
      <c r="W31" s="11">
        <f t="array" ref="W31">SUM(IF(W3:W29="R",1,0))</f>
        <v>1</v>
      </c>
      <c r="X31" s="11">
        <f t="array" ref="X31">SUM(IF(X3:X29="R",1,0))</f>
        <v>1</v>
      </c>
      <c r="Y31" s="11">
        <f t="array" ref="Y31">SUM(IF(Y3:Y29="R",1,0))</f>
        <v>1</v>
      </c>
      <c r="Z31" s="11">
        <f t="array" ref="Z31">SUM(IF(Z3:Z29="R",1,0))</f>
        <v>1</v>
      </c>
      <c r="AA31" s="11">
        <f t="array" ref="AA31">SUM(IF(AA3:AA29="R",1,0))</f>
        <v>1</v>
      </c>
      <c r="AB31" s="11">
        <f t="array" ref="AB31">SUM(IF(AB3:AB29="R",1,0))</f>
        <v>1</v>
      </c>
      <c r="AC31" s="11">
        <f t="array" ref="AC31">SUM(IF(AC3:AC29="R",1,0))</f>
        <v>1</v>
      </c>
      <c r="AD31" s="11">
        <f t="array" ref="AD31">SUM(IF(AD3:AD29="R",1,0))</f>
        <v>1</v>
      </c>
      <c r="AE31" s="11">
        <f t="array" ref="AE31">SUM(IF(AE3:AE29="R",1,0))</f>
        <v>1</v>
      </c>
      <c r="AF31" s="11">
        <f t="array" ref="AF31">SUM(IF(AF3:AF29="R",1,0))</f>
        <v>1</v>
      </c>
      <c r="AG31" s="11">
        <f t="array" ref="AG31">SUM(IF(AG3:AG29="R",1,0))</f>
        <v>1</v>
      </c>
      <c r="AH31" s="11">
        <f t="array" ref="AH31">SUM(IF(AH3:AH29="R",1,0))</f>
        <v>1</v>
      </c>
      <c r="AI31" s="11">
        <f t="array" ref="AI31">SUM(IF(AI3:AI29="R",1,0))</f>
        <v>1</v>
      </c>
      <c r="AJ31" s="11">
        <f t="array" ref="AJ31">SUM(IF(AJ3:AJ29="R",1,0))</f>
        <v>1</v>
      </c>
      <c r="AK31" s="11">
        <f t="array" ref="AK31">SUM(IF(AK3:AK29="R",1,0))</f>
        <v>1</v>
      </c>
      <c r="AL31" s="11">
        <f t="array" ref="AL31">SUM(IF(AL3:AL29="R",1,0))</f>
        <v>1</v>
      </c>
      <c r="AM31" s="11">
        <f t="array" ref="AM31">SUM(IF(AM3:AM29="R",1,0))</f>
        <v>1</v>
      </c>
      <c r="AN31" s="11">
        <f t="array" ref="AN31">SUM(IF(AN3:AN29="R",1,0))</f>
        <v>1</v>
      </c>
      <c r="AO31" s="11">
        <f t="array" ref="AO31">SUM(IF(AO3:AO29="R",1,0))</f>
        <v>1</v>
      </c>
      <c r="AP31" s="11">
        <f t="array" ref="AP31">SUM(IF(AP3:AP29="R",1,0))</f>
        <v>1</v>
      </c>
      <c r="AQ31" s="11">
        <f t="array" ref="AQ31">SUM(IF(AQ3:AQ29="R",1,0))</f>
        <v>1</v>
      </c>
      <c r="AR31" s="11">
        <f t="array" ref="AR31">SUM(IF(AR3:AR29="R",1,0))</f>
        <v>1</v>
      </c>
      <c r="AS31" s="11">
        <f t="array" ref="AS31">SUM(IF(AS3:AS29="R",1,0))</f>
        <v>1</v>
      </c>
      <c r="AT31" s="11">
        <f t="array" ref="AT31">SUM(IF(AT3:AT29="R",1,0))</f>
        <v>1</v>
      </c>
      <c r="AU31" s="11"/>
    </row>
    <row r="32">
      <c r="A32" s="17" t="s">
        <v>70</v>
      </c>
      <c r="B32" s="28">
        <f t="shared" si="7"/>
        <v>39</v>
      </c>
      <c r="C32" s="10">
        <f t="shared" si="2"/>
        <v>41</v>
      </c>
      <c r="F32" s="11">
        <f t="array" ref="F32">SUM(IF(F3:F29="R2",1,0))</f>
        <v>1</v>
      </c>
      <c r="G32" s="11">
        <f t="array" ref="G32">SUM(IF(G3:G29="R2",1,0))</f>
        <v>1</v>
      </c>
      <c r="H32" s="11">
        <f t="array" ref="H32">SUM(IF(H3:H29="R2",1,0))</f>
        <v>1</v>
      </c>
      <c r="I32" s="11">
        <f t="array" ref="I32">SUM(IF(I3:I29="R2",1,0))</f>
        <v>1</v>
      </c>
      <c r="J32" s="11">
        <f t="array" ref="J32">SUM(IF(J3:J29="R2",1,0))</f>
        <v>1</v>
      </c>
      <c r="K32" s="11">
        <f t="array" ref="K32">SUM(IF(K3:K29="R2",1,0))</f>
        <v>1</v>
      </c>
      <c r="L32" s="11">
        <f t="array" ref="L32">SUM(IF(L3:L29="R2",1,0))</f>
        <v>1</v>
      </c>
      <c r="M32" s="11">
        <f t="array" ref="M32">SUM(IF(M3:M29="R2",1,0))</f>
        <v>1</v>
      </c>
      <c r="N32" s="11">
        <f t="array" ref="N32">SUM(IF(N3:N29="R2",1,0))</f>
        <v>1</v>
      </c>
      <c r="O32" s="11">
        <f t="array" ref="O32">SUM(IF(O3:O29="R2",1,0))</f>
        <v>1</v>
      </c>
      <c r="P32" s="11">
        <f t="array" ref="P32">SUM(IF(P3:P29="R2",1,0))</f>
        <v>1</v>
      </c>
      <c r="Q32" s="11">
        <f t="array" ref="Q32">SUM(IF(Q3:Q29="R2",1,0))</f>
        <v>1</v>
      </c>
      <c r="R32" s="11">
        <f t="array" ref="R32">SUM(IF(R3:R29="R2",1,0))</f>
        <v>1</v>
      </c>
      <c r="S32" s="11">
        <f t="array" ref="S32">SUM(IF(S3:S29="R2",1,0))</f>
        <v>1</v>
      </c>
      <c r="T32" s="11">
        <f t="array" ref="T32">SUM(IF(T3:T29="R2",1,0))</f>
        <v>1</v>
      </c>
      <c r="U32" s="11">
        <f t="array" ref="U32">SUM(IF(U3:U29="R2",1,0))</f>
        <v>1</v>
      </c>
      <c r="V32" s="11">
        <f t="array" ref="V32">SUM(IF(V3:V29="R2",1,0))</f>
        <v>1</v>
      </c>
      <c r="W32" s="11">
        <f t="array" ref="W32">SUM(IF(W3:W29="R2",1,0))</f>
        <v>1</v>
      </c>
      <c r="X32" s="11">
        <f t="array" ref="X32">SUM(IF(X3:X29="R2",1,0))</f>
        <v>1</v>
      </c>
      <c r="Y32" s="11">
        <f t="array" ref="Y32">SUM(IF(Y3:Y29="R2",1,0))</f>
        <v>1</v>
      </c>
      <c r="Z32" s="11">
        <f t="array" ref="Z32">SUM(IF(Z3:Z29="R2",1,0))</f>
        <v>1</v>
      </c>
      <c r="AA32" s="11">
        <f t="array" ref="AA32">SUM(IF(AA3:AA29="R2",1,0))</f>
        <v>1</v>
      </c>
      <c r="AB32" s="11">
        <f t="array" ref="AB32">SUM(IF(AB3:AB29="R2",1,0))</f>
        <v>1</v>
      </c>
      <c r="AC32" s="11">
        <f t="array" ref="AC32">SUM(IF(AC3:AC29="R2",1,0))</f>
        <v>1</v>
      </c>
      <c r="AD32" s="11">
        <f t="array" ref="AD32">SUM(IF(AD3:AD29="R2",1,0))</f>
        <v>1</v>
      </c>
      <c r="AE32" s="11">
        <f t="array" ref="AE32">SUM(IF(AE3:AE29="R2",1,0))</f>
        <v>1</v>
      </c>
      <c r="AF32" s="11">
        <f t="array" ref="AF32">SUM(IF(AF3:AF29="R2",1,0))</f>
        <v>1</v>
      </c>
      <c r="AG32" s="11">
        <f t="array" ref="AG32">SUM(IF(AG3:AG29="R2",1,0))</f>
        <v>1</v>
      </c>
      <c r="AH32" s="11">
        <f t="array" ref="AH32">SUM(IF(AH3:AH29="R2",1,0))</f>
        <v>1</v>
      </c>
      <c r="AI32" s="11">
        <f t="array" ref="AI32">SUM(IF(AI3:AI29="R2",1,0))</f>
        <v>1</v>
      </c>
      <c r="AJ32" s="11">
        <f t="array" ref="AJ32">SUM(IF(AJ3:AJ29="R2",1,0))</f>
        <v>1</v>
      </c>
      <c r="AK32" s="11">
        <f t="array" ref="AK32">SUM(IF(AK3:AK29="R2",1,0))</f>
        <v>1</v>
      </c>
      <c r="AL32" s="11">
        <f t="array" ref="AL32">SUM(IF(AL3:AL29="R2",1,0))</f>
        <v>1</v>
      </c>
      <c r="AM32" s="11">
        <f t="array" ref="AM32">SUM(IF(AM3:AM29="R2",1,0))</f>
        <v>1</v>
      </c>
      <c r="AN32" s="11">
        <f t="array" ref="AN32">SUM(IF(AN3:AN29="R2",1,0))</f>
        <v>1</v>
      </c>
      <c r="AO32" s="11">
        <f t="array" ref="AO32">SUM(IF(AO3:AO29="R2",1,0))</f>
        <v>1</v>
      </c>
      <c r="AP32" s="11">
        <f t="array" ref="AP32">SUM(IF(AP3:AP29="R2",1,0))</f>
        <v>1</v>
      </c>
      <c r="AQ32" s="11">
        <f t="array" ref="AQ32">SUM(IF(AQ3:AQ29="R2",1,0))</f>
        <v>1</v>
      </c>
      <c r="AR32" s="11">
        <f t="array" ref="AR32">SUM(IF(AR3:AR29="R2",1,0))</f>
        <v>1</v>
      </c>
      <c r="AS32" s="11">
        <f t="array" ref="AS32">SUM(IF(AS3:AS29="R2",1,0))</f>
        <v>1</v>
      </c>
      <c r="AT32" s="11">
        <f t="array" ref="AT32">SUM(IF(AT3:AT29="R2",1,0))</f>
        <v>1</v>
      </c>
      <c r="AU32" s="11"/>
    </row>
    <row r="33">
      <c r="E33" s="46" t="s">
        <v>71</v>
      </c>
      <c r="F33" s="29" t="str">
        <f t="shared" ref="F33:AT33" si="8">IFERROR(INDEX($A$3:$A$29, MATCH(1, INDEX($F$3:$AT$29, 0, MATCH(F2, $F$2:$AT$2, 0)), 0)), INDEX($A$3:$A$29, MATCH(1, INDEX($F$3:$AT$29, 0, MATCH(F2&amp;" AM", $F$2:$AT$2, 0)), 0)))</f>
        <v>3SG YAOCHEN</v>
      </c>
      <c r="G33" s="29" t="str">
        <f t="shared" si="8"/>
        <v>PTE HAO QIAN</v>
      </c>
      <c r="H33" s="29" t="str">
        <f t="shared" si="8"/>
        <v>PTE MICHAEL</v>
      </c>
      <c r="I33" s="29" t="str">
        <f t="shared" si="8"/>
        <v>PTE INDRA</v>
      </c>
      <c r="J33" s="29" t="str">
        <f t="shared" si="8"/>
        <v>PTE ISAAC</v>
      </c>
      <c r="K33" s="29" t="str">
        <f t="shared" si="8"/>
        <v>PTE DEXTER</v>
      </c>
      <c r="L33" s="29" t="str">
        <f t="shared" si="8"/>
        <v>LCP AMIN</v>
      </c>
      <c r="M33" s="29" t="str">
        <f t="shared" si="8"/>
        <v>REC PARAM</v>
      </c>
      <c r="N33" s="29" t="str">
        <f t="shared" si="8"/>
        <v>PTE JASPER</v>
      </c>
      <c r="O33" s="29" t="str">
        <f t="shared" si="8"/>
        <v>PTE AFIF</v>
      </c>
      <c r="P33" s="29" t="str">
        <f t="shared" si="8"/>
        <v>PTE HAO QIAN</v>
      </c>
      <c r="Q33" s="29" t="str">
        <f t="shared" si="8"/>
        <v>LCP GLADWYN</v>
      </c>
      <c r="R33" s="29" t="str">
        <f t="shared" si="8"/>
        <v>PTE MICHAEL</v>
      </c>
      <c r="S33" s="29" t="str">
        <f t="shared" si="8"/>
        <v>PTE HAQIMI</v>
      </c>
      <c r="T33" s="29" t="str">
        <f t="shared" si="8"/>
        <v>PTE DYLAN</v>
      </c>
      <c r="U33" s="29" t="str">
        <f t="shared" si="8"/>
        <v>REC ASH</v>
      </c>
      <c r="V33" s="29" t="str">
        <f t="shared" si="8"/>
        <v>REC RUI FENG</v>
      </c>
      <c r="W33" s="29" t="str">
        <f t="shared" si="8"/>
        <v>LCP AMIRUL</v>
      </c>
      <c r="X33" s="29" t="str">
        <f t="shared" si="8"/>
        <v>PTE REUVEN</v>
      </c>
      <c r="Y33" s="29" t="str">
        <f t="shared" si="8"/>
        <v>LCP EZRA</v>
      </c>
      <c r="Z33" s="29" t="str">
        <f t="shared" si="8"/>
        <v>PTE KRISHAN</v>
      </c>
      <c r="AA33" s="29" t="str">
        <f t="shared" si="8"/>
        <v>LCP AMIRUL</v>
      </c>
      <c r="AB33" s="29" t="str">
        <f t="shared" si="8"/>
        <v>PTE INDRA</v>
      </c>
      <c r="AC33" s="29" t="str">
        <f t="shared" si="8"/>
        <v>PTE GABRIEL</v>
      </c>
      <c r="AD33" s="29" t="str">
        <f t="shared" si="8"/>
        <v>PTE ISAAC</v>
      </c>
      <c r="AE33" s="29" t="str">
        <f t="shared" si="8"/>
        <v>PTE HAQIMI</v>
      </c>
      <c r="AF33" s="29" t="str">
        <f t="shared" si="8"/>
        <v>LCP FIRMAN</v>
      </c>
      <c r="AG33" s="29" t="str">
        <f t="shared" si="8"/>
        <v>PTE JASPER</v>
      </c>
      <c r="AH33" s="29" t="str">
        <f t="shared" si="8"/>
        <v>LCP EZRA</v>
      </c>
      <c r="AI33" s="29" t="str">
        <f t="shared" si="8"/>
        <v>PTE KRISHAN</v>
      </c>
      <c r="AJ33" s="29" t="str">
        <f t="shared" si="8"/>
        <v>PTE AZHARI</v>
      </c>
      <c r="AK33" s="29" t="str">
        <f t="shared" si="8"/>
        <v>LCP FIRMAN</v>
      </c>
      <c r="AL33" s="29" t="str">
        <f t="shared" si="8"/>
        <v>LCP ADAM</v>
      </c>
      <c r="AM33" s="29" t="str">
        <f t="shared" si="8"/>
        <v>LCP ZI XUAN</v>
      </c>
      <c r="AN33" s="29" t="str">
        <f t="shared" si="8"/>
        <v>PTE AZHARI</v>
      </c>
      <c r="AO33" s="29" t="str">
        <f t="shared" si="8"/>
        <v>PTE ABBAS</v>
      </c>
      <c r="AP33" s="29" t="str">
        <f t="shared" si="8"/>
        <v>LCP GLADWYN</v>
      </c>
      <c r="AQ33" s="29" t="str">
        <f t="shared" si="8"/>
        <v>3SG YAOCHEN</v>
      </c>
      <c r="AR33" s="29" t="str">
        <f t="shared" si="8"/>
        <v>LCP AMIN</v>
      </c>
      <c r="AS33" s="29" t="str">
        <f t="shared" si="8"/>
        <v>LCP ZI XUAN</v>
      </c>
      <c r="AT33" s="29" t="str">
        <f t="shared" si="8"/>
        <v>PTE DEXTER</v>
      </c>
      <c r="AU33" s="29"/>
    </row>
    <row r="34">
      <c r="A34" s="17" t="s">
        <v>232</v>
      </c>
      <c r="C34" s="49">
        <f>COUNTA($F$1:$AT$1)</f>
        <v>41</v>
      </c>
      <c r="E34" s="46" t="s">
        <v>72</v>
      </c>
      <c r="F34" s="28" t="str">
        <f t="shared" ref="F34:AT34" si="9">INDEX($A$3:$A$29, MATCH("R", INDEX($F$3:$AT$29, 0, MATCH(F2, $F$2:$AT$2, 0)), 0))</f>
        <v>REC PARAM</v>
      </c>
      <c r="G34" s="28" t="str">
        <f t="shared" si="9"/>
        <v>PTE DEXTER</v>
      </c>
      <c r="H34" s="28" t="str">
        <f t="shared" si="9"/>
        <v>PTE KRISHAN</v>
      </c>
      <c r="I34" s="28" t="str">
        <f t="shared" si="9"/>
        <v>LCP ADAM</v>
      </c>
      <c r="J34" s="28" t="str">
        <f t="shared" si="9"/>
        <v>LCP AMIRUL</v>
      </c>
      <c r="K34" s="28" t="str">
        <f t="shared" si="9"/>
        <v>LCP GLADWYN</v>
      </c>
      <c r="L34" s="28" t="str">
        <f t="shared" si="9"/>
        <v>PTE JASPER</v>
      </c>
      <c r="M34" s="28" t="str">
        <f t="shared" si="9"/>
        <v>PTE REUVEN</v>
      </c>
      <c r="N34" s="28" t="str">
        <f t="shared" si="9"/>
        <v>PTE ISAAC</v>
      </c>
      <c r="O34" s="28" t="str">
        <f t="shared" si="9"/>
        <v>PTE REUVEN</v>
      </c>
      <c r="P34" s="28" t="str">
        <f t="shared" si="9"/>
        <v>LCP FIRMAN</v>
      </c>
      <c r="Q34" s="28" t="str">
        <f t="shared" si="9"/>
        <v>LCP AMIN</v>
      </c>
      <c r="R34" s="28" t="str">
        <f t="shared" si="9"/>
        <v>PTE INDRA</v>
      </c>
      <c r="S34" s="28" t="str">
        <f t="shared" si="9"/>
        <v>LCP ZI XUAN</v>
      </c>
      <c r="T34" s="28" t="str">
        <f t="shared" si="9"/>
        <v>PTE INDRA</v>
      </c>
      <c r="U34" s="28" t="str">
        <f t="shared" si="9"/>
        <v>PTE GABRIEL</v>
      </c>
      <c r="V34" s="28" t="str">
        <f t="shared" si="9"/>
        <v>PTE KRISHAN</v>
      </c>
      <c r="W34" s="28" t="str">
        <f t="shared" si="9"/>
        <v>LCP EZRA</v>
      </c>
      <c r="X34" s="28" t="str">
        <f t="shared" si="9"/>
        <v>PTE DYLAN</v>
      </c>
      <c r="Y34" s="28" t="str">
        <f t="shared" si="9"/>
        <v>PTE AFIF</v>
      </c>
      <c r="Z34" s="28" t="str">
        <f t="shared" si="9"/>
        <v>REC ASH</v>
      </c>
      <c r="AA34" s="28" t="str">
        <f t="shared" si="9"/>
        <v>LCP ADAM</v>
      </c>
      <c r="AB34" s="28" t="str">
        <f t="shared" si="9"/>
        <v>PTE MICHAEL</v>
      </c>
      <c r="AC34" s="28" t="str">
        <f t="shared" si="9"/>
        <v>LCP AMIRUL</v>
      </c>
      <c r="AD34" s="28" t="str">
        <f t="shared" si="9"/>
        <v>PTE JASPER</v>
      </c>
      <c r="AE34" s="28" t="str">
        <f t="shared" si="9"/>
        <v>PTE ABBAS</v>
      </c>
      <c r="AF34" s="28" t="str">
        <f t="shared" si="9"/>
        <v>PTE DYLAN</v>
      </c>
      <c r="AG34" s="28" t="str">
        <f t="shared" si="9"/>
        <v>3SG YAOCHEN</v>
      </c>
      <c r="AH34" s="28" t="str">
        <f t="shared" si="9"/>
        <v>LCP FIRMAN</v>
      </c>
      <c r="AI34" s="28" t="str">
        <f t="shared" si="9"/>
        <v>PTE MICHAEL</v>
      </c>
      <c r="AJ34" s="28" t="str">
        <f t="shared" si="9"/>
        <v>PTE AFIF</v>
      </c>
      <c r="AK34" s="28" t="str">
        <f t="shared" si="9"/>
        <v>3SG YAOCHEN</v>
      </c>
      <c r="AL34" s="28" t="str">
        <f t="shared" si="9"/>
        <v>PTE AZHARI</v>
      </c>
      <c r="AM34" s="28" t="str">
        <f t="shared" si="9"/>
        <v>LCP GLADWYN</v>
      </c>
      <c r="AN34" s="28" t="str">
        <f t="shared" si="9"/>
        <v>PTE GABRIEL</v>
      </c>
      <c r="AO34" s="28" t="str">
        <f t="shared" si="9"/>
        <v>PTE HAQIMI</v>
      </c>
      <c r="AP34" s="28" t="str">
        <f t="shared" si="9"/>
        <v>LCP ZI XUAN</v>
      </c>
      <c r="AQ34" s="28" t="str">
        <f t="shared" si="9"/>
        <v>PTE AZHARI</v>
      </c>
      <c r="AR34" s="28" t="str">
        <f t="shared" si="9"/>
        <v>PTE ISAAC</v>
      </c>
      <c r="AS34" s="28" t="str">
        <f t="shared" si="9"/>
        <v>LCP EZRA</v>
      </c>
      <c r="AT34" s="28" t="str">
        <f t="shared" si="9"/>
        <v>LCP AMIN</v>
      </c>
    </row>
    <row r="35">
      <c r="A35" s="17" t="s">
        <v>154</v>
      </c>
      <c r="C35" s="50">
        <f>SUBTOTAL(103, $A$3:$A$29)
</f>
        <v>25</v>
      </c>
      <c r="E35" s="46" t="s">
        <v>70</v>
      </c>
      <c r="F35" s="30" t="str">
        <f t="shared" ref="F35:AT35" si="10">INDEX($A$3:$A$29, MATCH("R2", INDEX($F$3:$AT$29, 0, MATCH(F2, $F$2:$AT$2, 0)), 0))</f>
        <v>LCP GLADWYN</v>
      </c>
      <c r="G35" s="30" t="str">
        <f t="shared" si="10"/>
        <v>LCP ZI XUAN</v>
      </c>
      <c r="H35" s="30" t="str">
        <f t="shared" si="10"/>
        <v>PTE ISAAC</v>
      </c>
      <c r="I35" s="30" t="str">
        <f t="shared" si="10"/>
        <v>PTE KRISHAN</v>
      </c>
      <c r="J35" s="30" t="str">
        <f t="shared" si="10"/>
        <v>PTE HAQIMI</v>
      </c>
      <c r="K35" s="30" t="str">
        <f t="shared" si="10"/>
        <v>LCP AMIRUL</v>
      </c>
      <c r="L35" s="30" t="str">
        <f t="shared" si="10"/>
        <v>PTE DEXTER</v>
      </c>
      <c r="M35" s="30" t="str">
        <f t="shared" si="10"/>
        <v>LCP AMIN</v>
      </c>
      <c r="N35" s="30" t="str">
        <f t="shared" si="10"/>
        <v>LCP AMIN</v>
      </c>
      <c r="O35" s="30" t="str">
        <f t="shared" si="10"/>
        <v>3SG YAOCHEN</v>
      </c>
      <c r="P35" s="30" t="str">
        <f t="shared" si="10"/>
        <v>PTE INDRA</v>
      </c>
      <c r="Q35" s="30" t="str">
        <f t="shared" si="10"/>
        <v>LCP EZRA</v>
      </c>
      <c r="R35" s="30" t="str">
        <f t="shared" si="10"/>
        <v>PTE KRISHAN</v>
      </c>
      <c r="S35" s="30" t="str">
        <f t="shared" si="10"/>
        <v>PTE AZHARI</v>
      </c>
      <c r="T35" s="30" t="str">
        <f t="shared" si="10"/>
        <v>PTE MICHAEL</v>
      </c>
      <c r="U35" s="30" t="str">
        <f t="shared" si="10"/>
        <v>LCP AMIRUL</v>
      </c>
      <c r="V35" s="30" t="str">
        <f t="shared" si="10"/>
        <v>PTE DYLAN</v>
      </c>
      <c r="W35" s="30" t="str">
        <f t="shared" si="10"/>
        <v>PTE JASPER</v>
      </c>
      <c r="X35" s="30" t="str">
        <f t="shared" si="10"/>
        <v>PTE GABRIEL</v>
      </c>
      <c r="Y35" s="30" t="str">
        <f t="shared" si="10"/>
        <v>LCP ADAM</v>
      </c>
      <c r="Z35" s="30" t="str">
        <f t="shared" si="10"/>
        <v>PTE MICHAEL</v>
      </c>
      <c r="AA35" s="30" t="str">
        <f t="shared" si="10"/>
        <v>PTE AFIF</v>
      </c>
      <c r="AB35" s="30" t="str">
        <f t="shared" si="10"/>
        <v>LCP FIRMAN</v>
      </c>
      <c r="AC35" s="30" t="str">
        <f t="shared" si="10"/>
        <v>PTE HAQIMI</v>
      </c>
      <c r="AD35" s="30" t="str">
        <f t="shared" si="10"/>
        <v>LCP AMIN</v>
      </c>
      <c r="AE35" s="30" t="str">
        <f t="shared" si="10"/>
        <v>PTE REUVEN</v>
      </c>
      <c r="AF35" s="30" t="str">
        <f t="shared" si="10"/>
        <v>LCP ADAM</v>
      </c>
      <c r="AG35" s="30" t="str">
        <f t="shared" si="10"/>
        <v>PTE ISAAC</v>
      </c>
      <c r="AH35" s="30" t="str">
        <f t="shared" si="10"/>
        <v>PTE DYLAN</v>
      </c>
      <c r="AI35" s="30" t="str">
        <f t="shared" si="10"/>
        <v>PTE INDRA</v>
      </c>
      <c r="AJ35" s="30" t="str">
        <f t="shared" si="10"/>
        <v>LCP EZRA</v>
      </c>
      <c r="AK35" s="30" t="str">
        <f t="shared" si="10"/>
        <v>PTE REUVEN</v>
      </c>
      <c r="AL35" s="30" t="str">
        <f t="shared" si="10"/>
        <v>PTE HAQIMI</v>
      </c>
      <c r="AM35" s="30" t="str">
        <f t="shared" si="10"/>
        <v>PTE JASPER</v>
      </c>
      <c r="AN35" s="30" t="str">
        <f t="shared" si="10"/>
        <v>LCP FIRMAN</v>
      </c>
      <c r="AO35" s="30" t="str">
        <f t="shared" si="10"/>
        <v>3SG YAOCHEN</v>
      </c>
      <c r="AP35" s="30" t="str">
        <f t="shared" si="10"/>
        <v>PTE AFIF</v>
      </c>
      <c r="AQ35" s="30" t="str">
        <f t="shared" si="10"/>
        <v>PTE DEXTER</v>
      </c>
      <c r="AR35" s="30" t="str">
        <f t="shared" si="10"/>
        <v>PTE AZHARI</v>
      </c>
      <c r="AS35" s="30" t="str">
        <f t="shared" si="10"/>
        <v>LCP GLADWYN</v>
      </c>
      <c r="AT35" s="30" t="str">
        <f t="shared" si="10"/>
        <v>PTE GABRIEL</v>
      </c>
      <c r="AU35" s="30"/>
    </row>
    <row r="36">
      <c r="G36" s="31"/>
    </row>
    <row r="37">
      <c r="G37" s="31"/>
    </row>
    <row r="38">
      <c r="G38" s="31"/>
    </row>
    <row r="39">
      <c r="A39" s="26" t="s">
        <v>118</v>
      </c>
      <c r="G39" s="31"/>
    </row>
    <row r="40">
      <c r="A40" s="25" t="s">
        <v>119</v>
      </c>
      <c r="G40" s="31"/>
    </row>
    <row r="41">
      <c r="A41" s="22" t="s">
        <v>120</v>
      </c>
      <c r="G41" s="31"/>
    </row>
    <row r="42">
      <c r="A42" s="20" t="s">
        <v>121</v>
      </c>
      <c r="G42" s="31"/>
    </row>
    <row r="43">
      <c r="A43" s="23" t="s">
        <v>122</v>
      </c>
      <c r="G43" s="31"/>
    </row>
    <row r="44">
      <c r="A44" s="14" t="s">
        <v>123</v>
      </c>
      <c r="G44" s="31"/>
    </row>
    <row r="45">
      <c r="A45" s="9" t="s">
        <v>125</v>
      </c>
      <c r="G45" s="31"/>
    </row>
    <row r="46">
      <c r="A46" s="44" t="s">
        <v>126</v>
      </c>
      <c r="C46" s="31"/>
      <c r="G46" s="31"/>
    </row>
    <row r="47">
      <c r="A47" s="62" t="s">
        <v>203</v>
      </c>
      <c r="G47" s="31"/>
    </row>
    <row r="48">
      <c r="A48" s="70" t="s">
        <v>233</v>
      </c>
      <c r="G48" s="31"/>
    </row>
    <row r="49">
      <c r="A49" s="69" t="s">
        <v>234</v>
      </c>
      <c r="G49" s="31"/>
    </row>
    <row r="50">
      <c r="A50" s="27" t="s">
        <v>124</v>
      </c>
      <c r="G50" s="31"/>
    </row>
    <row r="51">
      <c r="G51" s="31"/>
    </row>
    <row r="52">
      <c r="G52" s="31"/>
    </row>
    <row r="53">
      <c r="G53" s="31"/>
    </row>
    <row r="54">
      <c r="G54" s="31"/>
    </row>
    <row r="55">
      <c r="G55" s="31"/>
    </row>
    <row r="56">
      <c r="G56" s="31"/>
    </row>
    <row r="57">
      <c r="G57" s="31"/>
    </row>
    <row r="58">
      <c r="G58" s="31"/>
    </row>
    <row r="59">
      <c r="G59" s="31"/>
    </row>
    <row r="60">
      <c r="G60" s="31"/>
    </row>
    <row r="61">
      <c r="G61" s="31"/>
    </row>
    <row r="62">
      <c r="G62" s="31"/>
    </row>
    <row r="63">
      <c r="G63" s="31"/>
    </row>
    <row r="64">
      <c r="G64" s="31"/>
    </row>
    <row r="65">
      <c r="G65" s="31"/>
    </row>
    <row r="66">
      <c r="G66" s="31"/>
    </row>
    <row r="67">
      <c r="G67" s="31"/>
    </row>
    <row r="68">
      <c r="G68" s="31"/>
    </row>
    <row r="69">
      <c r="G69" s="31"/>
    </row>
    <row r="70">
      <c r="G70" s="31"/>
    </row>
    <row r="71">
      <c r="G71" s="31"/>
    </row>
    <row r="72">
      <c r="G72" s="31"/>
    </row>
    <row r="73">
      <c r="G73" s="31"/>
    </row>
    <row r="74">
      <c r="G74" s="31"/>
    </row>
    <row r="75">
      <c r="G75" s="31"/>
    </row>
    <row r="76">
      <c r="G76" s="31"/>
    </row>
    <row r="77">
      <c r="G77" s="31"/>
    </row>
    <row r="78">
      <c r="G78" s="31"/>
    </row>
    <row r="79">
      <c r="G79" s="31"/>
    </row>
    <row r="80">
      <c r="G80" s="31"/>
    </row>
    <row r="81">
      <c r="G81" s="31"/>
    </row>
    <row r="82">
      <c r="G82" s="31"/>
    </row>
    <row r="83">
      <c r="G83" s="31"/>
    </row>
    <row r="84">
      <c r="G84" s="31"/>
    </row>
    <row r="85">
      <c r="G85" s="31"/>
    </row>
    <row r="86">
      <c r="G86" s="31"/>
    </row>
    <row r="87">
      <c r="G87" s="31"/>
    </row>
    <row r="88">
      <c r="G88" s="31"/>
    </row>
    <row r="89">
      <c r="G89" s="31"/>
    </row>
    <row r="90">
      <c r="G90" s="31"/>
    </row>
    <row r="91">
      <c r="G91" s="31"/>
    </row>
    <row r="92">
      <c r="G92" s="31"/>
    </row>
    <row r="93">
      <c r="G93" s="31"/>
    </row>
    <row r="94">
      <c r="G94" s="31"/>
    </row>
    <row r="95">
      <c r="G95" s="31"/>
    </row>
    <row r="96">
      <c r="G96" s="31"/>
    </row>
    <row r="97">
      <c r="G97" s="31"/>
    </row>
    <row r="98">
      <c r="G98" s="31"/>
    </row>
    <row r="99">
      <c r="G99" s="31"/>
    </row>
    <row r="100">
      <c r="G100" s="31"/>
    </row>
    <row r="101">
      <c r="G101" s="31"/>
    </row>
    <row r="102">
      <c r="G102" s="31"/>
    </row>
    <row r="103">
      <c r="G103" s="31"/>
    </row>
    <row r="104">
      <c r="G104" s="31"/>
    </row>
    <row r="105">
      <c r="G105" s="31"/>
    </row>
    <row r="106">
      <c r="G106" s="31"/>
    </row>
    <row r="107">
      <c r="G107" s="31"/>
    </row>
    <row r="108">
      <c r="G108" s="31"/>
    </row>
    <row r="109">
      <c r="G109" s="31"/>
    </row>
    <row r="110">
      <c r="G110" s="31"/>
    </row>
    <row r="111">
      <c r="G111" s="31"/>
    </row>
    <row r="112">
      <c r="G112" s="31"/>
    </row>
    <row r="113">
      <c r="G113" s="31"/>
    </row>
    <row r="114">
      <c r="G114" s="31"/>
    </row>
    <row r="115">
      <c r="G115" s="31"/>
    </row>
    <row r="116">
      <c r="G116" s="31"/>
    </row>
    <row r="117">
      <c r="G117" s="31"/>
    </row>
    <row r="118">
      <c r="G118" s="31"/>
    </row>
    <row r="119">
      <c r="G119" s="31"/>
    </row>
    <row r="120">
      <c r="G120" s="31"/>
    </row>
    <row r="121">
      <c r="G121" s="31"/>
    </row>
    <row r="122">
      <c r="G122" s="31"/>
    </row>
    <row r="123">
      <c r="G123" s="31"/>
    </row>
    <row r="124">
      <c r="G124" s="31"/>
    </row>
    <row r="125">
      <c r="G125" s="31"/>
    </row>
    <row r="126">
      <c r="G126" s="31"/>
    </row>
    <row r="127">
      <c r="G127" s="31"/>
    </row>
    <row r="128">
      <c r="G128" s="31"/>
    </row>
    <row r="129">
      <c r="G129" s="31"/>
    </row>
    <row r="130">
      <c r="G130" s="31"/>
    </row>
    <row r="131">
      <c r="G131" s="31"/>
    </row>
    <row r="132">
      <c r="G132" s="31"/>
    </row>
    <row r="133">
      <c r="G133" s="31"/>
    </row>
    <row r="134">
      <c r="G134" s="31"/>
    </row>
    <row r="135">
      <c r="G135" s="31"/>
    </row>
    <row r="136">
      <c r="G136" s="31"/>
    </row>
    <row r="137">
      <c r="G137" s="31"/>
    </row>
    <row r="138">
      <c r="G138" s="31"/>
    </row>
    <row r="139">
      <c r="G139" s="31"/>
    </row>
    <row r="140">
      <c r="G140" s="31"/>
    </row>
    <row r="141">
      <c r="G141" s="31"/>
    </row>
    <row r="142">
      <c r="G142" s="31"/>
    </row>
    <row r="143">
      <c r="G143" s="31"/>
    </row>
    <row r="144">
      <c r="G144" s="31"/>
    </row>
    <row r="145">
      <c r="G145" s="31"/>
    </row>
    <row r="146">
      <c r="G146" s="31"/>
    </row>
    <row r="147">
      <c r="G147" s="31"/>
    </row>
    <row r="148">
      <c r="G148" s="31"/>
    </row>
    <row r="149">
      <c r="G149" s="31"/>
    </row>
    <row r="150">
      <c r="G150" s="31"/>
    </row>
    <row r="151">
      <c r="G151" s="31"/>
    </row>
    <row r="152">
      <c r="G152" s="31"/>
    </row>
    <row r="153">
      <c r="G153" s="31"/>
    </row>
    <row r="154">
      <c r="G154" s="31"/>
    </row>
    <row r="155">
      <c r="G155" s="31"/>
    </row>
    <row r="156">
      <c r="G156" s="31"/>
    </row>
    <row r="157">
      <c r="G157" s="31"/>
    </row>
    <row r="158">
      <c r="G158" s="31"/>
    </row>
    <row r="159">
      <c r="G159" s="31"/>
    </row>
    <row r="160">
      <c r="G160" s="31"/>
    </row>
    <row r="161">
      <c r="G161" s="31"/>
    </row>
    <row r="162">
      <c r="G162" s="31"/>
    </row>
    <row r="163">
      <c r="G163" s="31"/>
    </row>
    <row r="164">
      <c r="G164" s="31"/>
    </row>
    <row r="165">
      <c r="G165" s="31"/>
    </row>
    <row r="166">
      <c r="G166" s="31"/>
    </row>
    <row r="167">
      <c r="G167" s="31"/>
    </row>
    <row r="168">
      <c r="G168" s="31"/>
    </row>
    <row r="169">
      <c r="G169" s="31"/>
    </row>
    <row r="170">
      <c r="G170" s="31"/>
    </row>
    <row r="171">
      <c r="G171" s="31"/>
    </row>
    <row r="172">
      <c r="G172" s="31"/>
    </row>
    <row r="173">
      <c r="G173" s="31"/>
    </row>
    <row r="174">
      <c r="G174" s="31"/>
    </row>
    <row r="175">
      <c r="G175" s="31"/>
    </row>
    <row r="176">
      <c r="G176" s="31"/>
    </row>
    <row r="177">
      <c r="G177" s="31"/>
    </row>
    <row r="178">
      <c r="G178" s="31"/>
    </row>
    <row r="179">
      <c r="G179" s="31"/>
    </row>
    <row r="180">
      <c r="G180" s="31"/>
    </row>
    <row r="181">
      <c r="G181" s="31"/>
    </row>
    <row r="182">
      <c r="G182" s="31"/>
    </row>
    <row r="183">
      <c r="G183" s="31"/>
    </row>
    <row r="184">
      <c r="G184" s="31"/>
    </row>
    <row r="185">
      <c r="G185" s="31"/>
    </row>
    <row r="186">
      <c r="G186" s="31"/>
    </row>
    <row r="187">
      <c r="G187" s="31"/>
    </row>
    <row r="188">
      <c r="G188" s="31"/>
    </row>
    <row r="189">
      <c r="G189" s="31"/>
    </row>
    <row r="190">
      <c r="G190" s="31"/>
    </row>
    <row r="191">
      <c r="G191" s="31"/>
    </row>
    <row r="192">
      <c r="G192" s="31"/>
    </row>
    <row r="193">
      <c r="G193" s="31"/>
    </row>
    <row r="194">
      <c r="G194" s="31"/>
    </row>
    <row r="195">
      <c r="G195" s="31"/>
    </row>
    <row r="196">
      <c r="G196" s="31"/>
    </row>
    <row r="197">
      <c r="G197" s="31"/>
    </row>
    <row r="198">
      <c r="G198" s="31"/>
    </row>
    <row r="199">
      <c r="G199" s="31"/>
    </row>
    <row r="200">
      <c r="G200" s="31"/>
    </row>
    <row r="201">
      <c r="G201" s="31"/>
    </row>
    <row r="202">
      <c r="G202" s="31"/>
    </row>
    <row r="203">
      <c r="G203" s="31"/>
    </row>
    <row r="204">
      <c r="G204" s="31"/>
    </row>
    <row r="205">
      <c r="G205" s="31"/>
    </row>
    <row r="206">
      <c r="G206" s="31"/>
    </row>
    <row r="207">
      <c r="G207" s="31"/>
    </row>
    <row r="208">
      <c r="G208" s="31"/>
    </row>
    <row r="209">
      <c r="G209" s="31"/>
    </row>
    <row r="210">
      <c r="G210" s="31"/>
    </row>
    <row r="211">
      <c r="G211" s="31"/>
    </row>
    <row r="212">
      <c r="G212" s="31"/>
    </row>
    <row r="213">
      <c r="G213" s="31"/>
    </row>
    <row r="214">
      <c r="G214" s="31"/>
    </row>
    <row r="215">
      <c r="G215" s="31"/>
    </row>
    <row r="216">
      <c r="G216" s="31"/>
    </row>
    <row r="217">
      <c r="G217" s="31"/>
    </row>
    <row r="218">
      <c r="G218" s="31"/>
    </row>
    <row r="219">
      <c r="G219" s="31"/>
    </row>
    <row r="220">
      <c r="G220" s="31"/>
    </row>
    <row r="221">
      <c r="G221" s="31"/>
    </row>
    <row r="222">
      <c r="G222" s="31"/>
    </row>
    <row r="223">
      <c r="G223" s="31"/>
    </row>
    <row r="224">
      <c r="G224" s="31"/>
    </row>
    <row r="225">
      <c r="G225" s="31"/>
    </row>
    <row r="226">
      <c r="G226" s="31"/>
    </row>
    <row r="227">
      <c r="G227" s="31"/>
    </row>
    <row r="228">
      <c r="G228" s="31"/>
    </row>
    <row r="229">
      <c r="G229" s="31"/>
    </row>
    <row r="230">
      <c r="G230" s="31"/>
    </row>
    <row r="231">
      <c r="G231" s="31"/>
    </row>
    <row r="232">
      <c r="G232" s="31"/>
    </row>
    <row r="233">
      <c r="G233" s="31"/>
    </row>
    <row r="234">
      <c r="G234" s="31"/>
    </row>
    <row r="235">
      <c r="G235" s="31"/>
    </row>
    <row r="236">
      <c r="G236" s="31"/>
    </row>
    <row r="237">
      <c r="G237" s="31"/>
    </row>
    <row r="238">
      <c r="G238" s="31"/>
    </row>
    <row r="239">
      <c r="G239" s="31"/>
    </row>
    <row r="240">
      <c r="G240" s="31"/>
    </row>
    <row r="241">
      <c r="G241" s="31"/>
    </row>
    <row r="242">
      <c r="G242" s="31"/>
    </row>
    <row r="243">
      <c r="G243" s="31"/>
    </row>
    <row r="244">
      <c r="G244" s="31"/>
    </row>
    <row r="245">
      <c r="G245" s="31"/>
    </row>
    <row r="246">
      <c r="G246" s="31"/>
    </row>
    <row r="247">
      <c r="G247" s="31"/>
    </row>
    <row r="248">
      <c r="G248" s="31"/>
    </row>
    <row r="249">
      <c r="G249" s="31"/>
    </row>
    <row r="250">
      <c r="G250" s="31"/>
    </row>
    <row r="251">
      <c r="G251" s="31"/>
    </row>
    <row r="252">
      <c r="G252" s="31"/>
    </row>
    <row r="253">
      <c r="G253" s="31"/>
    </row>
    <row r="254">
      <c r="G254" s="31"/>
    </row>
    <row r="255">
      <c r="G255" s="31"/>
    </row>
    <row r="256">
      <c r="G256" s="31"/>
    </row>
    <row r="257">
      <c r="G257" s="31"/>
    </row>
    <row r="258">
      <c r="G258" s="31"/>
    </row>
    <row r="259">
      <c r="G259" s="31"/>
    </row>
    <row r="260">
      <c r="G260" s="31"/>
    </row>
    <row r="261">
      <c r="G261" s="31"/>
    </row>
    <row r="262">
      <c r="G262" s="31"/>
    </row>
    <row r="263">
      <c r="G263" s="31"/>
    </row>
    <row r="264">
      <c r="G264" s="31"/>
    </row>
    <row r="265">
      <c r="G265" s="31"/>
    </row>
    <row r="266">
      <c r="G266" s="31"/>
    </row>
    <row r="267">
      <c r="G267" s="31"/>
    </row>
    <row r="268">
      <c r="G268" s="31"/>
    </row>
    <row r="269">
      <c r="G269" s="31"/>
    </row>
    <row r="270">
      <c r="G270" s="31"/>
    </row>
    <row r="271">
      <c r="G271" s="31"/>
    </row>
    <row r="272">
      <c r="G272" s="31"/>
    </row>
    <row r="273">
      <c r="G273" s="31"/>
    </row>
    <row r="274">
      <c r="G274" s="31"/>
    </row>
    <row r="275">
      <c r="G275" s="31"/>
    </row>
    <row r="276">
      <c r="G276" s="31"/>
    </row>
    <row r="277">
      <c r="G277" s="31"/>
    </row>
    <row r="278">
      <c r="G278" s="31"/>
    </row>
    <row r="279">
      <c r="G279" s="31"/>
    </row>
    <row r="280">
      <c r="G280" s="31"/>
    </row>
    <row r="281">
      <c r="G281" s="31"/>
    </row>
    <row r="282">
      <c r="G282" s="31"/>
    </row>
    <row r="283">
      <c r="G283" s="31"/>
    </row>
    <row r="284">
      <c r="G284" s="31"/>
    </row>
    <row r="285">
      <c r="G285" s="31"/>
    </row>
    <row r="286">
      <c r="G286" s="31"/>
    </row>
    <row r="287">
      <c r="G287" s="31"/>
    </row>
    <row r="288">
      <c r="G288" s="31"/>
    </row>
    <row r="289">
      <c r="G289" s="31"/>
    </row>
    <row r="290">
      <c r="G290" s="31"/>
    </row>
    <row r="291">
      <c r="G291" s="31"/>
    </row>
    <row r="292">
      <c r="G292" s="31"/>
    </row>
    <row r="293">
      <c r="G293" s="31"/>
    </row>
    <row r="294">
      <c r="G294" s="31"/>
    </row>
    <row r="295">
      <c r="G295" s="31"/>
    </row>
    <row r="296">
      <c r="G296" s="31"/>
    </row>
    <row r="297">
      <c r="G297" s="31"/>
    </row>
    <row r="298">
      <c r="G298" s="31"/>
    </row>
    <row r="299">
      <c r="G299" s="31"/>
    </row>
    <row r="300">
      <c r="G300" s="31"/>
    </row>
    <row r="301">
      <c r="G301" s="31"/>
    </row>
    <row r="302">
      <c r="G302" s="31"/>
    </row>
    <row r="303">
      <c r="G303" s="31"/>
    </row>
    <row r="304">
      <c r="G304" s="31"/>
    </row>
    <row r="305">
      <c r="G305" s="31"/>
    </row>
    <row r="306">
      <c r="G306" s="31"/>
    </row>
    <row r="307">
      <c r="G307" s="31"/>
    </row>
    <row r="308">
      <c r="G308" s="31"/>
    </row>
    <row r="309">
      <c r="G309" s="31"/>
    </row>
    <row r="310">
      <c r="G310" s="31"/>
    </row>
    <row r="311">
      <c r="G311" s="31"/>
    </row>
    <row r="312">
      <c r="G312" s="31"/>
    </row>
    <row r="313">
      <c r="G313" s="31"/>
    </row>
    <row r="314">
      <c r="G314" s="31"/>
    </row>
    <row r="315">
      <c r="G315" s="31"/>
    </row>
    <row r="316">
      <c r="G316" s="31"/>
    </row>
    <row r="317">
      <c r="G317" s="31"/>
    </row>
    <row r="318">
      <c r="G318" s="31"/>
    </row>
    <row r="319">
      <c r="G319" s="31"/>
    </row>
    <row r="320">
      <c r="G320" s="31"/>
    </row>
    <row r="321">
      <c r="G321" s="31"/>
    </row>
    <row r="322">
      <c r="G322" s="31"/>
    </row>
    <row r="323">
      <c r="G323" s="31"/>
    </row>
    <row r="324">
      <c r="G324" s="31"/>
    </row>
    <row r="325">
      <c r="G325" s="31"/>
    </row>
    <row r="326">
      <c r="G326" s="31"/>
    </row>
    <row r="327">
      <c r="G327" s="31"/>
    </row>
    <row r="328">
      <c r="G328" s="31"/>
    </row>
    <row r="329">
      <c r="G329" s="31"/>
    </row>
    <row r="330">
      <c r="G330" s="31"/>
    </row>
    <row r="331">
      <c r="G331" s="31"/>
    </row>
    <row r="332">
      <c r="G332" s="31"/>
    </row>
    <row r="333">
      <c r="G333" s="31"/>
    </row>
    <row r="334">
      <c r="G334" s="31"/>
    </row>
    <row r="335">
      <c r="G335" s="31"/>
    </row>
    <row r="336">
      <c r="G336" s="31"/>
    </row>
    <row r="337">
      <c r="G337" s="31"/>
    </row>
    <row r="338">
      <c r="G338" s="31"/>
    </row>
    <row r="339">
      <c r="G339" s="31"/>
    </row>
    <row r="340">
      <c r="G340" s="31"/>
    </row>
    <row r="341">
      <c r="G341" s="31"/>
    </row>
    <row r="342">
      <c r="G342" s="31"/>
    </row>
    <row r="343">
      <c r="G343" s="31"/>
    </row>
    <row r="344">
      <c r="G344" s="31"/>
    </row>
    <row r="345">
      <c r="G345" s="31"/>
    </row>
    <row r="346">
      <c r="G346" s="31"/>
    </row>
    <row r="347">
      <c r="G347" s="31"/>
    </row>
    <row r="348">
      <c r="G348" s="31"/>
    </row>
    <row r="349">
      <c r="G349" s="31"/>
    </row>
    <row r="350">
      <c r="G350" s="31"/>
    </row>
    <row r="351">
      <c r="G351" s="31"/>
    </row>
    <row r="352">
      <c r="G352" s="31"/>
    </row>
    <row r="353">
      <c r="G353" s="31"/>
    </row>
    <row r="354">
      <c r="G354" s="31"/>
    </row>
    <row r="355">
      <c r="G355" s="31"/>
    </row>
    <row r="356">
      <c r="G356" s="31"/>
    </row>
    <row r="357">
      <c r="G357" s="31"/>
    </row>
    <row r="358">
      <c r="G358" s="31"/>
    </row>
    <row r="359">
      <c r="G359" s="31"/>
    </row>
    <row r="360">
      <c r="G360" s="31"/>
    </row>
    <row r="361">
      <c r="G361" s="31"/>
    </row>
    <row r="362">
      <c r="G362" s="31"/>
    </row>
    <row r="363">
      <c r="G363" s="31"/>
    </row>
    <row r="364">
      <c r="G364" s="31"/>
    </row>
    <row r="365">
      <c r="G365" s="31"/>
    </row>
    <row r="366">
      <c r="G366" s="31"/>
    </row>
    <row r="367">
      <c r="G367" s="31"/>
    </row>
    <row r="368">
      <c r="G368" s="31"/>
    </row>
    <row r="369">
      <c r="G369" s="31"/>
    </row>
    <row r="370">
      <c r="G370" s="31"/>
    </row>
    <row r="371">
      <c r="G371" s="31"/>
    </row>
    <row r="372">
      <c r="G372" s="31"/>
    </row>
    <row r="373">
      <c r="G373" s="31"/>
    </row>
    <row r="374">
      <c r="G374" s="31"/>
    </row>
    <row r="375">
      <c r="G375" s="31"/>
    </row>
    <row r="376">
      <c r="G376" s="31"/>
    </row>
    <row r="377">
      <c r="G377" s="31"/>
    </row>
    <row r="378">
      <c r="G378" s="31"/>
    </row>
    <row r="379">
      <c r="G379" s="31"/>
    </row>
    <row r="380">
      <c r="G380" s="31"/>
    </row>
    <row r="381">
      <c r="G381" s="31"/>
    </row>
    <row r="382">
      <c r="G382" s="31"/>
    </row>
    <row r="383">
      <c r="G383" s="31"/>
    </row>
    <row r="384">
      <c r="G384" s="31"/>
    </row>
    <row r="385">
      <c r="G385" s="31"/>
    </row>
    <row r="386">
      <c r="G386" s="31"/>
    </row>
    <row r="387">
      <c r="G387" s="31"/>
    </row>
    <row r="388">
      <c r="G388" s="31"/>
    </row>
    <row r="389">
      <c r="G389" s="31"/>
    </row>
    <row r="390">
      <c r="G390" s="31"/>
    </row>
    <row r="391">
      <c r="G391" s="31"/>
    </row>
    <row r="392">
      <c r="G392" s="31"/>
    </row>
    <row r="393">
      <c r="G393" s="31"/>
    </row>
    <row r="394">
      <c r="G394" s="31"/>
    </row>
    <row r="395">
      <c r="G395" s="31"/>
    </row>
    <row r="396">
      <c r="G396" s="31"/>
    </row>
    <row r="397">
      <c r="G397" s="31"/>
    </row>
    <row r="398">
      <c r="G398" s="31"/>
    </row>
    <row r="399">
      <c r="G399" s="31"/>
    </row>
    <row r="400">
      <c r="G400" s="31"/>
    </row>
    <row r="401">
      <c r="G401" s="31"/>
    </row>
    <row r="402">
      <c r="G402" s="31"/>
    </row>
    <row r="403">
      <c r="G403" s="31"/>
    </row>
    <row r="404">
      <c r="G404" s="31"/>
    </row>
    <row r="405">
      <c r="G405" s="31"/>
    </row>
    <row r="406">
      <c r="G406" s="31"/>
    </row>
    <row r="407">
      <c r="G407" s="31"/>
    </row>
    <row r="408">
      <c r="G408" s="31"/>
    </row>
    <row r="409">
      <c r="G409" s="31"/>
    </row>
    <row r="410">
      <c r="G410" s="31"/>
    </row>
    <row r="411">
      <c r="G411" s="31"/>
    </row>
    <row r="412">
      <c r="G412" s="31"/>
    </row>
    <row r="413">
      <c r="G413" s="31"/>
    </row>
    <row r="414">
      <c r="G414" s="31"/>
    </row>
    <row r="415">
      <c r="G415" s="31"/>
    </row>
    <row r="416">
      <c r="G416" s="31"/>
    </row>
    <row r="417">
      <c r="G417" s="31"/>
    </row>
    <row r="418">
      <c r="G418" s="31"/>
    </row>
    <row r="419">
      <c r="G419" s="31"/>
    </row>
    <row r="420">
      <c r="G420" s="31"/>
    </row>
    <row r="421">
      <c r="G421" s="31"/>
    </row>
    <row r="422">
      <c r="G422" s="31"/>
    </row>
    <row r="423">
      <c r="G423" s="31"/>
    </row>
    <row r="424">
      <c r="G424" s="31"/>
    </row>
    <row r="425">
      <c r="G425" s="31"/>
    </row>
    <row r="426">
      <c r="G426" s="31"/>
    </row>
    <row r="427">
      <c r="G427" s="31"/>
    </row>
    <row r="428">
      <c r="G428" s="31"/>
    </row>
    <row r="429">
      <c r="G429" s="31"/>
    </row>
    <row r="430">
      <c r="G430" s="31"/>
    </row>
    <row r="431">
      <c r="G431" s="31"/>
    </row>
    <row r="432">
      <c r="G432" s="31"/>
    </row>
    <row r="433">
      <c r="G433" s="31"/>
    </row>
    <row r="434">
      <c r="G434" s="31"/>
    </row>
    <row r="435">
      <c r="G435" s="31"/>
    </row>
    <row r="436">
      <c r="G436" s="31"/>
    </row>
    <row r="437">
      <c r="G437" s="31"/>
    </row>
    <row r="438">
      <c r="G438" s="31"/>
    </row>
    <row r="439">
      <c r="G439" s="31"/>
    </row>
    <row r="440">
      <c r="G440" s="31"/>
    </row>
    <row r="441">
      <c r="G441" s="31"/>
    </row>
    <row r="442">
      <c r="G442" s="31"/>
    </row>
    <row r="443">
      <c r="G443" s="31"/>
    </row>
    <row r="444">
      <c r="G444" s="31"/>
    </row>
    <row r="445">
      <c r="G445" s="31"/>
    </row>
    <row r="446">
      <c r="G446" s="31"/>
    </row>
    <row r="447">
      <c r="G447" s="31"/>
    </row>
    <row r="448">
      <c r="G448" s="31"/>
    </row>
    <row r="449">
      <c r="G449" s="31"/>
    </row>
    <row r="450">
      <c r="G450" s="31"/>
    </row>
    <row r="451">
      <c r="G451" s="31"/>
    </row>
    <row r="452">
      <c r="G452" s="31"/>
    </row>
    <row r="453">
      <c r="G453" s="31"/>
    </row>
    <row r="454">
      <c r="G454" s="31"/>
    </row>
    <row r="455">
      <c r="G455" s="31"/>
    </row>
    <row r="456">
      <c r="G456" s="31"/>
    </row>
    <row r="457">
      <c r="G457" s="31"/>
    </row>
    <row r="458">
      <c r="G458" s="31"/>
    </row>
    <row r="459">
      <c r="G459" s="31"/>
    </row>
    <row r="460">
      <c r="G460" s="31"/>
    </row>
    <row r="461">
      <c r="G461" s="31"/>
    </row>
    <row r="462">
      <c r="G462" s="31"/>
    </row>
    <row r="463">
      <c r="G463" s="31"/>
    </row>
    <row r="464">
      <c r="G464" s="31"/>
    </row>
    <row r="465">
      <c r="G465" s="31"/>
    </row>
    <row r="466">
      <c r="G466" s="31"/>
    </row>
    <row r="467">
      <c r="G467" s="31"/>
    </row>
    <row r="468">
      <c r="G468" s="31"/>
    </row>
    <row r="469">
      <c r="G469" s="31"/>
    </row>
    <row r="470">
      <c r="G470" s="31"/>
    </row>
    <row r="471">
      <c r="G471" s="31"/>
    </row>
    <row r="472">
      <c r="G472" s="31"/>
    </row>
    <row r="473">
      <c r="G473" s="31"/>
    </row>
    <row r="474">
      <c r="G474" s="31"/>
    </row>
    <row r="475">
      <c r="G475" s="31"/>
    </row>
    <row r="476">
      <c r="G476" s="31"/>
    </row>
    <row r="477">
      <c r="G477" s="31"/>
    </row>
    <row r="478">
      <c r="G478" s="31"/>
    </row>
    <row r="479">
      <c r="G479" s="31"/>
    </row>
    <row r="480">
      <c r="G480" s="31"/>
    </row>
    <row r="481">
      <c r="G481" s="31"/>
    </row>
    <row r="482">
      <c r="G482" s="31"/>
    </row>
    <row r="483">
      <c r="G483" s="31"/>
    </row>
    <row r="484">
      <c r="G484" s="31"/>
    </row>
    <row r="485">
      <c r="G485" s="31"/>
    </row>
    <row r="486">
      <c r="G486" s="31"/>
    </row>
    <row r="487">
      <c r="G487" s="31"/>
    </row>
    <row r="488">
      <c r="G488" s="31"/>
    </row>
    <row r="489">
      <c r="G489" s="31"/>
    </row>
    <row r="490">
      <c r="G490" s="31"/>
    </row>
    <row r="491">
      <c r="G491" s="31"/>
    </row>
    <row r="492">
      <c r="G492" s="31"/>
    </row>
    <row r="493">
      <c r="G493" s="31"/>
    </row>
    <row r="494">
      <c r="G494" s="31"/>
    </row>
    <row r="495">
      <c r="G495" s="31"/>
    </row>
    <row r="496">
      <c r="G496" s="31"/>
    </row>
    <row r="497">
      <c r="G497" s="31"/>
    </row>
    <row r="498">
      <c r="G498" s="31"/>
    </row>
    <row r="499">
      <c r="G499" s="31"/>
    </row>
    <row r="500">
      <c r="G500" s="31"/>
    </row>
    <row r="501">
      <c r="G501" s="31"/>
    </row>
    <row r="502">
      <c r="G502" s="31"/>
    </row>
    <row r="503">
      <c r="G503" s="31"/>
    </row>
    <row r="504">
      <c r="G504" s="31"/>
    </row>
    <row r="505">
      <c r="G505" s="31"/>
    </row>
    <row r="506">
      <c r="G506" s="31"/>
    </row>
    <row r="507">
      <c r="G507" s="31"/>
    </row>
    <row r="508">
      <c r="G508" s="31"/>
    </row>
    <row r="509">
      <c r="G509" s="31"/>
    </row>
    <row r="510">
      <c r="G510" s="31"/>
    </row>
    <row r="511">
      <c r="G511" s="31"/>
    </row>
    <row r="512">
      <c r="G512" s="31"/>
    </row>
    <row r="513">
      <c r="G513" s="31"/>
    </row>
    <row r="514">
      <c r="G514" s="31"/>
    </row>
    <row r="515">
      <c r="G515" s="31"/>
    </row>
    <row r="516">
      <c r="G516" s="31"/>
    </row>
    <row r="517">
      <c r="G517" s="31"/>
    </row>
    <row r="518">
      <c r="G518" s="31"/>
    </row>
    <row r="519">
      <c r="G519" s="31"/>
    </row>
    <row r="520">
      <c r="G520" s="31"/>
    </row>
    <row r="521">
      <c r="G521" s="31"/>
    </row>
    <row r="522">
      <c r="G522" s="31"/>
    </row>
    <row r="523">
      <c r="G523" s="31"/>
    </row>
    <row r="524">
      <c r="G524" s="31"/>
    </row>
    <row r="525">
      <c r="G525" s="31"/>
    </row>
    <row r="526">
      <c r="G526" s="31"/>
    </row>
    <row r="527">
      <c r="G527" s="31"/>
    </row>
    <row r="528">
      <c r="G528" s="31"/>
    </row>
    <row r="529">
      <c r="G529" s="31"/>
    </row>
    <row r="530">
      <c r="G530" s="31"/>
    </row>
    <row r="531">
      <c r="G531" s="31"/>
    </row>
    <row r="532">
      <c r="G532" s="31"/>
    </row>
    <row r="533">
      <c r="G533" s="31"/>
    </row>
    <row r="534">
      <c r="G534" s="31"/>
    </row>
    <row r="535">
      <c r="G535" s="31"/>
    </row>
    <row r="536">
      <c r="G536" s="31"/>
    </row>
    <row r="537">
      <c r="G537" s="31"/>
    </row>
    <row r="538">
      <c r="G538" s="31"/>
    </row>
    <row r="539">
      <c r="G539" s="31"/>
    </row>
    <row r="540">
      <c r="G540" s="31"/>
    </row>
    <row r="541">
      <c r="G541" s="31"/>
    </row>
    <row r="542">
      <c r="G542" s="31"/>
    </row>
    <row r="543">
      <c r="G543" s="31"/>
    </row>
    <row r="544">
      <c r="G544" s="31"/>
    </row>
    <row r="545">
      <c r="G545" s="31"/>
    </row>
    <row r="546">
      <c r="G546" s="31"/>
    </row>
    <row r="547">
      <c r="G547" s="31"/>
    </row>
    <row r="548">
      <c r="G548" s="31"/>
    </row>
    <row r="549">
      <c r="G549" s="31"/>
    </row>
    <row r="550">
      <c r="G550" s="31"/>
    </row>
    <row r="551">
      <c r="G551" s="31"/>
    </row>
    <row r="552">
      <c r="G552" s="31"/>
    </row>
    <row r="553">
      <c r="G553" s="31"/>
    </row>
    <row r="554">
      <c r="G554" s="31"/>
    </row>
    <row r="555">
      <c r="G555" s="31"/>
    </row>
    <row r="556">
      <c r="G556" s="31"/>
    </row>
    <row r="557">
      <c r="G557" s="31"/>
    </row>
    <row r="558">
      <c r="G558" s="31"/>
    </row>
    <row r="559">
      <c r="G559" s="31"/>
    </row>
    <row r="560">
      <c r="G560" s="31"/>
    </row>
    <row r="561">
      <c r="G561" s="31"/>
    </row>
    <row r="562">
      <c r="G562" s="31"/>
    </row>
    <row r="563">
      <c r="G563" s="31"/>
    </row>
    <row r="564">
      <c r="G564" s="31"/>
    </row>
    <row r="565">
      <c r="G565" s="31"/>
    </row>
    <row r="566">
      <c r="G566" s="31"/>
    </row>
    <row r="567">
      <c r="G567" s="31"/>
    </row>
    <row r="568">
      <c r="G568" s="31"/>
    </row>
    <row r="569">
      <c r="G569" s="31"/>
    </row>
    <row r="570">
      <c r="G570" s="31"/>
    </row>
    <row r="571">
      <c r="G571" s="31"/>
    </row>
    <row r="572">
      <c r="G572" s="31"/>
    </row>
    <row r="573">
      <c r="G573" s="31"/>
    </row>
    <row r="574">
      <c r="G574" s="31"/>
    </row>
    <row r="575">
      <c r="G575" s="31"/>
    </row>
    <row r="576">
      <c r="G576" s="31"/>
    </row>
    <row r="577">
      <c r="G577" s="31"/>
    </row>
    <row r="578">
      <c r="G578" s="31"/>
    </row>
    <row r="579">
      <c r="G579" s="31"/>
    </row>
    <row r="580">
      <c r="G580" s="31"/>
    </row>
    <row r="581">
      <c r="G581" s="31"/>
    </row>
    <row r="582">
      <c r="G582" s="31"/>
    </row>
    <row r="583">
      <c r="G583" s="31"/>
    </row>
    <row r="584">
      <c r="G584" s="31"/>
    </row>
    <row r="585">
      <c r="G585" s="31"/>
    </row>
    <row r="586">
      <c r="G586" s="31"/>
    </row>
    <row r="587">
      <c r="G587" s="31"/>
    </row>
    <row r="588">
      <c r="G588" s="31"/>
    </row>
    <row r="589">
      <c r="G589" s="31"/>
    </row>
    <row r="590">
      <c r="G590" s="31"/>
    </row>
    <row r="591">
      <c r="G591" s="31"/>
    </row>
    <row r="592">
      <c r="G592" s="31"/>
    </row>
    <row r="593">
      <c r="G593" s="31"/>
    </row>
    <row r="594">
      <c r="G594" s="31"/>
    </row>
    <row r="595">
      <c r="G595" s="31"/>
    </row>
    <row r="596">
      <c r="G596" s="31"/>
    </row>
    <row r="597">
      <c r="G597" s="31"/>
    </row>
    <row r="598">
      <c r="G598" s="31"/>
    </row>
    <row r="599">
      <c r="G599" s="31"/>
    </row>
    <row r="600">
      <c r="G600" s="31"/>
    </row>
    <row r="601">
      <c r="G601" s="31"/>
    </row>
    <row r="602">
      <c r="G602" s="31"/>
    </row>
    <row r="603">
      <c r="G603" s="31"/>
    </row>
    <row r="604">
      <c r="G604" s="31"/>
    </row>
    <row r="605">
      <c r="G605" s="31"/>
    </row>
    <row r="606">
      <c r="G606" s="31"/>
    </row>
    <row r="607">
      <c r="G607" s="31"/>
    </row>
    <row r="608">
      <c r="G608" s="31"/>
    </row>
    <row r="609">
      <c r="G609" s="31"/>
    </row>
    <row r="610">
      <c r="G610" s="31"/>
    </row>
    <row r="611">
      <c r="G611" s="31"/>
    </row>
    <row r="612">
      <c r="G612" s="31"/>
    </row>
    <row r="613">
      <c r="G613" s="31"/>
    </row>
    <row r="614">
      <c r="G614" s="31"/>
    </row>
    <row r="615">
      <c r="G615" s="31"/>
    </row>
    <row r="616">
      <c r="G616" s="31"/>
    </row>
    <row r="617">
      <c r="G617" s="31"/>
    </row>
    <row r="618">
      <c r="G618" s="31"/>
    </row>
    <row r="619">
      <c r="G619" s="31"/>
    </row>
    <row r="620">
      <c r="G620" s="31"/>
    </row>
    <row r="621">
      <c r="G621" s="31"/>
    </row>
    <row r="622">
      <c r="G622" s="31"/>
    </row>
    <row r="623">
      <c r="G623" s="31"/>
    </row>
    <row r="624">
      <c r="G624" s="31"/>
    </row>
    <row r="625">
      <c r="G625" s="31"/>
    </row>
    <row r="626">
      <c r="G626" s="31"/>
    </row>
    <row r="627">
      <c r="G627" s="31"/>
    </row>
    <row r="628">
      <c r="G628" s="31"/>
    </row>
    <row r="629">
      <c r="G629" s="31"/>
    </row>
    <row r="630">
      <c r="G630" s="31"/>
    </row>
    <row r="631">
      <c r="G631" s="31"/>
    </row>
    <row r="632">
      <c r="G632" s="31"/>
    </row>
    <row r="633">
      <c r="G633" s="31"/>
    </row>
    <row r="634">
      <c r="G634" s="31"/>
    </row>
    <row r="635">
      <c r="G635" s="31"/>
    </row>
    <row r="636">
      <c r="G636" s="31"/>
    </row>
    <row r="637">
      <c r="G637" s="31"/>
    </row>
    <row r="638">
      <c r="G638" s="31"/>
    </row>
    <row r="639">
      <c r="G639" s="31"/>
    </row>
    <row r="640">
      <c r="G640" s="31"/>
    </row>
    <row r="641">
      <c r="G641" s="31"/>
    </row>
    <row r="642">
      <c r="G642" s="31"/>
    </row>
    <row r="643">
      <c r="G643" s="31"/>
    </row>
    <row r="644">
      <c r="G644" s="31"/>
    </row>
    <row r="645">
      <c r="G645" s="31"/>
    </row>
    <row r="646">
      <c r="G646" s="31"/>
    </row>
    <row r="647">
      <c r="G647" s="31"/>
    </row>
    <row r="648">
      <c r="G648" s="31"/>
    </row>
    <row r="649">
      <c r="G649" s="31"/>
    </row>
    <row r="650">
      <c r="G650" s="31"/>
    </row>
    <row r="651">
      <c r="G651" s="31"/>
    </row>
    <row r="652">
      <c r="G652" s="31"/>
    </row>
    <row r="653">
      <c r="G653" s="31"/>
    </row>
    <row r="654">
      <c r="G654" s="31"/>
    </row>
    <row r="655">
      <c r="G655" s="31"/>
    </row>
    <row r="656">
      <c r="G656" s="31"/>
    </row>
    <row r="657">
      <c r="G657" s="31"/>
    </row>
    <row r="658">
      <c r="G658" s="31"/>
    </row>
    <row r="659">
      <c r="G659" s="31"/>
    </row>
    <row r="660">
      <c r="G660" s="31"/>
    </row>
    <row r="661">
      <c r="G661" s="31"/>
    </row>
    <row r="662">
      <c r="G662" s="31"/>
    </row>
    <row r="663">
      <c r="G663" s="31"/>
    </row>
    <row r="664">
      <c r="G664" s="31"/>
    </row>
    <row r="665">
      <c r="G665" s="31"/>
    </row>
    <row r="666">
      <c r="G666" s="31"/>
    </row>
    <row r="667">
      <c r="G667" s="31"/>
    </row>
    <row r="668">
      <c r="G668" s="31"/>
    </row>
    <row r="669">
      <c r="G669" s="31"/>
    </row>
    <row r="670">
      <c r="G670" s="31"/>
    </row>
    <row r="671">
      <c r="G671" s="31"/>
    </row>
    <row r="672">
      <c r="G672" s="31"/>
    </row>
    <row r="673">
      <c r="G673" s="31"/>
    </row>
    <row r="674">
      <c r="G674" s="31"/>
    </row>
    <row r="675">
      <c r="G675" s="31"/>
    </row>
    <row r="676">
      <c r="G676" s="31"/>
    </row>
    <row r="677">
      <c r="G677" s="31"/>
    </row>
    <row r="678">
      <c r="G678" s="31"/>
    </row>
    <row r="679">
      <c r="G679" s="31"/>
    </row>
    <row r="680">
      <c r="G680" s="31"/>
    </row>
    <row r="681">
      <c r="G681" s="31"/>
    </row>
    <row r="682">
      <c r="G682" s="31"/>
    </row>
    <row r="683">
      <c r="G683" s="31"/>
    </row>
    <row r="684">
      <c r="G684" s="31"/>
    </row>
    <row r="685">
      <c r="G685" s="31"/>
    </row>
    <row r="686">
      <c r="G686" s="31"/>
    </row>
    <row r="687">
      <c r="G687" s="31"/>
    </row>
    <row r="688">
      <c r="G688" s="31"/>
    </row>
    <row r="689">
      <c r="G689" s="31"/>
    </row>
    <row r="690">
      <c r="G690" s="31"/>
    </row>
    <row r="691">
      <c r="G691" s="31"/>
    </row>
    <row r="692">
      <c r="G692" s="31"/>
    </row>
    <row r="693">
      <c r="G693" s="31"/>
    </row>
    <row r="694">
      <c r="G694" s="31"/>
    </row>
    <row r="695">
      <c r="G695" s="31"/>
    </row>
    <row r="696">
      <c r="G696" s="31"/>
    </row>
    <row r="697">
      <c r="G697" s="31"/>
    </row>
    <row r="698">
      <c r="G698" s="31"/>
    </row>
    <row r="699">
      <c r="G699" s="31"/>
    </row>
    <row r="700">
      <c r="G700" s="31"/>
    </row>
    <row r="701">
      <c r="G701" s="31"/>
    </row>
    <row r="702">
      <c r="G702" s="31"/>
    </row>
    <row r="703">
      <c r="G703" s="31"/>
    </row>
    <row r="704">
      <c r="G704" s="31"/>
    </row>
    <row r="705">
      <c r="G705" s="31"/>
    </row>
    <row r="706">
      <c r="G706" s="31"/>
    </row>
    <row r="707">
      <c r="G707" s="31"/>
    </row>
    <row r="708">
      <c r="G708" s="31"/>
    </row>
    <row r="709">
      <c r="G709" s="31"/>
    </row>
    <row r="710">
      <c r="G710" s="31"/>
    </row>
    <row r="711">
      <c r="G711" s="31"/>
    </row>
    <row r="712">
      <c r="G712" s="31"/>
    </row>
    <row r="713">
      <c r="G713" s="31"/>
    </row>
    <row r="714">
      <c r="G714" s="31"/>
    </row>
    <row r="715">
      <c r="G715" s="31"/>
    </row>
    <row r="716">
      <c r="G716" s="31"/>
    </row>
    <row r="717">
      <c r="G717" s="31"/>
    </row>
    <row r="718">
      <c r="G718" s="31"/>
    </row>
    <row r="719">
      <c r="G719" s="31"/>
    </row>
    <row r="720">
      <c r="G720" s="31"/>
    </row>
    <row r="721">
      <c r="G721" s="31"/>
    </row>
    <row r="722">
      <c r="G722" s="31"/>
    </row>
    <row r="723">
      <c r="G723" s="31"/>
    </row>
    <row r="724">
      <c r="G724" s="31"/>
    </row>
    <row r="725">
      <c r="G725" s="31"/>
    </row>
    <row r="726">
      <c r="G726" s="31"/>
    </row>
    <row r="727">
      <c r="G727" s="31"/>
    </row>
    <row r="728">
      <c r="G728" s="31"/>
    </row>
    <row r="729">
      <c r="G729" s="31"/>
    </row>
    <row r="730">
      <c r="G730" s="31"/>
    </row>
    <row r="731">
      <c r="G731" s="31"/>
    </row>
    <row r="732">
      <c r="G732" s="31"/>
    </row>
    <row r="733">
      <c r="G733" s="31"/>
    </row>
    <row r="734">
      <c r="G734" s="31"/>
    </row>
    <row r="735">
      <c r="G735" s="31"/>
    </row>
    <row r="736">
      <c r="G736" s="31"/>
    </row>
    <row r="737">
      <c r="G737" s="31"/>
    </row>
    <row r="738">
      <c r="G738" s="31"/>
    </row>
    <row r="739">
      <c r="G739" s="31"/>
    </row>
    <row r="740">
      <c r="G740" s="31"/>
    </row>
    <row r="741">
      <c r="G741" s="31"/>
    </row>
    <row r="742">
      <c r="G742" s="31"/>
    </row>
    <row r="743">
      <c r="G743" s="31"/>
    </row>
    <row r="744">
      <c r="G744" s="31"/>
    </row>
    <row r="745">
      <c r="G745" s="31"/>
    </row>
    <row r="746">
      <c r="G746" s="31"/>
    </row>
    <row r="747">
      <c r="G747" s="31"/>
    </row>
    <row r="748">
      <c r="G748" s="31"/>
    </row>
    <row r="749">
      <c r="G749" s="31"/>
    </row>
    <row r="750">
      <c r="G750" s="31"/>
    </row>
    <row r="751">
      <c r="G751" s="31"/>
    </row>
    <row r="752">
      <c r="G752" s="31"/>
    </row>
    <row r="753">
      <c r="G753" s="31"/>
    </row>
    <row r="754">
      <c r="G754" s="31"/>
    </row>
    <row r="755">
      <c r="G755" s="31"/>
    </row>
    <row r="756">
      <c r="G756" s="31"/>
    </row>
    <row r="757">
      <c r="G757" s="31"/>
    </row>
    <row r="758">
      <c r="G758" s="31"/>
    </row>
    <row r="759">
      <c r="G759" s="31"/>
    </row>
    <row r="760">
      <c r="G760" s="31"/>
    </row>
    <row r="761">
      <c r="G761" s="31"/>
    </row>
    <row r="762">
      <c r="G762" s="31"/>
    </row>
    <row r="763">
      <c r="G763" s="31"/>
    </row>
    <row r="764">
      <c r="G764" s="31"/>
    </row>
    <row r="765">
      <c r="G765" s="31"/>
    </row>
    <row r="766">
      <c r="G766" s="31"/>
    </row>
    <row r="767">
      <c r="G767" s="31"/>
    </row>
    <row r="768">
      <c r="G768" s="31"/>
    </row>
    <row r="769">
      <c r="G769" s="31"/>
    </row>
    <row r="770">
      <c r="G770" s="31"/>
    </row>
    <row r="771">
      <c r="G771" s="31"/>
    </row>
    <row r="772">
      <c r="G772" s="31"/>
    </row>
    <row r="773">
      <c r="G773" s="31"/>
    </row>
    <row r="774">
      <c r="G774" s="31"/>
    </row>
    <row r="775">
      <c r="G775" s="31"/>
    </row>
    <row r="776">
      <c r="G776" s="31"/>
    </row>
    <row r="777">
      <c r="G777" s="31"/>
    </row>
    <row r="778">
      <c r="G778" s="31"/>
    </row>
    <row r="779">
      <c r="G779" s="31"/>
    </row>
    <row r="780">
      <c r="G780" s="31"/>
    </row>
    <row r="781">
      <c r="G781" s="31"/>
    </row>
    <row r="782">
      <c r="G782" s="31"/>
    </row>
    <row r="783">
      <c r="G783" s="31"/>
    </row>
    <row r="784">
      <c r="G784" s="31"/>
    </row>
    <row r="785">
      <c r="G785" s="31"/>
    </row>
    <row r="786">
      <c r="G786" s="31"/>
    </row>
    <row r="787">
      <c r="G787" s="31"/>
    </row>
    <row r="788">
      <c r="G788" s="31"/>
    </row>
    <row r="789">
      <c r="G789" s="31"/>
    </row>
    <row r="790">
      <c r="G790" s="31"/>
    </row>
    <row r="791">
      <c r="G791" s="31"/>
    </row>
    <row r="792">
      <c r="G792" s="31"/>
    </row>
    <row r="793">
      <c r="G793" s="31"/>
    </row>
    <row r="794">
      <c r="G794" s="31"/>
    </row>
    <row r="795">
      <c r="G795" s="31"/>
    </row>
    <row r="796">
      <c r="G796" s="31"/>
    </row>
    <row r="797">
      <c r="G797" s="31"/>
    </row>
    <row r="798">
      <c r="G798" s="31"/>
    </row>
    <row r="799">
      <c r="G799" s="31"/>
    </row>
    <row r="800">
      <c r="G800" s="31"/>
    </row>
    <row r="801">
      <c r="G801" s="31"/>
    </row>
    <row r="802">
      <c r="G802" s="31"/>
    </row>
    <row r="803">
      <c r="G803" s="31"/>
    </row>
    <row r="804">
      <c r="G804" s="31"/>
    </row>
    <row r="805">
      <c r="G805" s="31"/>
    </row>
    <row r="806">
      <c r="G806" s="31"/>
    </row>
    <row r="807">
      <c r="G807" s="31"/>
    </row>
    <row r="808">
      <c r="G808" s="31"/>
    </row>
    <row r="809">
      <c r="G809" s="31"/>
    </row>
    <row r="810">
      <c r="G810" s="31"/>
    </row>
    <row r="811">
      <c r="G811" s="31"/>
    </row>
    <row r="812">
      <c r="G812" s="31"/>
    </row>
    <row r="813">
      <c r="G813" s="31"/>
    </row>
    <row r="814">
      <c r="G814" s="31"/>
    </row>
    <row r="815">
      <c r="G815" s="31"/>
    </row>
    <row r="816">
      <c r="G816" s="31"/>
    </row>
    <row r="817">
      <c r="G817" s="31"/>
    </row>
    <row r="818">
      <c r="G818" s="31"/>
    </row>
    <row r="819">
      <c r="G819" s="31"/>
    </row>
    <row r="820">
      <c r="G820" s="31"/>
    </row>
    <row r="821">
      <c r="G821" s="31"/>
    </row>
    <row r="822">
      <c r="G822" s="31"/>
    </row>
    <row r="823">
      <c r="G823" s="31"/>
    </row>
    <row r="824">
      <c r="G824" s="31"/>
    </row>
    <row r="825">
      <c r="G825" s="31"/>
    </row>
    <row r="826">
      <c r="G826" s="31"/>
    </row>
    <row r="827">
      <c r="G827" s="31"/>
    </row>
    <row r="828">
      <c r="G828" s="31"/>
    </row>
    <row r="829">
      <c r="G829" s="31"/>
    </row>
    <row r="830">
      <c r="G830" s="31"/>
    </row>
    <row r="831">
      <c r="G831" s="31"/>
    </row>
    <row r="832">
      <c r="G832" s="31"/>
    </row>
    <row r="833">
      <c r="G833" s="31"/>
    </row>
    <row r="834">
      <c r="G834" s="31"/>
    </row>
    <row r="835">
      <c r="G835" s="31"/>
    </row>
    <row r="836">
      <c r="G836" s="31"/>
    </row>
    <row r="837">
      <c r="G837" s="31"/>
    </row>
    <row r="838">
      <c r="G838" s="31"/>
    </row>
    <row r="839">
      <c r="G839" s="31"/>
    </row>
    <row r="840">
      <c r="G840" s="31"/>
    </row>
    <row r="841">
      <c r="G841" s="31"/>
    </row>
    <row r="842">
      <c r="G842" s="31"/>
    </row>
    <row r="843">
      <c r="G843" s="31"/>
    </row>
    <row r="844">
      <c r="G844" s="31"/>
    </row>
    <row r="845">
      <c r="G845" s="31"/>
    </row>
    <row r="846">
      <c r="G846" s="31"/>
    </row>
    <row r="847">
      <c r="G847" s="31"/>
    </row>
    <row r="848">
      <c r="G848" s="31"/>
    </row>
    <row r="849">
      <c r="G849" s="31"/>
    </row>
    <row r="850">
      <c r="G850" s="31"/>
    </row>
    <row r="851">
      <c r="G851" s="31"/>
    </row>
    <row r="852">
      <c r="G852" s="31"/>
    </row>
    <row r="853">
      <c r="G853" s="31"/>
    </row>
    <row r="854">
      <c r="G854" s="31"/>
    </row>
    <row r="855">
      <c r="G855" s="31"/>
    </row>
    <row r="856">
      <c r="G856" s="31"/>
    </row>
    <row r="857">
      <c r="G857" s="31"/>
    </row>
    <row r="858">
      <c r="G858" s="31"/>
    </row>
    <row r="859">
      <c r="G859" s="31"/>
    </row>
    <row r="860">
      <c r="G860" s="31"/>
    </row>
    <row r="861">
      <c r="G861" s="31"/>
    </row>
    <row r="862">
      <c r="G862" s="31"/>
    </row>
    <row r="863">
      <c r="G863" s="31"/>
    </row>
    <row r="864">
      <c r="G864" s="31"/>
    </row>
    <row r="865">
      <c r="G865" s="31"/>
    </row>
    <row r="866">
      <c r="G866" s="31"/>
    </row>
    <row r="867">
      <c r="G867" s="31"/>
    </row>
    <row r="868">
      <c r="G868" s="31"/>
    </row>
    <row r="869">
      <c r="G869" s="31"/>
    </row>
    <row r="870">
      <c r="G870" s="31"/>
    </row>
    <row r="871">
      <c r="G871" s="31"/>
    </row>
    <row r="872">
      <c r="G872" s="31"/>
    </row>
    <row r="873">
      <c r="G873" s="31"/>
    </row>
    <row r="874">
      <c r="G874" s="31"/>
    </row>
    <row r="875">
      <c r="G875" s="31"/>
    </row>
    <row r="876">
      <c r="G876" s="31"/>
    </row>
    <row r="877">
      <c r="G877" s="31"/>
    </row>
    <row r="878">
      <c r="G878" s="31"/>
    </row>
    <row r="879">
      <c r="G879" s="31"/>
    </row>
    <row r="880">
      <c r="G880" s="31"/>
    </row>
    <row r="881">
      <c r="G881" s="31"/>
    </row>
    <row r="882">
      <c r="G882" s="31"/>
    </row>
    <row r="883">
      <c r="G883" s="31"/>
    </row>
    <row r="884">
      <c r="G884" s="31"/>
    </row>
    <row r="885">
      <c r="G885" s="31"/>
    </row>
    <row r="886">
      <c r="G886" s="31"/>
    </row>
    <row r="887">
      <c r="G887" s="31"/>
    </row>
    <row r="888">
      <c r="G888" s="31"/>
    </row>
    <row r="889">
      <c r="G889" s="31"/>
    </row>
    <row r="890">
      <c r="G890" s="31"/>
    </row>
    <row r="891">
      <c r="G891" s="31"/>
    </row>
    <row r="892">
      <c r="G892" s="31"/>
    </row>
    <row r="893">
      <c r="G893" s="31"/>
    </row>
    <row r="894">
      <c r="G894" s="31"/>
    </row>
    <row r="895">
      <c r="G895" s="31"/>
    </row>
    <row r="896">
      <c r="G896" s="31"/>
    </row>
    <row r="897">
      <c r="G897" s="31"/>
    </row>
    <row r="898">
      <c r="G898" s="31"/>
    </row>
    <row r="899">
      <c r="G899" s="31"/>
    </row>
    <row r="900">
      <c r="G900" s="31"/>
    </row>
    <row r="901">
      <c r="G901" s="31"/>
    </row>
    <row r="902">
      <c r="G902" s="31"/>
    </row>
    <row r="903">
      <c r="G903" s="31"/>
    </row>
    <row r="904">
      <c r="G904" s="31"/>
    </row>
    <row r="905">
      <c r="G905" s="31"/>
    </row>
    <row r="906">
      <c r="G906" s="31"/>
    </row>
    <row r="907">
      <c r="G907" s="31"/>
    </row>
    <row r="908">
      <c r="G908" s="31"/>
    </row>
    <row r="909">
      <c r="G909" s="31"/>
    </row>
    <row r="910">
      <c r="G910" s="31"/>
    </row>
    <row r="911">
      <c r="G911" s="31"/>
    </row>
    <row r="912">
      <c r="G912" s="31"/>
    </row>
    <row r="913">
      <c r="G913" s="31"/>
    </row>
    <row r="914">
      <c r="G914" s="31"/>
    </row>
    <row r="915">
      <c r="G915" s="31"/>
    </row>
    <row r="916">
      <c r="G916" s="31"/>
    </row>
    <row r="917">
      <c r="G917" s="31"/>
    </row>
    <row r="918">
      <c r="G918" s="31"/>
    </row>
    <row r="919">
      <c r="G919" s="31"/>
    </row>
    <row r="920">
      <c r="G920" s="31"/>
    </row>
    <row r="921">
      <c r="G921" s="31"/>
    </row>
    <row r="922">
      <c r="G922" s="31"/>
    </row>
    <row r="923">
      <c r="G923" s="31"/>
    </row>
    <row r="924">
      <c r="G924" s="31"/>
    </row>
    <row r="925">
      <c r="G925" s="31"/>
    </row>
    <row r="926">
      <c r="G926" s="31"/>
    </row>
    <row r="927">
      <c r="G927" s="31"/>
    </row>
    <row r="928">
      <c r="G928" s="31"/>
    </row>
    <row r="929">
      <c r="G929" s="31"/>
    </row>
    <row r="930">
      <c r="G930" s="31"/>
    </row>
    <row r="931">
      <c r="G931" s="31"/>
    </row>
    <row r="932">
      <c r="G932" s="31"/>
    </row>
    <row r="933">
      <c r="G933" s="31"/>
    </row>
    <row r="934">
      <c r="G934" s="31"/>
    </row>
    <row r="935">
      <c r="G935" s="31"/>
    </row>
    <row r="936">
      <c r="G936" s="31"/>
    </row>
    <row r="937">
      <c r="G937" s="31"/>
    </row>
    <row r="938">
      <c r="G938" s="31"/>
    </row>
    <row r="939">
      <c r="G939" s="31"/>
    </row>
    <row r="940">
      <c r="G940" s="31"/>
    </row>
    <row r="941">
      <c r="G941" s="31"/>
    </row>
    <row r="942">
      <c r="G942" s="31"/>
    </row>
    <row r="943">
      <c r="G943" s="31"/>
    </row>
    <row r="944">
      <c r="G944" s="31"/>
    </row>
    <row r="945">
      <c r="G945" s="31"/>
    </row>
    <row r="946">
      <c r="G946" s="31"/>
    </row>
    <row r="947">
      <c r="G947" s="31"/>
    </row>
    <row r="948">
      <c r="G948" s="31"/>
    </row>
    <row r="949">
      <c r="G949" s="31"/>
    </row>
    <row r="950">
      <c r="G950" s="31"/>
    </row>
    <row r="951">
      <c r="G951" s="31"/>
    </row>
    <row r="952">
      <c r="G952" s="31"/>
    </row>
    <row r="953">
      <c r="G953" s="31"/>
    </row>
    <row r="954">
      <c r="G954" s="31"/>
    </row>
    <row r="955">
      <c r="G955" s="31"/>
    </row>
    <row r="956">
      <c r="G956" s="31"/>
    </row>
    <row r="957">
      <c r="G957" s="31"/>
    </row>
    <row r="958">
      <c r="G958" s="31"/>
    </row>
    <row r="959">
      <c r="G959" s="31"/>
    </row>
    <row r="960">
      <c r="G960" s="31"/>
    </row>
    <row r="961">
      <c r="G961" s="31"/>
    </row>
    <row r="962">
      <c r="G962" s="31"/>
    </row>
    <row r="963">
      <c r="G963" s="31"/>
    </row>
    <row r="964">
      <c r="G964" s="31"/>
    </row>
    <row r="965">
      <c r="G965" s="31"/>
    </row>
    <row r="966">
      <c r="G966" s="31"/>
    </row>
    <row r="967">
      <c r="G967" s="31"/>
    </row>
    <row r="968">
      <c r="G968" s="31"/>
    </row>
    <row r="969">
      <c r="G969" s="31"/>
    </row>
    <row r="970">
      <c r="G970" s="31"/>
    </row>
    <row r="971">
      <c r="G971" s="31"/>
    </row>
    <row r="972">
      <c r="G972" s="31"/>
    </row>
    <row r="973">
      <c r="G973" s="31"/>
    </row>
    <row r="974">
      <c r="G974" s="31"/>
    </row>
    <row r="975">
      <c r="G975" s="31"/>
    </row>
    <row r="976">
      <c r="G976" s="31"/>
    </row>
    <row r="977">
      <c r="G977" s="31"/>
    </row>
    <row r="978">
      <c r="G978" s="31"/>
    </row>
    <row r="979">
      <c r="G979" s="31"/>
    </row>
    <row r="980">
      <c r="G980" s="31"/>
    </row>
    <row r="981">
      <c r="G981" s="31"/>
    </row>
    <row r="982">
      <c r="G982" s="31"/>
    </row>
    <row r="983">
      <c r="G983" s="31"/>
    </row>
    <row r="984">
      <c r="G984" s="31"/>
    </row>
    <row r="985">
      <c r="G985" s="31"/>
    </row>
    <row r="986">
      <c r="G986" s="31"/>
    </row>
    <row r="987">
      <c r="G987" s="31"/>
    </row>
    <row r="988">
      <c r="G988" s="31"/>
    </row>
    <row r="989">
      <c r="G989" s="31"/>
    </row>
    <row r="990">
      <c r="G990" s="31"/>
    </row>
  </sheetData>
  <mergeCells count="5">
    <mergeCell ref="A1:A2"/>
    <mergeCell ref="B1:B2"/>
    <mergeCell ref="C1:C2"/>
    <mergeCell ref="D1:D2"/>
    <mergeCell ref="E1:E2"/>
  </mergeCells>
  <conditionalFormatting sqref="F3:AU29">
    <cfRule type="cellIs" dxfId="3" priority="1" operator="equal">
      <formula>1</formula>
    </cfRule>
  </conditionalFormatting>
  <conditionalFormatting sqref="F3:AU29">
    <cfRule type="cellIs" dxfId="4" priority="2" operator="equal">
      <formula>"R"</formula>
    </cfRule>
  </conditionalFormatting>
  <conditionalFormatting sqref="B3:C29">
    <cfRule type="cellIs" dxfId="5" priority="3" operator="greaterThanOrEqual">
      <formula>3</formula>
    </cfRule>
  </conditionalFormatting>
  <conditionalFormatting sqref="B3:B29">
    <cfRule type="cellIs" dxfId="6" priority="4" operator="lessThan">
      <formula>1</formula>
    </cfRule>
  </conditionalFormatting>
  <conditionalFormatting sqref="B3:B30 C3:C32">
    <cfRule type="cellIs" dxfId="7" priority="5" operator="equal">
      <formula>0</formula>
    </cfRule>
  </conditionalFormatting>
  <conditionalFormatting sqref="B3:C29">
    <cfRule type="cellIs" dxfId="8" priority="6" operator="lessThan">
      <formula>2</formula>
    </cfRule>
  </conditionalFormatting>
  <conditionalFormatting sqref="B3:C29">
    <cfRule type="cellIs" dxfId="9" priority="7" operator="lessThan">
      <formula>3</formula>
    </cfRule>
  </conditionalFormatting>
  <conditionalFormatting sqref="B3:B30 C3:C32">
    <cfRule type="containsBlanks" dxfId="6" priority="8">
      <formula>LEN(TRIM(B3))=0</formula>
    </cfRule>
  </conditionalFormatting>
  <conditionalFormatting sqref="F3:AU29">
    <cfRule type="cellIs" dxfId="10" priority="9" operator="equal">
      <formula>"R2"</formula>
    </cfRule>
  </conditionalFormatting>
  <conditionalFormatting sqref="F30:AU30">
    <cfRule type="cellIs" dxfId="7" priority="10" operator="lessThan">
      <formula>1</formula>
    </cfRule>
  </conditionalFormatting>
  <conditionalFormatting sqref="F30:AU30">
    <cfRule type="cellIs" dxfId="3" priority="11" operator="equal">
      <formula>1</formula>
    </cfRule>
  </conditionalFormatting>
  <conditionalFormatting sqref="F30:AU30">
    <cfRule type="cellIs" dxfId="11" priority="12" operator="greaterThan">
      <formula>1</formula>
    </cfRule>
  </conditionalFormatting>
  <conditionalFormatting sqref="D3:E30">
    <cfRule type="cellIs" dxfId="9" priority="13" operator="equal">
      <formula>1</formula>
    </cfRule>
  </conditionalFormatting>
  <conditionalFormatting sqref="F31:AU32">
    <cfRule type="cellIs" dxfId="7" priority="14" operator="lessThan">
      <formula>1</formula>
    </cfRule>
  </conditionalFormatting>
  <conditionalFormatting sqref="F31:AU32">
    <cfRule type="cellIs" dxfId="12" priority="15" operator="equal">
      <formula>1</formula>
    </cfRule>
  </conditionalFormatting>
  <conditionalFormatting sqref="F31:AU32">
    <cfRule type="cellIs" dxfId="11" priority="16" operator="greaterThan">
      <formula>1</formula>
    </cfRule>
  </conditionalFormatting>
  <conditionalFormatting sqref="D3:D29">
    <cfRule type="cellIs" dxfId="7" priority="17" operator="equal">
      <formula>0</formula>
    </cfRule>
  </conditionalFormatting>
  <conditionalFormatting sqref="D3:D29">
    <cfRule type="cellIs" dxfId="4" priority="18" operator="equal">
      <formula>2</formula>
    </cfRule>
  </conditionalFormatting>
  <conditionalFormatting sqref="E3:E29">
    <cfRule type="cellIs" dxfId="7" priority="19" operator="equal">
      <formula>0</formula>
    </cfRule>
  </conditionalFormatting>
  <conditionalFormatting sqref="E3:E29">
    <cfRule type="cellIs" dxfId="4" priority="20" operator="greaterThanOrEqual">
      <formula>2</formula>
    </cfRule>
  </conditionalFormatting>
  <conditionalFormatting sqref="C34">
    <cfRule type="notContainsBlanks" dxfId="3" priority="21">
      <formula>LEN(TRIM(C34))&gt;0</formula>
    </cfRule>
  </conditionalFormatting>
  <conditionalFormatting sqref="AR2:AU2">
    <cfRule type="containsText" dxfId="13" priority="22" operator="containsText" text="(PAM)">
      <formula>NOT(ISERROR(SEARCH(("(PAM)"),(AR2))))</formula>
    </cfRule>
  </conditionalFormatting>
  <conditionalFormatting sqref="AR2:AU2">
    <cfRule type="containsText" dxfId="13" priority="23" operator="containsText" text="(PPM)">
      <formula>NOT(ISERROR(SEARCH(("(PPM)"),(AR2))))</formula>
    </cfRule>
  </conditionalFormatting>
  <conditionalFormatting sqref="F2:AU2">
    <cfRule type="containsText" dxfId="13" priority="24" operator="containsText" text="PAM">
      <formula>NOT(ISERROR(SEARCH(("PAM"),(F2))))</formula>
    </cfRule>
  </conditionalFormatting>
  <conditionalFormatting sqref="F2:AU2">
    <cfRule type="containsText" dxfId="13" priority="25" operator="containsText" text="PPM">
      <formula>NOT(ISERROR(SEARCH(("PPM"),(F2))))</formula>
    </cfRule>
  </conditionalFormatting>
  <conditionalFormatting sqref="F2:AU2">
    <cfRule type="containsText" dxfId="7" priority="26" operator="containsText" text="(AM)">
      <formula>NOT(ISERROR(SEARCH(("(AM)"),(F2))))</formula>
    </cfRule>
  </conditionalFormatting>
  <conditionalFormatting sqref="F2:AU2">
    <cfRule type="containsText" dxfId="7" priority="27" operator="containsText" text="(PM)">
      <formula>NOT(ISERROR(SEARCH(("(PM)"),(F2))))</formula>
    </cfRule>
  </conditionalFormatting>
  <conditionalFormatting sqref="F2:AU2">
    <cfRule type="notContainsText" dxfId="15" priority="28" operator="notContains" text="(AM)">
      <formula>ISERROR(SEARCH(("(AM)"),(F2)))</formula>
    </cfRule>
  </conditionalFormatting>
  <conditionalFormatting sqref="F2:AU2">
    <cfRule type="notContainsText" dxfId="15" priority="29" operator="notContains" text="(PM)">
      <formula>ISERROR(SEARCH(("(PM)"),(F2)))</formula>
    </cfRule>
  </conditionalFormatting>
  <conditionalFormatting sqref="F2:AU2">
    <cfRule type="notContainsText" dxfId="15" priority="30" operator="notContains" text="(PM)">
      <formula>ISERROR(SEARCH(("(PM)"),(F2)))</formula>
    </cfRule>
  </conditionalFormatting>
  <drawing r:id="rId2"/>
  <legacyDrawing r:id="rId3"/>
  <tableParts count="1">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14.63"/>
    <col customWidth="1" hidden="1" min="2" max="2" width="11.38"/>
    <col customWidth="1" min="4" max="4" width="14.13"/>
    <col customWidth="1" min="6" max="9" width="8.63"/>
    <col customWidth="1" min="10" max="10" width="8.38"/>
    <col customWidth="1" min="11" max="11" width="8.25"/>
    <col customWidth="1" min="12" max="44" width="8.63"/>
    <col customWidth="1" min="45" max="47" width="9.5"/>
    <col customWidth="1" hidden="1" min="48" max="51" width="9.5"/>
  </cols>
  <sheetData>
    <row r="1">
      <c r="A1" s="1" t="s">
        <v>0</v>
      </c>
      <c r="B1" s="1" t="s">
        <v>1</v>
      </c>
      <c r="C1" s="1" t="s">
        <v>2</v>
      </c>
      <c r="D1" s="1" t="s">
        <v>3</v>
      </c>
      <c r="E1" s="1" t="s">
        <v>4</v>
      </c>
      <c r="F1" s="4" t="s">
        <v>204</v>
      </c>
      <c r="G1" s="4" t="s">
        <v>205</v>
      </c>
      <c r="H1" s="4" t="s">
        <v>12</v>
      </c>
      <c r="I1" s="4" t="s">
        <v>13</v>
      </c>
      <c r="J1" s="2" t="s">
        <v>235</v>
      </c>
      <c r="K1" s="2" t="s">
        <v>6</v>
      </c>
      <c r="L1" s="54" t="s">
        <v>7</v>
      </c>
      <c r="M1" s="54" t="s">
        <v>8</v>
      </c>
      <c r="N1" s="55" t="s">
        <v>9</v>
      </c>
      <c r="O1" s="55" t="s">
        <v>10</v>
      </c>
      <c r="P1" s="54" t="s">
        <v>11</v>
      </c>
      <c r="Q1" s="55" t="s">
        <v>12</v>
      </c>
      <c r="R1" s="55" t="s">
        <v>13</v>
      </c>
      <c r="S1" s="55" t="s">
        <v>5</v>
      </c>
      <c r="T1" s="55" t="s">
        <v>6</v>
      </c>
      <c r="U1" s="54" t="s">
        <v>7</v>
      </c>
      <c r="V1" s="54" t="s">
        <v>8</v>
      </c>
      <c r="W1" s="55" t="s">
        <v>9</v>
      </c>
      <c r="X1" s="55" t="s">
        <v>10</v>
      </c>
      <c r="Y1" s="55" t="s">
        <v>11</v>
      </c>
      <c r="Z1" s="55" t="s">
        <v>12</v>
      </c>
      <c r="AA1" s="55" t="s">
        <v>13</v>
      </c>
      <c r="AB1" s="55" t="s">
        <v>5</v>
      </c>
      <c r="AC1" s="55" t="s">
        <v>6</v>
      </c>
      <c r="AD1" s="55" t="s">
        <v>7</v>
      </c>
      <c r="AE1" s="55" t="s">
        <v>8</v>
      </c>
      <c r="AF1" s="55" t="s">
        <v>9</v>
      </c>
      <c r="AG1" s="55" t="s">
        <v>10</v>
      </c>
      <c r="AH1" s="55" t="s">
        <v>11</v>
      </c>
      <c r="AI1" s="55" t="s">
        <v>12</v>
      </c>
      <c r="AJ1" s="55" t="s">
        <v>13</v>
      </c>
      <c r="AK1" s="55" t="s">
        <v>5</v>
      </c>
      <c r="AL1" s="55" t="s">
        <v>6</v>
      </c>
      <c r="AM1" s="55" t="s">
        <v>7</v>
      </c>
      <c r="AN1" s="55" t="s">
        <v>8</v>
      </c>
      <c r="AO1" s="55" t="s">
        <v>9</v>
      </c>
      <c r="AP1" s="55" t="s">
        <v>10</v>
      </c>
      <c r="AQ1" s="4" t="s">
        <v>204</v>
      </c>
      <c r="AR1" s="4" t="s">
        <v>205</v>
      </c>
      <c r="AS1" s="4" t="s">
        <v>155</v>
      </c>
      <c r="AT1" s="4" t="s">
        <v>156</v>
      </c>
      <c r="AU1" s="55" t="s">
        <v>13</v>
      </c>
      <c r="AV1" s="55" t="s">
        <v>5</v>
      </c>
      <c r="AW1" s="55" t="s">
        <v>6</v>
      </c>
      <c r="AX1" s="55" t="s">
        <v>7</v>
      </c>
      <c r="AY1" s="55" t="s">
        <v>8</v>
      </c>
    </row>
    <row r="2">
      <c r="F2" s="51" t="s">
        <v>236</v>
      </c>
      <c r="G2" s="51" t="s">
        <v>237</v>
      </c>
      <c r="H2" s="71">
        <v>45659.0</v>
      </c>
      <c r="I2" s="71">
        <v>45660.0</v>
      </c>
      <c r="J2" s="65" t="s">
        <v>238</v>
      </c>
      <c r="K2" s="65" t="s">
        <v>239</v>
      </c>
      <c r="L2" s="65" t="s">
        <v>240</v>
      </c>
      <c r="M2" s="65" t="s">
        <v>241</v>
      </c>
      <c r="N2" s="56">
        <v>45663.0</v>
      </c>
      <c r="O2" s="56">
        <v>45664.0</v>
      </c>
      <c r="P2" s="56">
        <v>45665.0</v>
      </c>
      <c r="Q2" s="56">
        <v>45666.0</v>
      </c>
      <c r="R2" s="56">
        <v>45667.0</v>
      </c>
      <c r="S2" s="51" t="s">
        <v>242</v>
      </c>
      <c r="T2" s="51" t="s">
        <v>243</v>
      </c>
      <c r="U2" s="51" t="s">
        <v>244</v>
      </c>
      <c r="V2" s="51" t="s">
        <v>245</v>
      </c>
      <c r="W2" s="38">
        <v>45670.0</v>
      </c>
      <c r="X2" s="38">
        <v>45671.0</v>
      </c>
      <c r="Y2" s="38">
        <v>45672.0</v>
      </c>
      <c r="Z2" s="38">
        <v>45673.0</v>
      </c>
      <c r="AA2" s="38">
        <v>45674.0</v>
      </c>
      <c r="AB2" s="51" t="s">
        <v>246</v>
      </c>
      <c r="AC2" s="51" t="s">
        <v>247</v>
      </c>
      <c r="AD2" s="51" t="s">
        <v>248</v>
      </c>
      <c r="AE2" s="51" t="s">
        <v>249</v>
      </c>
      <c r="AF2" s="38">
        <v>45677.0</v>
      </c>
      <c r="AG2" s="38">
        <v>45678.0</v>
      </c>
      <c r="AH2" s="38">
        <v>45679.0</v>
      </c>
      <c r="AI2" s="38">
        <v>45680.0</v>
      </c>
      <c r="AJ2" s="38">
        <v>45681.0</v>
      </c>
      <c r="AK2" s="51" t="s">
        <v>250</v>
      </c>
      <c r="AL2" s="51" t="s">
        <v>251</v>
      </c>
      <c r="AM2" s="51" t="s">
        <v>252</v>
      </c>
      <c r="AN2" s="51" t="s">
        <v>253</v>
      </c>
      <c r="AO2" s="38">
        <v>45684.0</v>
      </c>
      <c r="AP2" s="38">
        <v>45685.0</v>
      </c>
      <c r="AQ2" s="51" t="s">
        <v>254</v>
      </c>
      <c r="AR2" s="65" t="s">
        <v>255</v>
      </c>
      <c r="AS2" s="65" t="s">
        <v>256</v>
      </c>
      <c r="AT2" s="65" t="s">
        <v>257</v>
      </c>
      <c r="AU2" s="38">
        <v>45688.0</v>
      </c>
      <c r="AV2" s="51" t="s">
        <v>250</v>
      </c>
      <c r="AW2" s="51" t="s">
        <v>251</v>
      </c>
      <c r="AX2" s="51" t="s">
        <v>252</v>
      </c>
      <c r="AY2" s="51" t="s">
        <v>253</v>
      </c>
    </row>
    <row r="3">
      <c r="A3" s="39" t="s">
        <v>226</v>
      </c>
      <c r="B3" s="40">
        <f t="shared" ref="B3:B5" si="1">SUM(C3:D3)</f>
        <v>2</v>
      </c>
      <c r="C3" s="10">
        <f t="shared" ref="C3:C25" si="2">SUM(F3:AU3)</f>
        <v>1</v>
      </c>
      <c r="D3" s="11">
        <f t="array" ref="D3">SUM(IF(F3:AU3="R",1,0))</f>
        <v>1</v>
      </c>
      <c r="E3" s="11">
        <f t="array" ref="E3">SUM(IF(F3:AU3="R2",1,0))</f>
        <v>2</v>
      </c>
      <c r="F3" s="59"/>
      <c r="G3" s="59" t="s">
        <v>40</v>
      </c>
      <c r="H3" s="16"/>
      <c r="I3" s="16"/>
      <c r="N3" s="16"/>
      <c r="O3" s="16"/>
      <c r="R3" s="16"/>
      <c r="V3" s="17" t="s">
        <v>39</v>
      </c>
      <c r="X3" s="16"/>
      <c r="AA3" s="16"/>
      <c r="AG3" s="16"/>
      <c r="AO3" s="16"/>
      <c r="AR3" s="17">
        <v>1.0</v>
      </c>
      <c r="AT3" s="17" t="s">
        <v>40</v>
      </c>
    </row>
    <row r="4">
      <c r="A4" s="14" t="s">
        <v>146</v>
      </c>
      <c r="B4" s="10">
        <f t="shared" si="1"/>
        <v>3</v>
      </c>
      <c r="C4" s="10">
        <f t="shared" si="2"/>
        <v>1</v>
      </c>
      <c r="D4" s="11">
        <f t="array" ref="D4">SUM(IF(F4:AU4="R",1,0))</f>
        <v>2</v>
      </c>
      <c r="E4" s="11">
        <f t="array" ref="E4">SUM(IF(F4:AU4="R2",1,0))</f>
        <v>1</v>
      </c>
      <c r="H4" s="16"/>
      <c r="I4" s="16"/>
      <c r="L4" s="17" t="s">
        <v>40</v>
      </c>
      <c r="M4" s="67"/>
      <c r="N4" s="60"/>
      <c r="O4" s="60"/>
      <c r="Q4" s="16"/>
      <c r="U4" s="16"/>
      <c r="V4" s="16"/>
      <c r="X4" s="16"/>
      <c r="AA4" s="16"/>
      <c r="AH4" s="17" t="s">
        <v>39</v>
      </c>
      <c r="AQ4" s="17">
        <v>1.0</v>
      </c>
      <c r="AT4" s="17" t="s">
        <v>39</v>
      </c>
    </row>
    <row r="5">
      <c r="A5" s="14" t="s">
        <v>44</v>
      </c>
      <c r="B5" s="10">
        <f t="shared" si="1"/>
        <v>2</v>
      </c>
      <c r="C5" s="10">
        <f t="shared" si="2"/>
        <v>1</v>
      </c>
      <c r="D5" s="11">
        <f t="array" ref="D5">SUM(IF(F5:AU5="R",1,0))</f>
        <v>1</v>
      </c>
      <c r="E5" s="11">
        <f t="array" ref="E5">SUM(IF(F5:AU5="R2",1,0))</f>
        <v>2</v>
      </c>
      <c r="H5" s="16"/>
      <c r="I5" s="16"/>
      <c r="J5" s="17" t="s">
        <v>62</v>
      </c>
      <c r="M5" s="17" t="s">
        <v>39</v>
      </c>
      <c r="N5" s="60"/>
      <c r="O5" s="60"/>
      <c r="V5" s="17" t="s">
        <v>40</v>
      </c>
      <c r="AA5" s="16"/>
      <c r="AH5" s="17">
        <v>1.0</v>
      </c>
      <c r="AM5" s="16"/>
      <c r="AN5" s="16"/>
      <c r="AO5" s="16"/>
      <c r="AP5" s="16"/>
      <c r="AQ5" s="16"/>
      <c r="AR5" s="21"/>
      <c r="AS5" s="16"/>
      <c r="AT5" s="16"/>
      <c r="AU5" s="16"/>
    </row>
    <row r="6">
      <c r="A6" s="14" t="s">
        <v>175</v>
      </c>
      <c r="B6" s="10"/>
      <c r="C6" s="10">
        <f t="shared" si="2"/>
        <v>2</v>
      </c>
      <c r="D6" s="11">
        <f t="array" ref="D6">SUM(IF(F6:AU6="R",1,0))</f>
        <v>1</v>
      </c>
      <c r="E6" s="11">
        <f t="array" ref="E6">SUM(IF(F6:AU6="R2",1,0))</f>
        <v>2</v>
      </c>
      <c r="I6" s="17" t="s">
        <v>40</v>
      </c>
      <c r="Q6" s="17" t="s">
        <v>40</v>
      </c>
      <c r="Y6" s="17" t="s">
        <v>39</v>
      </c>
      <c r="AI6" s="17">
        <v>1.0</v>
      </c>
      <c r="AL6" s="17">
        <v>1.0</v>
      </c>
      <c r="AU6" s="21"/>
    </row>
    <row r="7">
      <c r="A7" s="25" t="s">
        <v>147</v>
      </c>
      <c r="B7" s="10">
        <f t="shared" ref="B7:B9" si="3">SUM(C7:D7)</f>
        <v>3</v>
      </c>
      <c r="C7" s="10">
        <f t="shared" si="2"/>
        <v>1</v>
      </c>
      <c r="D7" s="11">
        <f t="array" ref="D7">SUM(IF(F7:AU7="R",1,0))</f>
        <v>2</v>
      </c>
      <c r="E7" s="11">
        <f t="array" ref="E7">SUM(IF(F7:AU7="R2",1,0))</f>
        <v>2</v>
      </c>
      <c r="F7" s="17" t="s">
        <v>39</v>
      </c>
      <c r="H7" s="17" t="s">
        <v>40</v>
      </c>
      <c r="T7" s="72"/>
      <c r="AI7" s="17" t="s">
        <v>40</v>
      </c>
      <c r="AP7" s="17" t="s">
        <v>39</v>
      </c>
      <c r="AT7" s="17">
        <v>1.0</v>
      </c>
    </row>
    <row r="8">
      <c r="A8" s="25" t="s">
        <v>47</v>
      </c>
      <c r="B8" s="10">
        <f t="shared" si="3"/>
        <v>3</v>
      </c>
      <c r="C8" s="10">
        <f t="shared" si="2"/>
        <v>1</v>
      </c>
      <c r="D8" s="11">
        <f t="array" ref="D8">SUM(IF(F8:AU8="R",1,0))</f>
        <v>2</v>
      </c>
      <c r="E8" s="11">
        <f t="array" ref="E8">SUM(IF(F8:AU8="R2",1,0))</f>
        <v>2</v>
      </c>
      <c r="Y8" s="45"/>
      <c r="Z8" s="47"/>
      <c r="AA8" s="45"/>
      <c r="AC8" s="17" t="s">
        <v>40</v>
      </c>
      <c r="AF8" s="45"/>
      <c r="AG8" s="17" t="s">
        <v>40</v>
      </c>
      <c r="AN8" s="17" t="s">
        <v>39</v>
      </c>
      <c r="AS8" s="17">
        <v>1.0</v>
      </c>
      <c r="AU8" s="17" t="s">
        <v>39</v>
      </c>
    </row>
    <row r="9">
      <c r="A9" s="26" t="s">
        <v>55</v>
      </c>
      <c r="B9" s="10">
        <f t="shared" si="3"/>
        <v>2</v>
      </c>
      <c r="C9" s="10">
        <f t="shared" si="2"/>
        <v>1</v>
      </c>
      <c r="D9" s="11">
        <f t="array" ref="D9">SUM(IF(F9:AU9="R",1,0))</f>
        <v>1</v>
      </c>
      <c r="E9" s="11">
        <f t="array" ref="E9">SUM(IF(F9:AU9="R2",1,0))</f>
        <v>1</v>
      </c>
      <c r="G9" s="61"/>
      <c r="H9" s="61"/>
      <c r="I9" s="61"/>
      <c r="J9" s="17">
        <v>1.0</v>
      </c>
      <c r="K9" s="61"/>
      <c r="M9" s="61"/>
      <c r="N9" s="61"/>
      <c r="O9" s="61"/>
      <c r="P9" s="61"/>
      <c r="Q9" s="61"/>
      <c r="R9" s="61"/>
      <c r="T9" s="61"/>
      <c r="V9" s="61"/>
      <c r="W9" s="61"/>
      <c r="X9" s="61"/>
      <c r="Y9" s="61"/>
      <c r="Z9" s="61"/>
      <c r="AA9" s="61"/>
      <c r="AC9" s="61"/>
      <c r="AE9" s="61"/>
      <c r="AF9" s="61"/>
      <c r="AG9" s="61"/>
      <c r="AH9" s="61"/>
      <c r="AI9" s="61"/>
      <c r="AJ9" s="61"/>
      <c r="AK9" s="17" t="s">
        <v>40</v>
      </c>
      <c r="AL9" s="61"/>
      <c r="AM9" s="17" t="s">
        <v>39</v>
      </c>
      <c r="AN9" s="61"/>
      <c r="AO9" s="61"/>
      <c r="AP9" s="61"/>
      <c r="AR9" s="61"/>
      <c r="AT9" s="61"/>
      <c r="AU9" s="61"/>
    </row>
    <row r="10">
      <c r="A10" s="23" t="s">
        <v>176</v>
      </c>
      <c r="B10" s="10"/>
      <c r="C10" s="10">
        <f t="shared" si="2"/>
        <v>2</v>
      </c>
      <c r="D10" s="11">
        <f t="array" ref="D10">SUM(IF(F10:AU10="R",1,0))</f>
        <v>2</v>
      </c>
      <c r="E10" s="11">
        <f t="array" ref="E10">SUM(IF(F10:AU10="R2",1,0))</f>
        <v>2</v>
      </c>
      <c r="X10" s="17"/>
      <c r="Z10" s="17">
        <v>1.0</v>
      </c>
      <c r="AC10" s="17" t="s">
        <v>39</v>
      </c>
      <c r="AG10" s="17">
        <v>1.0</v>
      </c>
      <c r="AJ10" s="17" t="s">
        <v>40</v>
      </c>
      <c r="AR10" s="17" t="s">
        <v>39</v>
      </c>
      <c r="AU10" s="17" t="s">
        <v>40</v>
      </c>
    </row>
    <row r="11">
      <c r="A11" s="9" t="s">
        <v>227</v>
      </c>
      <c r="B11" s="10"/>
      <c r="C11" s="10">
        <f t="shared" si="2"/>
        <v>2</v>
      </c>
      <c r="D11" s="11">
        <f t="array" ref="D11">SUM(IF(F11:AU11="R",1,0))</f>
        <v>1</v>
      </c>
      <c r="E11" s="11">
        <f t="array" ref="E11">SUM(IF(F11:AU11="R2",1,0))</f>
        <v>1</v>
      </c>
      <c r="G11" s="17" t="s">
        <v>39</v>
      </c>
      <c r="K11" s="17">
        <v>1.0</v>
      </c>
      <c r="O11" s="17">
        <v>1.0</v>
      </c>
      <c r="X11" s="17" t="s">
        <v>40</v>
      </c>
      <c r="AK11" s="16"/>
      <c r="AL11" s="16"/>
      <c r="AM11" s="16"/>
      <c r="AN11" s="16"/>
    </row>
    <row r="12" hidden="1">
      <c r="A12" s="9" t="s">
        <v>56</v>
      </c>
      <c r="B12" s="10">
        <f>SUM(C12:D12)</f>
        <v>0</v>
      </c>
      <c r="C12" s="10">
        <f t="shared" si="2"/>
        <v>0</v>
      </c>
      <c r="D12" s="11">
        <f t="array" ref="D12">SUM(IF(F12:AU12="R",1,0))</f>
        <v>0</v>
      </c>
      <c r="E12" s="11">
        <f t="array" ref="E12">SUM(IF(F12:AU12="R2",1,0))</f>
        <v>0</v>
      </c>
      <c r="H12" s="12"/>
      <c r="J12" s="13"/>
      <c r="K12" s="12"/>
      <c r="N12" s="12"/>
      <c r="O12" s="12"/>
      <c r="P12" s="12"/>
      <c r="Q12" s="12"/>
      <c r="S12" s="12"/>
      <c r="T12" s="13"/>
      <c r="U12" s="13"/>
      <c r="W12" s="12"/>
      <c r="X12" s="17"/>
      <c r="Y12" s="13"/>
      <c r="Z12" s="12"/>
      <c r="AB12" s="13"/>
      <c r="AC12" s="12"/>
      <c r="AI12" s="13"/>
      <c r="AK12" s="13"/>
      <c r="AL12" s="13"/>
      <c r="AM12" s="12"/>
      <c r="AO12" s="12"/>
      <c r="AP12" s="12"/>
      <c r="AQ12" s="13"/>
      <c r="AR12" s="13"/>
    </row>
    <row r="13">
      <c r="A13" s="9" t="s">
        <v>178</v>
      </c>
      <c r="B13" s="10"/>
      <c r="C13" s="10">
        <f t="shared" si="2"/>
        <v>1</v>
      </c>
      <c r="D13" s="11">
        <f t="array" ref="D13">SUM(IF(F13:AU13="R",1,0))</f>
        <v>2</v>
      </c>
      <c r="E13" s="11">
        <f t="array" ref="E13">SUM(IF(F13:AU13="R2",1,0))</f>
        <v>2</v>
      </c>
      <c r="F13" s="12"/>
      <c r="G13" s="12"/>
      <c r="H13" s="12"/>
      <c r="J13" s="13"/>
      <c r="K13" s="12"/>
      <c r="L13" s="12"/>
      <c r="M13" s="17" t="s">
        <v>40</v>
      </c>
      <c r="N13" s="12"/>
      <c r="O13" s="12" t="s">
        <v>40</v>
      </c>
      <c r="P13" s="12"/>
      <c r="Q13" s="13"/>
      <c r="S13" s="13"/>
      <c r="T13" s="13"/>
      <c r="U13" s="13"/>
      <c r="W13" s="12"/>
      <c r="X13" s="12"/>
      <c r="Y13" s="13"/>
      <c r="Z13" s="12"/>
      <c r="AA13" s="17">
        <v>1.0</v>
      </c>
      <c r="AB13" s="13"/>
      <c r="AC13" s="12"/>
      <c r="AD13" s="12"/>
      <c r="AF13" s="12"/>
      <c r="AG13" s="13"/>
      <c r="AI13" s="12" t="s">
        <v>39</v>
      </c>
      <c r="AK13" s="13"/>
      <c r="AL13" s="13"/>
      <c r="AM13" s="13"/>
      <c r="AO13" s="12" t="s">
        <v>39</v>
      </c>
      <c r="AP13" s="21"/>
      <c r="AQ13" s="16"/>
      <c r="AR13" s="21"/>
      <c r="AS13" s="16"/>
      <c r="AT13" s="16"/>
      <c r="AU13" s="16"/>
    </row>
    <row r="14">
      <c r="A14" s="26" t="s">
        <v>228</v>
      </c>
      <c r="B14" s="10">
        <f t="shared" ref="B14:B15" si="4">SUM(C14:D14)</f>
        <v>4</v>
      </c>
      <c r="C14" s="10">
        <f t="shared" si="2"/>
        <v>2</v>
      </c>
      <c r="D14" s="11">
        <f t="array" ref="D14">SUM(IF(F14:AU14="R",1,0))</f>
        <v>2</v>
      </c>
      <c r="E14" s="11">
        <f t="array" ref="E14">SUM(IF(F14:AU14="R2",1,0))</f>
        <v>1</v>
      </c>
      <c r="F14" s="17" t="s">
        <v>40</v>
      </c>
      <c r="G14" s="61"/>
      <c r="H14" s="61"/>
      <c r="I14" s="61"/>
      <c r="J14" s="17" t="s">
        <v>39</v>
      </c>
      <c r="K14" s="61"/>
      <c r="M14" s="61"/>
      <c r="N14" s="61"/>
      <c r="O14" s="61"/>
      <c r="P14" s="61"/>
      <c r="Q14" s="61"/>
      <c r="R14" s="61"/>
      <c r="T14" s="61"/>
      <c r="U14" s="17">
        <v>1.0</v>
      </c>
      <c r="V14" s="61"/>
      <c r="W14" s="61"/>
      <c r="X14" s="61"/>
      <c r="Y14" s="61"/>
      <c r="Z14" s="61"/>
      <c r="AA14" s="61"/>
      <c r="AB14" s="17" t="s">
        <v>39</v>
      </c>
      <c r="AC14" s="61"/>
      <c r="AD14" s="17">
        <v>1.0</v>
      </c>
      <c r="AE14" s="61"/>
      <c r="AF14" s="61"/>
      <c r="AG14" s="61"/>
      <c r="AH14" s="61"/>
      <c r="AI14" s="61"/>
      <c r="AJ14" s="61"/>
      <c r="AL14" s="61"/>
      <c r="AN14" s="61"/>
      <c r="AO14" s="61"/>
      <c r="AP14" s="61"/>
      <c r="AR14" s="61"/>
      <c r="AT14" s="61"/>
      <c r="AU14" s="61"/>
    </row>
    <row r="15">
      <c r="A15" s="27" t="s">
        <v>258</v>
      </c>
      <c r="B15" s="10">
        <f t="shared" si="4"/>
        <v>4</v>
      </c>
      <c r="C15" s="10">
        <f t="shared" si="2"/>
        <v>3</v>
      </c>
      <c r="D15" s="11">
        <f t="array" ref="D15">SUM(IF(F15:AU15="R",1,0))</f>
        <v>1</v>
      </c>
      <c r="E15" s="11">
        <f t="array" ref="E15">SUM(IF(F15:AU15="R2",1,0))</f>
        <v>1</v>
      </c>
      <c r="I15" s="17" t="s">
        <v>39</v>
      </c>
      <c r="V15" s="17">
        <v>1.0</v>
      </c>
      <c r="Y15" s="12"/>
      <c r="Z15" s="12"/>
      <c r="AA15" s="12"/>
      <c r="AB15" s="12"/>
      <c r="AC15" s="12">
        <v>1.0</v>
      </c>
      <c r="AD15" s="12"/>
      <c r="AE15" s="12"/>
      <c r="AF15" s="12"/>
      <c r="AG15" s="12"/>
      <c r="AH15" s="12" t="s">
        <v>40</v>
      </c>
      <c r="AI15" s="12"/>
      <c r="AJ15" s="12"/>
      <c r="AK15" s="12"/>
      <c r="AL15" s="12"/>
      <c r="AM15" s="12"/>
      <c r="AN15" s="12"/>
      <c r="AO15" s="12">
        <v>1.0</v>
      </c>
      <c r="AP15" s="12"/>
      <c r="AQ15" s="12"/>
      <c r="AR15" s="12"/>
      <c r="AS15" s="12"/>
      <c r="AT15" s="12"/>
      <c r="AU15" s="12"/>
      <c r="AV15" s="12"/>
      <c r="AW15" s="12"/>
      <c r="AX15" s="12"/>
      <c r="AY15" s="12"/>
    </row>
    <row r="16">
      <c r="A16" s="27" t="s">
        <v>149</v>
      </c>
      <c r="B16" s="10"/>
      <c r="C16" s="10">
        <f t="shared" si="2"/>
        <v>2</v>
      </c>
      <c r="D16" s="11">
        <f t="array" ref="D16">SUM(IF(F16:AU16="R",1,0))</f>
        <v>2</v>
      </c>
      <c r="E16" s="11">
        <f t="array" ref="E16">SUM(IF(F16:AU16="R2",1,0))</f>
        <v>2</v>
      </c>
      <c r="H16" s="16"/>
      <c r="I16" s="16"/>
      <c r="N16" s="16"/>
      <c r="O16" s="16"/>
      <c r="P16" s="17" t="s">
        <v>40</v>
      </c>
      <c r="X16" s="17" t="s">
        <v>39</v>
      </c>
      <c r="Z16" s="16"/>
      <c r="AA16" s="16"/>
      <c r="AF16" s="17" t="s">
        <v>39</v>
      </c>
      <c r="AM16" s="17">
        <v>1.0</v>
      </c>
      <c r="AR16" s="17" t="s">
        <v>62</v>
      </c>
      <c r="AU16" s="17">
        <v>1.0</v>
      </c>
      <c r="AV16" s="61"/>
      <c r="AW16" s="61"/>
      <c r="AX16" s="61"/>
      <c r="AY16" s="61"/>
    </row>
    <row r="17">
      <c r="A17" s="27" t="s">
        <v>58</v>
      </c>
      <c r="B17" s="10">
        <f t="shared" ref="B17:B20" si="5">SUM(C17:D17)</f>
        <v>3</v>
      </c>
      <c r="C17" s="10">
        <f t="shared" si="2"/>
        <v>2</v>
      </c>
      <c r="D17" s="11">
        <f t="array" ref="D17">SUM(IF(F17:AU17="R",1,0))</f>
        <v>1</v>
      </c>
      <c r="E17" s="11">
        <f t="array" ref="E17">SUM(IF(F17:AU17="R2",1,0))</f>
        <v>2</v>
      </c>
      <c r="K17" s="17" t="s">
        <v>40</v>
      </c>
      <c r="R17" s="17">
        <v>1.0</v>
      </c>
      <c r="AA17" s="17" t="s">
        <v>40</v>
      </c>
      <c r="AP17" s="17">
        <v>1.0</v>
      </c>
      <c r="AS17" s="17" t="s">
        <v>39</v>
      </c>
    </row>
    <row r="18">
      <c r="A18" s="27" t="s">
        <v>229</v>
      </c>
      <c r="B18" s="10">
        <f t="shared" si="5"/>
        <v>3</v>
      </c>
      <c r="C18" s="10">
        <f t="shared" si="2"/>
        <v>1</v>
      </c>
      <c r="D18" s="11">
        <f t="array" ref="D18">SUM(IF(F18:AU18="R",1,0))</f>
        <v>2</v>
      </c>
      <c r="E18" s="11">
        <f t="array" ref="E18">SUM(IF(F18:AU18="R2",1,0))</f>
        <v>1</v>
      </c>
      <c r="H18" s="16"/>
      <c r="I18" s="16"/>
      <c r="N18" s="16"/>
      <c r="O18" s="16"/>
      <c r="Z18" s="16"/>
      <c r="AA18" s="16"/>
      <c r="AE18" s="17">
        <v>1.0</v>
      </c>
      <c r="AG18" s="17" t="s">
        <v>39</v>
      </c>
      <c r="AL18" s="17" t="s">
        <v>39</v>
      </c>
      <c r="AP18" s="17" t="s">
        <v>40</v>
      </c>
    </row>
    <row r="19">
      <c r="A19" s="62" t="s">
        <v>199</v>
      </c>
      <c r="B19" s="10">
        <f t="shared" si="5"/>
        <v>3</v>
      </c>
      <c r="C19" s="10">
        <f t="shared" si="2"/>
        <v>1</v>
      </c>
      <c r="D19" s="11">
        <f t="array" ref="D19">SUM(IF(F19:AU19="R",1,0))</f>
        <v>2</v>
      </c>
      <c r="E19" s="11">
        <f t="array" ref="E19">SUM(IF(F19:AU19="R2",1,0))</f>
        <v>1</v>
      </c>
      <c r="F19" s="16"/>
      <c r="G19" s="16"/>
      <c r="H19" s="16"/>
      <c r="I19" s="16"/>
      <c r="J19" s="16"/>
      <c r="K19" s="16"/>
      <c r="L19" s="16"/>
      <c r="M19" s="16"/>
      <c r="N19" s="17" t="s">
        <v>39</v>
      </c>
      <c r="U19" s="17" t="s">
        <v>40</v>
      </c>
      <c r="Z19" s="16"/>
      <c r="AA19" s="16"/>
      <c r="AE19" s="17" t="s">
        <v>39</v>
      </c>
      <c r="AN19" s="17">
        <v>1.0</v>
      </c>
      <c r="AP19" s="16"/>
      <c r="AQ19" s="16"/>
      <c r="AR19" s="16"/>
      <c r="AS19" s="16"/>
      <c r="AT19" s="16"/>
      <c r="AU19" s="16"/>
    </row>
    <row r="20">
      <c r="A20" s="62" t="s">
        <v>200</v>
      </c>
      <c r="B20" s="10">
        <f t="shared" si="5"/>
        <v>3</v>
      </c>
      <c r="C20" s="10">
        <f t="shared" si="2"/>
        <v>1</v>
      </c>
      <c r="D20" s="11">
        <f t="array" ref="D20">SUM(IF(F20:AU20="R",1,0))</f>
        <v>2</v>
      </c>
      <c r="E20" s="11">
        <f t="array" ref="E20">SUM(IF(F20:AU20="R2",1,0))</f>
        <v>1</v>
      </c>
      <c r="F20" s="16"/>
      <c r="G20" s="16"/>
      <c r="H20" s="16"/>
      <c r="I20" s="16"/>
      <c r="J20" s="16"/>
      <c r="K20" s="16"/>
      <c r="L20" s="16"/>
      <c r="M20" s="16"/>
      <c r="N20" s="17">
        <v>1.0</v>
      </c>
      <c r="Q20" s="17" t="s">
        <v>39</v>
      </c>
      <c r="S20" s="17" t="s">
        <v>63</v>
      </c>
      <c r="Y20" s="17" t="s">
        <v>40</v>
      </c>
      <c r="Z20" s="16"/>
      <c r="AA20" s="16"/>
      <c r="AK20" s="16"/>
      <c r="AL20" s="16"/>
      <c r="AM20" s="16"/>
      <c r="AN20" s="16"/>
      <c r="AO20" s="16"/>
      <c r="AP20" s="16"/>
      <c r="AQ20" s="16"/>
      <c r="AR20" s="16"/>
      <c r="AS20" s="16"/>
      <c r="AT20" s="16"/>
      <c r="AU20" s="16"/>
    </row>
    <row r="21" hidden="1">
      <c r="A21" s="69" t="s">
        <v>230</v>
      </c>
      <c r="B21" s="10"/>
      <c r="C21" s="10">
        <f t="shared" si="2"/>
        <v>0</v>
      </c>
      <c r="D21" s="11">
        <f t="array" ref="D21">SUM(IF(F21:AU21="R",1,0))</f>
        <v>0</v>
      </c>
      <c r="E21" s="11">
        <f t="array" ref="E21">SUM(IF(F21:AU21="R2",1,0))</f>
        <v>0</v>
      </c>
    </row>
    <row r="22">
      <c r="A22" s="26" t="s">
        <v>46</v>
      </c>
      <c r="B22" s="10">
        <f>SUM(C22:D22)</f>
        <v>3</v>
      </c>
      <c r="C22" s="10">
        <f t="shared" si="2"/>
        <v>2</v>
      </c>
      <c r="D22" s="11">
        <f t="array" ref="D22">SUM(IF(F22:AU22="R",1,0))</f>
        <v>1</v>
      </c>
      <c r="E22" s="11">
        <f t="array" ref="E22">SUM(IF(F22:AU22="R2",1,0))</f>
        <v>2</v>
      </c>
      <c r="G22" s="61"/>
      <c r="H22" s="61"/>
      <c r="I22" s="61"/>
      <c r="K22" s="61"/>
      <c r="M22" s="61"/>
      <c r="N22" s="61"/>
      <c r="O22" s="61"/>
      <c r="P22" s="61"/>
      <c r="Q22" s="61"/>
      <c r="R22" s="61"/>
      <c r="S22" s="17" t="s">
        <v>40</v>
      </c>
      <c r="T22" s="61"/>
      <c r="U22" s="17" t="s">
        <v>39</v>
      </c>
      <c r="V22" s="61"/>
      <c r="W22" s="61"/>
      <c r="X22" s="61"/>
      <c r="Y22" s="61"/>
      <c r="Z22" s="16"/>
      <c r="AA22" s="16"/>
      <c r="AB22" s="17">
        <v>1.0</v>
      </c>
      <c r="AC22" s="61"/>
      <c r="AD22" s="17" t="s">
        <v>40</v>
      </c>
      <c r="AE22" s="61"/>
      <c r="AF22" s="61"/>
      <c r="AG22" s="61"/>
      <c r="AH22" s="61"/>
      <c r="AI22" s="61"/>
      <c r="AJ22" s="61"/>
      <c r="AK22" s="17">
        <v>1.0</v>
      </c>
      <c r="AL22" s="61"/>
      <c r="AN22" s="61"/>
      <c r="AO22" s="61"/>
      <c r="AP22" s="16"/>
      <c r="AQ22" s="16"/>
      <c r="AR22" s="16"/>
      <c r="AS22" s="16"/>
      <c r="AT22" s="16"/>
      <c r="AU22" s="16"/>
      <c r="AV22" s="61"/>
      <c r="AW22" s="61"/>
      <c r="AX22" s="61"/>
      <c r="AY22" s="61"/>
    </row>
    <row r="23">
      <c r="A23" s="26" t="s">
        <v>201</v>
      </c>
      <c r="B23" s="10"/>
      <c r="C23" s="10">
        <f t="shared" si="2"/>
        <v>2</v>
      </c>
      <c r="D23" s="11">
        <f t="array" ref="D23">SUM(IF(F23:AU23="R",1,0))</f>
        <v>2</v>
      </c>
      <c r="E23" s="11">
        <f t="array" ref="E23">SUM(IF(F23:AU23="R2",1,0))</f>
        <v>2</v>
      </c>
      <c r="F23" s="17">
        <v>1.0</v>
      </c>
      <c r="G23" s="61"/>
      <c r="H23" s="61"/>
      <c r="I23" s="61"/>
      <c r="K23" s="61"/>
      <c r="M23" s="61"/>
      <c r="N23" s="61"/>
      <c r="O23" s="61"/>
      <c r="P23" s="61"/>
      <c r="Q23" s="61"/>
      <c r="R23" s="61"/>
      <c r="S23" s="17">
        <v>1.0</v>
      </c>
      <c r="T23" s="61"/>
      <c r="V23" s="61"/>
      <c r="W23" s="61"/>
      <c r="X23" s="61"/>
      <c r="Y23" s="61"/>
      <c r="Z23" s="61"/>
      <c r="AA23" s="61"/>
      <c r="AC23" s="61"/>
      <c r="AD23" s="17" t="s">
        <v>39</v>
      </c>
      <c r="AE23" s="61"/>
      <c r="AF23" s="61"/>
      <c r="AG23" s="61"/>
      <c r="AH23" s="61"/>
      <c r="AI23" s="61"/>
      <c r="AJ23" s="61"/>
      <c r="AK23" s="17" t="s">
        <v>39</v>
      </c>
      <c r="AL23" s="61"/>
      <c r="AM23" s="17" t="s">
        <v>40</v>
      </c>
      <c r="AN23" s="61"/>
      <c r="AO23" s="61"/>
      <c r="AP23" s="61"/>
      <c r="AQ23" s="17" t="s">
        <v>40</v>
      </c>
      <c r="AR23" s="61"/>
      <c r="AT23" s="61"/>
      <c r="AU23" s="61"/>
    </row>
    <row r="24">
      <c r="A24" s="44" t="s">
        <v>117</v>
      </c>
      <c r="B24" s="10">
        <f t="shared" ref="B24:B25" si="6">SUM(C24:D24)</f>
        <v>3</v>
      </c>
      <c r="C24" s="10">
        <f t="shared" si="2"/>
        <v>1</v>
      </c>
      <c r="D24" s="11">
        <f t="array" ref="D24">SUM(IF(F24:AU24="R",1,0))</f>
        <v>2</v>
      </c>
      <c r="E24" s="11">
        <f t="array" ref="E24">SUM(IF(F24:AU24="R2",1,0))</f>
        <v>1</v>
      </c>
      <c r="H24" s="17" t="s">
        <v>39</v>
      </c>
      <c r="K24" s="17" t="s">
        <v>39</v>
      </c>
      <c r="AF24" s="17">
        <v>1.0</v>
      </c>
      <c r="AN24" s="17" t="s">
        <v>62</v>
      </c>
      <c r="AP24" s="16"/>
      <c r="AQ24" s="16"/>
      <c r="AR24" s="16"/>
      <c r="AS24" s="16"/>
      <c r="AT24" s="16"/>
      <c r="AU24" s="16"/>
    </row>
    <row r="25">
      <c r="A25" s="44" t="s">
        <v>67</v>
      </c>
      <c r="B25" s="10">
        <f t="shared" si="6"/>
        <v>4</v>
      </c>
      <c r="C25" s="10">
        <f t="shared" si="2"/>
        <v>2</v>
      </c>
      <c r="D25" s="11">
        <f t="array" ref="D25">SUM(IF(F25:AU25="R",1,0))</f>
        <v>2</v>
      </c>
      <c r="E25" s="11">
        <f t="array" ref="E25">SUM(IF(F25:AU25="R2",1,0))</f>
        <v>2</v>
      </c>
      <c r="G25" s="17">
        <v>1.0</v>
      </c>
      <c r="M25" s="17">
        <v>1.0</v>
      </c>
      <c r="O25" s="17" t="s">
        <v>39</v>
      </c>
      <c r="R25" s="17" t="s">
        <v>40</v>
      </c>
      <c r="T25" s="17" t="s">
        <v>39</v>
      </c>
      <c r="W25" s="17" t="s">
        <v>40</v>
      </c>
      <c r="Z25" s="16"/>
      <c r="AA25" s="16"/>
      <c r="AK25" s="16"/>
      <c r="AL25" s="16"/>
      <c r="AP25" s="16"/>
      <c r="AQ25" s="16"/>
      <c r="AR25" s="16"/>
      <c r="AS25" s="16"/>
      <c r="AT25" s="16"/>
      <c r="AU25" s="16"/>
    </row>
    <row r="26">
      <c r="A26" s="20" t="s">
        <v>259</v>
      </c>
      <c r="B26" s="10"/>
      <c r="C26" s="10">
        <v>3.0</v>
      </c>
      <c r="D26" s="11">
        <f t="array" ref="D26">SUM(IF(F26:AU26="R",1,0))</f>
        <v>1</v>
      </c>
      <c r="E26" s="11">
        <f t="array" ref="E26">SUM(IF(F26:AU26="R2",1,0))</f>
        <v>2</v>
      </c>
      <c r="G26" s="17" t="s">
        <v>260</v>
      </c>
      <c r="I26" s="17">
        <v>1.0</v>
      </c>
      <c r="L26" s="17">
        <v>1.0</v>
      </c>
      <c r="P26" s="17" t="s">
        <v>39</v>
      </c>
      <c r="T26" s="17" t="s">
        <v>40</v>
      </c>
      <c r="AJ26" s="17">
        <v>1.0</v>
      </c>
      <c r="AL26" s="17" t="s">
        <v>40</v>
      </c>
    </row>
    <row r="27">
      <c r="A27" s="20" t="s">
        <v>231</v>
      </c>
      <c r="B27" s="10">
        <f t="shared" ref="B27:B28" si="7">SUM(C27:D27)</f>
        <v>4</v>
      </c>
      <c r="C27" s="10">
        <f t="shared" ref="C27:C32" si="8">SUM(F27:AU27)</f>
        <v>2</v>
      </c>
      <c r="D27" s="11">
        <f t="array" ref="D27">SUM(IF(F27:AU27="R",1,0))</f>
        <v>2</v>
      </c>
      <c r="E27" s="11">
        <f t="array" ref="E27">SUM(IF(F27:AU27="R2",1,0))</f>
        <v>2</v>
      </c>
      <c r="H27" s="16"/>
      <c r="I27" s="16"/>
      <c r="N27" s="73"/>
      <c r="O27" s="73"/>
      <c r="Q27" s="17">
        <v>1.0</v>
      </c>
      <c r="T27" s="17">
        <v>1.0</v>
      </c>
      <c r="W27" s="17" t="s">
        <v>39</v>
      </c>
      <c r="Z27" s="17" t="s">
        <v>40</v>
      </c>
      <c r="AE27" s="17" t="s">
        <v>40</v>
      </c>
      <c r="AQ27" s="17" t="s">
        <v>39</v>
      </c>
    </row>
    <row r="28">
      <c r="A28" s="20" t="s">
        <v>202</v>
      </c>
      <c r="B28" s="10">
        <f t="shared" si="7"/>
        <v>4</v>
      </c>
      <c r="C28" s="10">
        <f t="shared" si="8"/>
        <v>2</v>
      </c>
      <c r="D28" s="11">
        <f t="array" ref="D28">SUM(IF(F28:AU28="R",1,0))</f>
        <v>2</v>
      </c>
      <c r="E28" s="11">
        <f t="array" ref="E28">SUM(IF(F28:AU28="R2",1,0))</f>
        <v>2</v>
      </c>
      <c r="H28" s="16"/>
      <c r="I28" s="16"/>
      <c r="J28" s="16"/>
      <c r="L28" s="17" t="s">
        <v>39</v>
      </c>
      <c r="N28" s="17" t="s">
        <v>40</v>
      </c>
      <c r="S28" s="16"/>
      <c r="T28" s="16"/>
      <c r="W28" s="17">
        <v>1.0</v>
      </c>
      <c r="Y28" s="17">
        <v>1.0</v>
      </c>
      <c r="AA28" s="17" t="s">
        <v>39</v>
      </c>
      <c r="AF28" s="17" t="s">
        <v>40</v>
      </c>
      <c r="AP28" s="16"/>
      <c r="AQ28" s="16"/>
      <c r="AR28" s="16"/>
      <c r="AS28" s="16"/>
      <c r="AT28" s="16"/>
      <c r="AU28" s="16"/>
    </row>
    <row r="29">
      <c r="A29" s="20" t="s">
        <v>179</v>
      </c>
      <c r="B29" s="10"/>
      <c r="C29" s="10">
        <f t="shared" si="8"/>
        <v>2</v>
      </c>
      <c r="D29" s="11">
        <f t="array" ref="D29">SUM(IF(F29:AU29="R",1,0))</f>
        <v>2</v>
      </c>
      <c r="E29" s="11">
        <f t="array" ref="E29">SUM(IF(F29:AU29="R2",1,0))</f>
        <v>2</v>
      </c>
      <c r="H29" s="16"/>
      <c r="I29" s="16"/>
      <c r="P29" s="17">
        <v>1.0</v>
      </c>
      <c r="R29" s="17" t="s">
        <v>39</v>
      </c>
      <c r="X29" s="17">
        <v>1.0</v>
      </c>
      <c r="Z29" s="17" t="s">
        <v>39</v>
      </c>
      <c r="AB29" s="17" t="s">
        <v>40</v>
      </c>
      <c r="AS29" s="17" t="s">
        <v>62</v>
      </c>
    </row>
    <row r="30">
      <c r="A30" s="17" t="s">
        <v>68</v>
      </c>
      <c r="B30" s="10">
        <f>SUM(B4:B15)</f>
        <v>21</v>
      </c>
      <c r="C30" s="10">
        <f t="shared" si="8"/>
        <v>41</v>
      </c>
      <c r="D30" s="11"/>
      <c r="E30" s="11"/>
      <c r="F30" s="28">
        <f t="shared" ref="F30:AU30" si="9">SUM(F3:F29)</f>
        <v>1</v>
      </c>
      <c r="G30" s="28">
        <f t="shared" si="9"/>
        <v>1</v>
      </c>
      <c r="H30" s="28">
        <f t="shared" si="9"/>
        <v>0</v>
      </c>
      <c r="I30" s="28">
        <f t="shared" si="9"/>
        <v>1</v>
      </c>
      <c r="J30" s="28">
        <f t="shared" si="9"/>
        <v>1</v>
      </c>
      <c r="K30" s="28">
        <f t="shared" si="9"/>
        <v>1</v>
      </c>
      <c r="L30" s="28">
        <f t="shared" si="9"/>
        <v>1</v>
      </c>
      <c r="M30" s="28">
        <f t="shared" si="9"/>
        <v>1</v>
      </c>
      <c r="N30" s="28">
        <f t="shared" si="9"/>
        <v>1</v>
      </c>
      <c r="O30" s="28">
        <f t="shared" si="9"/>
        <v>1</v>
      </c>
      <c r="P30" s="28">
        <f t="shared" si="9"/>
        <v>1</v>
      </c>
      <c r="Q30" s="28">
        <f t="shared" si="9"/>
        <v>1</v>
      </c>
      <c r="R30" s="28">
        <f t="shared" si="9"/>
        <v>1</v>
      </c>
      <c r="S30" s="28">
        <f t="shared" si="9"/>
        <v>1</v>
      </c>
      <c r="T30" s="28">
        <f t="shared" si="9"/>
        <v>1</v>
      </c>
      <c r="U30" s="28">
        <f t="shared" si="9"/>
        <v>1</v>
      </c>
      <c r="V30" s="28">
        <f t="shared" si="9"/>
        <v>1</v>
      </c>
      <c r="W30" s="28">
        <f t="shared" si="9"/>
        <v>1</v>
      </c>
      <c r="X30" s="28">
        <f t="shared" si="9"/>
        <v>1</v>
      </c>
      <c r="Y30" s="28">
        <f t="shared" si="9"/>
        <v>1</v>
      </c>
      <c r="Z30" s="28">
        <f t="shared" si="9"/>
        <v>1</v>
      </c>
      <c r="AA30" s="28">
        <f t="shared" si="9"/>
        <v>1</v>
      </c>
      <c r="AB30" s="28">
        <f t="shared" si="9"/>
        <v>1</v>
      </c>
      <c r="AC30" s="28">
        <f t="shared" si="9"/>
        <v>1</v>
      </c>
      <c r="AD30" s="28">
        <f t="shared" si="9"/>
        <v>1</v>
      </c>
      <c r="AE30" s="28">
        <f t="shared" si="9"/>
        <v>1</v>
      </c>
      <c r="AF30" s="28">
        <f t="shared" si="9"/>
        <v>1</v>
      </c>
      <c r="AG30" s="28">
        <f t="shared" si="9"/>
        <v>1</v>
      </c>
      <c r="AH30" s="28">
        <f t="shared" si="9"/>
        <v>1</v>
      </c>
      <c r="AI30" s="28">
        <f t="shared" si="9"/>
        <v>1</v>
      </c>
      <c r="AJ30" s="28">
        <f t="shared" si="9"/>
        <v>1</v>
      </c>
      <c r="AK30" s="28">
        <f t="shared" si="9"/>
        <v>1</v>
      </c>
      <c r="AL30" s="28">
        <f t="shared" si="9"/>
        <v>1</v>
      </c>
      <c r="AM30" s="28">
        <f t="shared" si="9"/>
        <v>1</v>
      </c>
      <c r="AN30" s="28">
        <f t="shared" si="9"/>
        <v>1</v>
      </c>
      <c r="AO30" s="28">
        <f t="shared" si="9"/>
        <v>1</v>
      </c>
      <c r="AP30" s="28">
        <f t="shared" si="9"/>
        <v>1</v>
      </c>
      <c r="AQ30" s="28">
        <f t="shared" si="9"/>
        <v>1</v>
      </c>
      <c r="AR30" s="28">
        <f t="shared" si="9"/>
        <v>1</v>
      </c>
      <c r="AS30" s="28">
        <f t="shared" si="9"/>
        <v>1</v>
      </c>
      <c r="AT30" s="28">
        <f t="shared" si="9"/>
        <v>1</v>
      </c>
      <c r="AU30" s="28">
        <f t="shared" si="9"/>
        <v>1</v>
      </c>
    </row>
    <row r="31">
      <c r="A31" s="17" t="s">
        <v>69</v>
      </c>
      <c r="B31" s="28">
        <f t="shared" ref="B31:B32" si="10">SUM(F31:AS31)</f>
        <v>39</v>
      </c>
      <c r="C31" s="10">
        <f t="shared" si="8"/>
        <v>41</v>
      </c>
      <c r="F31" s="11">
        <f t="array" ref="F31">SUM(IF(F3:F29="R",1,0))</f>
        <v>1</v>
      </c>
      <c r="G31" s="11">
        <f t="array" ref="G31">SUM(IF(G3:G29="R",1,0))</f>
        <v>1</v>
      </c>
      <c r="H31" s="11">
        <f t="array" ref="H31">SUM(IF(H3:H29="R",1,0))</f>
        <v>1</v>
      </c>
      <c r="I31" s="11">
        <f t="array" ref="I31">SUM(IF(I3:I29="R",1,0))</f>
        <v>1</v>
      </c>
      <c r="J31" s="11">
        <f t="array" ref="J31">SUM(IF(J3:J29="R",1,0))</f>
        <v>1</v>
      </c>
      <c r="K31" s="11">
        <f t="array" ref="K31">SUM(IF(K3:K29="R",1,0))</f>
        <v>1</v>
      </c>
      <c r="L31" s="11">
        <f t="array" ref="L31">SUM(IF(L3:L29="R",1,0))</f>
        <v>1</v>
      </c>
      <c r="M31" s="11">
        <f t="array" ref="M31">SUM(IF(M3:M29="R",1,0))</f>
        <v>1</v>
      </c>
      <c r="N31" s="11">
        <f t="array" ref="N31">SUM(IF(N3:N29="R",1,0))</f>
        <v>1</v>
      </c>
      <c r="O31" s="11">
        <f t="array" ref="O31">SUM(IF(O3:O29="R",1,0))</f>
        <v>1</v>
      </c>
      <c r="P31" s="11">
        <f t="array" ref="P31">SUM(IF(P3:P29="R",1,0))</f>
        <v>1</v>
      </c>
      <c r="Q31" s="11">
        <f t="array" ref="Q31">SUM(IF(Q3:Q29="R",1,0))</f>
        <v>1</v>
      </c>
      <c r="R31" s="11">
        <f t="array" ref="R31">SUM(IF(R3:R29="R",1,0))</f>
        <v>1</v>
      </c>
      <c r="S31" s="11">
        <f t="array" ref="S31">SUM(IF(S3:S29="R",1,0))</f>
        <v>1</v>
      </c>
      <c r="T31" s="11">
        <f t="array" ref="T31">SUM(IF(T3:T29="R",1,0))</f>
        <v>1</v>
      </c>
      <c r="U31" s="11">
        <f t="array" ref="U31">SUM(IF(U3:U29="R",1,0))</f>
        <v>1</v>
      </c>
      <c r="V31" s="11">
        <f t="array" ref="V31">SUM(IF(V3:V29="R",1,0))</f>
        <v>1</v>
      </c>
      <c r="W31" s="11">
        <f t="array" ref="W31">SUM(IF(W3:W29="R",1,0))</f>
        <v>1</v>
      </c>
      <c r="X31" s="11">
        <f t="array" ref="X31">SUM(IF(X3:X29="R",1,0))</f>
        <v>1</v>
      </c>
      <c r="Y31" s="11">
        <f t="array" ref="Y31">SUM(IF(Y3:Y29="R",1,0))</f>
        <v>1</v>
      </c>
      <c r="Z31" s="11">
        <f t="array" ref="Z31">SUM(IF(Z3:Z29="R",1,0))</f>
        <v>1</v>
      </c>
      <c r="AA31" s="11">
        <f t="array" ref="AA31">SUM(IF(AA3:AA29="R",1,0))</f>
        <v>1</v>
      </c>
      <c r="AB31" s="11">
        <f t="array" ref="AB31">SUM(IF(AB3:AB29="R",1,0))</f>
        <v>1</v>
      </c>
      <c r="AC31" s="11">
        <f t="array" ref="AC31">SUM(IF(AC3:AC29="R",1,0))</f>
        <v>1</v>
      </c>
      <c r="AD31" s="11">
        <f t="array" ref="AD31">SUM(IF(AD3:AD29="R",1,0))</f>
        <v>1</v>
      </c>
      <c r="AE31" s="11">
        <f t="array" ref="AE31">SUM(IF(AE3:AE29="R",1,0))</f>
        <v>1</v>
      </c>
      <c r="AF31" s="11">
        <f t="array" ref="AF31">SUM(IF(AF3:AF29="R",1,0))</f>
        <v>1</v>
      </c>
      <c r="AG31" s="11">
        <f t="array" ref="AG31">SUM(IF(AG3:AG29="R",1,0))</f>
        <v>1</v>
      </c>
      <c r="AH31" s="11">
        <f t="array" ref="AH31">SUM(IF(AH3:AH29="R",1,0))</f>
        <v>1</v>
      </c>
      <c r="AI31" s="11">
        <f t="array" ref="AI31">SUM(IF(AI3:AI29="R",1,0))</f>
        <v>1</v>
      </c>
      <c r="AJ31" s="11">
        <f t="array" ref="AJ31">SUM(IF(AJ3:AJ29="R",1,0))</f>
        <v>0</v>
      </c>
      <c r="AK31" s="11">
        <f t="array" ref="AK31">SUM(IF(AK3:AK29="R",1,0))</f>
        <v>1</v>
      </c>
      <c r="AL31" s="11">
        <f t="array" ref="AL31">SUM(IF(AL3:AL29="R",1,0))</f>
        <v>1</v>
      </c>
      <c r="AM31" s="11">
        <f t="array" ref="AM31">SUM(IF(AM3:AM29="R",1,0))</f>
        <v>1</v>
      </c>
      <c r="AN31" s="11">
        <f t="array" ref="AN31">SUM(IF(AN3:AN29="R",1,0))</f>
        <v>1</v>
      </c>
      <c r="AO31" s="11">
        <f t="array" ref="AO31">SUM(IF(AO3:AO29="R",1,0))</f>
        <v>1</v>
      </c>
      <c r="AP31" s="11">
        <f t="array" ref="AP31">SUM(IF(AP3:AP29="R",1,0))</f>
        <v>1</v>
      </c>
      <c r="AQ31" s="11">
        <f t="array" ref="AQ31">SUM(IF(AQ3:AQ29="R",1,0))</f>
        <v>1</v>
      </c>
      <c r="AR31" s="11">
        <f t="array" ref="AR31">SUM(IF(AR3:AR29="R",1,0))</f>
        <v>1</v>
      </c>
      <c r="AS31" s="11">
        <f t="array" ref="AS31">SUM(IF(AS3:AS29="R",1,0))</f>
        <v>1</v>
      </c>
      <c r="AT31" s="11">
        <f t="array" ref="AT31">SUM(IF(AT3:AT29="R",1,0))</f>
        <v>1</v>
      </c>
      <c r="AU31" s="11">
        <f t="array" ref="AU31">SUM(IF(AU3:AU29="R",1,0))</f>
        <v>1</v>
      </c>
      <c r="AV31" s="11"/>
      <c r="AW31" s="11"/>
      <c r="AX31" s="11"/>
      <c r="AY31" s="11"/>
    </row>
    <row r="32">
      <c r="A32" s="17" t="s">
        <v>70</v>
      </c>
      <c r="B32" s="28">
        <f t="shared" si="10"/>
        <v>39</v>
      </c>
      <c r="C32" s="10">
        <f t="shared" si="8"/>
        <v>41</v>
      </c>
      <c r="F32" s="11">
        <f t="array" ref="F32">SUM(IF(F3:F29="R2",1,0))</f>
        <v>1</v>
      </c>
      <c r="G32" s="11">
        <f t="array" ref="G32">SUM(IF(G3:G29="R2",1,0))</f>
        <v>1</v>
      </c>
      <c r="H32" s="11">
        <f t="array" ref="H32">SUM(IF(H3:H29="R2",1,0))</f>
        <v>1</v>
      </c>
      <c r="I32" s="11">
        <f t="array" ref="I32">SUM(IF(I3:I29="R2",1,0))</f>
        <v>1</v>
      </c>
      <c r="J32" s="11">
        <f t="array" ref="J32">SUM(IF(J3:J29="R2",1,0))</f>
        <v>1</v>
      </c>
      <c r="K32" s="11">
        <f t="array" ref="K32">SUM(IF(K3:K29="R2",1,0))</f>
        <v>1</v>
      </c>
      <c r="L32" s="11">
        <f t="array" ref="L32">SUM(IF(L3:L29="R2",1,0))</f>
        <v>1</v>
      </c>
      <c r="M32" s="11">
        <f t="array" ref="M32">SUM(IF(M3:M29="R2",1,0))</f>
        <v>1</v>
      </c>
      <c r="N32" s="11">
        <f t="array" ref="N32">SUM(IF(N3:N29="R2",1,0))</f>
        <v>1</v>
      </c>
      <c r="O32" s="11">
        <f t="array" ref="O32">SUM(IF(O3:O29="R2",1,0))</f>
        <v>1</v>
      </c>
      <c r="P32" s="11">
        <f t="array" ref="P32">SUM(IF(P3:P29="R2",1,0))</f>
        <v>1</v>
      </c>
      <c r="Q32" s="11">
        <f t="array" ref="Q32">SUM(IF(Q3:Q29="R2",1,0))</f>
        <v>1</v>
      </c>
      <c r="R32" s="11">
        <f t="array" ref="R32">SUM(IF(R3:R29="R2",1,0))</f>
        <v>1</v>
      </c>
      <c r="S32" s="11">
        <f t="array" ref="S32">SUM(IF(S3:S29="R2",1,0))</f>
        <v>1</v>
      </c>
      <c r="T32" s="11">
        <f t="array" ref="T32">SUM(IF(T3:T29="R2",1,0))</f>
        <v>1</v>
      </c>
      <c r="U32" s="11">
        <f t="array" ref="U32">SUM(IF(U3:U29="R2",1,0))</f>
        <v>1</v>
      </c>
      <c r="V32" s="11">
        <f t="array" ref="V32">SUM(IF(V3:V29="R2",1,0))</f>
        <v>1</v>
      </c>
      <c r="W32" s="11">
        <f t="array" ref="W32">SUM(IF(W3:W29="R2",1,0))</f>
        <v>1</v>
      </c>
      <c r="X32" s="11">
        <f t="array" ref="X32">SUM(IF(X3:X29="R2",1,0))</f>
        <v>1</v>
      </c>
      <c r="Y32" s="11">
        <f t="array" ref="Y32">SUM(IF(Y3:Y29="R2",1,0))</f>
        <v>1</v>
      </c>
      <c r="Z32" s="11">
        <f t="array" ref="Z32">SUM(IF(Z3:Z29="R2",1,0))</f>
        <v>1</v>
      </c>
      <c r="AA32" s="11">
        <f t="array" ref="AA32">SUM(IF(AA3:AA29="R2",1,0))</f>
        <v>1</v>
      </c>
      <c r="AB32" s="11">
        <f t="array" ref="AB32">SUM(IF(AB3:AB29="R2",1,0))</f>
        <v>1</v>
      </c>
      <c r="AC32" s="11">
        <f t="array" ref="AC32">SUM(IF(AC3:AC29="R2",1,0))</f>
        <v>1</v>
      </c>
      <c r="AD32" s="11">
        <f t="array" ref="AD32">SUM(IF(AD3:AD29="R2",1,0))</f>
        <v>1</v>
      </c>
      <c r="AE32" s="11">
        <f t="array" ref="AE32">SUM(IF(AE3:AE29="R2",1,0))</f>
        <v>1</v>
      </c>
      <c r="AF32" s="11">
        <f t="array" ref="AF32">SUM(IF(AF3:AF29="R2",1,0))</f>
        <v>1</v>
      </c>
      <c r="AG32" s="11">
        <f t="array" ref="AG32">SUM(IF(AG3:AG29="R2",1,0))</f>
        <v>1</v>
      </c>
      <c r="AH32" s="11">
        <f t="array" ref="AH32">SUM(IF(AH3:AH29="R2",1,0))</f>
        <v>1</v>
      </c>
      <c r="AI32" s="11">
        <f t="array" ref="AI32">SUM(IF(AI3:AI29="R2",1,0))</f>
        <v>1</v>
      </c>
      <c r="AJ32" s="11">
        <f t="array" ref="AJ32">SUM(IF(AJ3:AJ29="R2",1,0))</f>
        <v>1</v>
      </c>
      <c r="AK32" s="11">
        <f t="array" ref="AK32">SUM(IF(AK3:AK29="R2",1,0))</f>
        <v>1</v>
      </c>
      <c r="AL32" s="11">
        <f t="array" ref="AL32">SUM(IF(AL3:AL29="R2",1,0))</f>
        <v>1</v>
      </c>
      <c r="AM32" s="11">
        <f t="array" ref="AM32">SUM(IF(AM3:AM29="R2",1,0))</f>
        <v>1</v>
      </c>
      <c r="AN32" s="11">
        <f t="array" ref="AN32">SUM(IF(AN3:AN29="R2",1,0))</f>
        <v>1</v>
      </c>
      <c r="AO32" s="11">
        <f t="array" ref="AO32">SUM(IF(AO3:AO29="R2",1,0))</f>
        <v>0</v>
      </c>
      <c r="AP32" s="11">
        <f t="array" ref="AP32">SUM(IF(AP3:AP29="R2",1,0))</f>
        <v>1</v>
      </c>
      <c r="AQ32" s="11">
        <f t="array" ref="AQ32">SUM(IF(AQ3:AQ29="R2",1,0))</f>
        <v>1</v>
      </c>
      <c r="AR32" s="11">
        <f t="array" ref="AR32">SUM(IF(AR3:AR29="R2",1,0))</f>
        <v>1</v>
      </c>
      <c r="AS32" s="11">
        <f t="array" ref="AS32">SUM(IF(AS3:AS29="R2",1,0))</f>
        <v>1</v>
      </c>
      <c r="AT32" s="11">
        <f t="array" ref="AT32">SUM(IF(AT3:AT29="R2",1,0))</f>
        <v>1</v>
      </c>
      <c r="AU32" s="11">
        <f t="array" ref="AU32">SUM(IF(AU3:AU29="R2",1,0))</f>
        <v>1</v>
      </c>
      <c r="AV32" s="11"/>
      <c r="AW32" s="11"/>
      <c r="AX32" s="11"/>
      <c r="AY32" s="11"/>
    </row>
    <row r="33">
      <c r="E33" s="46" t="s">
        <v>71</v>
      </c>
      <c r="F33" s="29" t="str">
        <f t="shared" ref="F33:AU33" si="11">IFERROR(INDEX($A$3:$A$29, MATCH(1, INDEX($F$3:$AU$29, 0, MATCH(F2, $F$2:$AU$2, 0)), 0)), INDEX($A$3:$A$29, MATCH(1, INDEX($F$3:$AU$29, 0, MATCH(F2&amp;" AM", $F$2:$AU$2, 0)), 0)))</f>
        <v>3SG YAOCHEN</v>
      </c>
      <c r="G33" s="29" t="str">
        <f t="shared" si="11"/>
        <v>PTE JIREH</v>
      </c>
      <c r="H33" s="29" t="str">
        <f t="shared" si="11"/>
        <v>#N/A</v>
      </c>
      <c r="I33" s="29" t="str">
        <f t="shared" si="11"/>
        <v>PTE RYAN</v>
      </c>
      <c r="J33" s="29" t="str">
        <f t="shared" si="11"/>
        <v>REC RUI FENG</v>
      </c>
      <c r="K33" s="29" t="str">
        <f t="shared" si="11"/>
        <v>LCP AMIN</v>
      </c>
      <c r="L33" s="29" t="str">
        <f t="shared" si="11"/>
        <v>PTE RYAN</v>
      </c>
      <c r="M33" s="29" t="str">
        <f t="shared" si="11"/>
        <v>PTE JIREH</v>
      </c>
      <c r="N33" s="29" t="str">
        <f t="shared" si="11"/>
        <v>LCP ZI XUAN</v>
      </c>
      <c r="O33" s="29" t="str">
        <f t="shared" si="11"/>
        <v>LCP AMIN</v>
      </c>
      <c r="P33" s="29" t="str">
        <f t="shared" si="11"/>
        <v>PTE MICHAEL</v>
      </c>
      <c r="Q33" s="29" t="str">
        <f t="shared" si="11"/>
        <v>PTE INDRA</v>
      </c>
      <c r="R33" s="29" t="str">
        <f t="shared" si="11"/>
        <v>PTE HAQIMI</v>
      </c>
      <c r="S33" s="29" t="str">
        <f t="shared" si="11"/>
        <v>3SG YAOCHEN</v>
      </c>
      <c r="T33" s="29" t="str">
        <f t="shared" si="11"/>
        <v>PTE INDRA</v>
      </c>
      <c r="U33" s="29" t="str">
        <f t="shared" si="11"/>
        <v>PTE ABBAS</v>
      </c>
      <c r="V33" s="29" t="str">
        <f t="shared" si="11"/>
        <v>PTE JEFF</v>
      </c>
      <c r="W33" s="29" t="str">
        <f t="shared" si="11"/>
        <v>PTE KRISHAN</v>
      </c>
      <c r="X33" s="29" t="str">
        <f t="shared" si="11"/>
        <v>PTE MICHAEL</v>
      </c>
      <c r="Y33" s="29" t="str">
        <f t="shared" si="11"/>
        <v>PTE KRISHAN</v>
      </c>
      <c r="Z33" s="29" t="str">
        <f t="shared" si="11"/>
        <v>PTE AZHARI</v>
      </c>
      <c r="AA33" s="29" t="str">
        <f t="shared" si="11"/>
        <v>PTE ISAAC</v>
      </c>
      <c r="AB33" s="29" t="str">
        <f t="shared" si="11"/>
        <v>PTE REUVEN</v>
      </c>
      <c r="AC33" s="29" t="str">
        <f t="shared" si="11"/>
        <v>PTE JEFF</v>
      </c>
      <c r="AD33" s="29" t="str">
        <f t="shared" si="11"/>
        <v>PTE ABBAS</v>
      </c>
      <c r="AE33" s="29" t="str">
        <f t="shared" si="11"/>
        <v>PTE GABRIEL</v>
      </c>
      <c r="AF33" s="29" t="str">
        <f t="shared" si="11"/>
        <v>PTE HAO QIAN</v>
      </c>
      <c r="AG33" s="29" t="str">
        <f t="shared" si="11"/>
        <v>PTE AZHARI</v>
      </c>
      <c r="AH33" s="29" t="str">
        <f t="shared" si="11"/>
        <v>PTE AFIF</v>
      </c>
      <c r="AI33" s="29" t="str">
        <f t="shared" si="11"/>
        <v>PTE DYLAN</v>
      </c>
      <c r="AJ33" s="29" t="str">
        <f t="shared" si="11"/>
        <v>PTE RYAN</v>
      </c>
      <c r="AK33" s="29" t="str">
        <f t="shared" si="11"/>
        <v>PTE REUVEN</v>
      </c>
      <c r="AL33" s="29" t="str">
        <f t="shared" si="11"/>
        <v>PTE DYLAN</v>
      </c>
      <c r="AM33" s="29" t="str">
        <f t="shared" si="11"/>
        <v>REC ASH</v>
      </c>
      <c r="AN33" s="29" t="str">
        <f t="shared" si="11"/>
        <v>LCP GLADWYN</v>
      </c>
      <c r="AO33" s="29" t="str">
        <f t="shared" si="11"/>
        <v>PTE JEFF</v>
      </c>
      <c r="AP33" s="29" t="str">
        <f t="shared" si="11"/>
        <v>PTE HAQIMI</v>
      </c>
      <c r="AQ33" s="29" t="str">
        <f t="shared" si="11"/>
        <v>LCP FIRMAN</v>
      </c>
      <c r="AR33" s="29" t="str">
        <f t="shared" si="11"/>
        <v>LCP EZRA</v>
      </c>
      <c r="AS33" s="29" t="str">
        <f t="shared" si="11"/>
        <v>LCP AMIRUL</v>
      </c>
      <c r="AT33" s="29" t="str">
        <f t="shared" si="11"/>
        <v>LCP ADAM</v>
      </c>
      <c r="AU33" s="29" t="str">
        <f t="shared" si="11"/>
        <v>REC ASH</v>
      </c>
      <c r="AV33" s="29"/>
      <c r="AW33" s="29"/>
      <c r="AX33" s="29"/>
      <c r="AY33" s="29"/>
    </row>
    <row r="34">
      <c r="A34" s="17" t="s">
        <v>232</v>
      </c>
      <c r="C34" s="49">
        <f>COUNTA($F$1:$AU$1)</f>
        <v>42</v>
      </c>
      <c r="E34" s="46" t="s">
        <v>72</v>
      </c>
      <c r="F34" s="28" t="str">
        <f t="shared" ref="F34:AU34" si="12">INDEX($A$3:$A$29, MATCH("R", INDEX($F$3:$AU$29, 0, MATCH(F2, $F$2:$AU$2, 0)), 0))</f>
        <v>LCP ADAM</v>
      </c>
      <c r="G34" s="28" t="str">
        <f t="shared" si="12"/>
        <v>LCP AMIN</v>
      </c>
      <c r="H34" s="28" t="str">
        <f t="shared" si="12"/>
        <v>PTE HAO QIAN</v>
      </c>
      <c r="I34" s="28" t="str">
        <f t="shared" si="12"/>
        <v>PTE JEFF</v>
      </c>
      <c r="J34" s="28" t="str">
        <f t="shared" si="12"/>
        <v>PTE ABBAS</v>
      </c>
      <c r="K34" s="28" t="str">
        <f t="shared" si="12"/>
        <v>PTE HAO QIAN</v>
      </c>
      <c r="L34" s="28" t="str">
        <f t="shared" si="12"/>
        <v>PTE KRISHAN</v>
      </c>
      <c r="M34" s="28" t="str">
        <f t="shared" si="12"/>
        <v>PTE AFIF</v>
      </c>
      <c r="N34" s="28" t="str">
        <f t="shared" si="12"/>
        <v>LCP GLADWYN</v>
      </c>
      <c r="O34" s="28" t="str">
        <f t="shared" si="12"/>
        <v>PTE JIREH</v>
      </c>
      <c r="P34" s="28" t="str">
        <f t="shared" si="12"/>
        <v>PTE RYAN</v>
      </c>
      <c r="Q34" s="28" t="str">
        <f t="shared" si="12"/>
        <v>LCP ZI XUAN</v>
      </c>
      <c r="R34" s="28" t="str">
        <f t="shared" si="12"/>
        <v>PTE MICHAEL</v>
      </c>
      <c r="S34" s="28" t="str">
        <f t="shared" si="12"/>
        <v>LCP ZI XUAN</v>
      </c>
      <c r="T34" s="28" t="str">
        <f t="shared" si="12"/>
        <v>PTE JIREH</v>
      </c>
      <c r="U34" s="28" t="str">
        <f t="shared" si="12"/>
        <v>PTE REUVEN</v>
      </c>
      <c r="V34" s="28" t="str">
        <f t="shared" si="12"/>
        <v>LCP EZRA</v>
      </c>
      <c r="W34" s="28" t="str">
        <f t="shared" si="12"/>
        <v>PTE INDRA</v>
      </c>
      <c r="X34" s="28" t="str">
        <f t="shared" si="12"/>
        <v>REC ASH</v>
      </c>
      <c r="Y34" s="28" t="str">
        <f t="shared" si="12"/>
        <v>PTE DYLAN</v>
      </c>
      <c r="Z34" s="28" t="str">
        <f t="shared" si="12"/>
        <v>PTE MICHAEL</v>
      </c>
      <c r="AA34" s="28" t="str">
        <f t="shared" si="12"/>
        <v>PTE KRISHAN</v>
      </c>
      <c r="AB34" s="28" t="str">
        <f t="shared" si="12"/>
        <v>PTE ABBAS</v>
      </c>
      <c r="AC34" s="28" t="str">
        <f t="shared" si="12"/>
        <v>PTE AZHARI</v>
      </c>
      <c r="AD34" s="28" t="str">
        <f t="shared" si="12"/>
        <v>3SG YAOCHEN</v>
      </c>
      <c r="AE34" s="28" t="str">
        <f t="shared" si="12"/>
        <v>LCP GLADWYN</v>
      </c>
      <c r="AF34" s="28" t="str">
        <f t="shared" si="12"/>
        <v>REC ASH</v>
      </c>
      <c r="AG34" s="28" t="str">
        <f t="shared" si="12"/>
        <v>PTE GABRIEL</v>
      </c>
      <c r="AH34" s="28" t="str">
        <f t="shared" si="12"/>
        <v>LCP FIRMAN</v>
      </c>
      <c r="AI34" s="28" t="str">
        <f t="shared" si="12"/>
        <v>PTE ISAAC</v>
      </c>
      <c r="AJ34" s="28" t="str">
        <f t="shared" si="12"/>
        <v>#N/A</v>
      </c>
      <c r="AK34" s="28" t="str">
        <f t="shared" si="12"/>
        <v>3SG YAOCHEN</v>
      </c>
      <c r="AL34" s="28" t="str">
        <f t="shared" si="12"/>
        <v>PTE GABRIEL</v>
      </c>
      <c r="AM34" s="28" t="str">
        <f t="shared" si="12"/>
        <v>REC RUI FENG</v>
      </c>
      <c r="AN34" s="28" t="str">
        <f t="shared" si="12"/>
        <v>LCP AMIRUL</v>
      </c>
      <c r="AO34" s="28" t="str">
        <f t="shared" si="12"/>
        <v>PTE ISAAC</v>
      </c>
      <c r="AP34" s="28" t="str">
        <f t="shared" si="12"/>
        <v>LCP ADAM</v>
      </c>
      <c r="AQ34" s="28" t="str">
        <f t="shared" si="12"/>
        <v>PTE INDRA</v>
      </c>
      <c r="AR34" s="28" t="str">
        <f t="shared" si="12"/>
        <v>PTE AZHARI</v>
      </c>
      <c r="AS34" s="28" t="str">
        <f t="shared" si="12"/>
        <v>PTE HAQIMI</v>
      </c>
      <c r="AT34" s="28" t="str">
        <f t="shared" si="12"/>
        <v>LCP FIRMAN</v>
      </c>
      <c r="AU34" s="28" t="str">
        <f t="shared" si="12"/>
        <v>LCP AMIRUL</v>
      </c>
    </row>
    <row r="35">
      <c r="A35" s="17" t="s">
        <v>154</v>
      </c>
      <c r="C35" s="50">
        <f>SUBTOTAL(103, $A$3:$A$29)
</f>
        <v>25</v>
      </c>
      <c r="E35" s="46" t="s">
        <v>70</v>
      </c>
      <c r="F35" s="30" t="str">
        <f t="shared" ref="F35:AU35" si="13">INDEX($A$3:$A$29, MATCH("R2", INDEX($F$3:$AU$29, 0, MATCH(F2, $F$2:$AU$2, 0)), 0))</f>
        <v>PTE ABBAS</v>
      </c>
      <c r="G35" s="30" t="str">
        <f t="shared" si="13"/>
        <v>LCP EZRA</v>
      </c>
      <c r="H35" s="30" t="str">
        <f t="shared" si="13"/>
        <v>LCP ADAM</v>
      </c>
      <c r="I35" s="30" t="str">
        <f t="shared" si="13"/>
        <v>PTE DYLAN</v>
      </c>
      <c r="J35" s="30" t="str">
        <f t="shared" si="13"/>
        <v>PTE AFIF</v>
      </c>
      <c r="K35" s="30" t="str">
        <f t="shared" si="13"/>
        <v>PTE HAQIMI</v>
      </c>
      <c r="L35" s="30" t="str">
        <f t="shared" si="13"/>
        <v>LCP FIRMAN</v>
      </c>
      <c r="M35" s="30" t="str">
        <f t="shared" si="13"/>
        <v>PTE ISAAC</v>
      </c>
      <c r="N35" s="30" t="str">
        <f t="shared" si="13"/>
        <v>PTE KRISHAN</v>
      </c>
      <c r="O35" s="30" t="str">
        <f t="shared" si="13"/>
        <v>PTE ISAAC</v>
      </c>
      <c r="P35" s="30" t="str">
        <f t="shared" si="13"/>
        <v>REC ASH</v>
      </c>
      <c r="Q35" s="30" t="str">
        <f t="shared" si="13"/>
        <v>PTE DYLAN</v>
      </c>
      <c r="R35" s="30" t="str">
        <f t="shared" si="13"/>
        <v>PTE JIREH</v>
      </c>
      <c r="S35" s="30" t="str">
        <f t="shared" si="13"/>
        <v>PTE REUVEN</v>
      </c>
      <c r="T35" s="30" t="str">
        <f t="shared" si="13"/>
        <v>PTE RYAN</v>
      </c>
      <c r="U35" s="30" t="str">
        <f t="shared" si="13"/>
        <v>LCP GLADWYN</v>
      </c>
      <c r="V35" s="30" t="str">
        <f t="shared" si="13"/>
        <v>PTE AFIF</v>
      </c>
      <c r="W35" s="30" t="str">
        <f t="shared" si="13"/>
        <v>PTE JIREH</v>
      </c>
      <c r="X35" s="30" t="str">
        <f t="shared" si="13"/>
        <v>LCP AMIN</v>
      </c>
      <c r="Y35" s="30" t="str">
        <f t="shared" si="13"/>
        <v>LCP ZI XUAN</v>
      </c>
      <c r="Z35" s="30" t="str">
        <f t="shared" si="13"/>
        <v>PTE INDRA</v>
      </c>
      <c r="AA35" s="30" t="str">
        <f t="shared" si="13"/>
        <v>PTE HAQIMI</v>
      </c>
      <c r="AB35" s="30" t="str">
        <f t="shared" si="13"/>
        <v>PTE MICHAEL</v>
      </c>
      <c r="AC35" s="30" t="str">
        <f t="shared" si="13"/>
        <v>LCP AMIRUL</v>
      </c>
      <c r="AD35" s="30" t="str">
        <f t="shared" si="13"/>
        <v>PTE REUVEN</v>
      </c>
      <c r="AE35" s="30" t="str">
        <f t="shared" si="13"/>
        <v>PTE INDRA</v>
      </c>
      <c r="AF35" s="30" t="str">
        <f t="shared" si="13"/>
        <v>PTE KRISHAN</v>
      </c>
      <c r="AG35" s="30" t="str">
        <f t="shared" si="13"/>
        <v>LCP AMIRUL</v>
      </c>
      <c r="AH35" s="30" t="str">
        <f t="shared" si="13"/>
        <v>PTE JEFF</v>
      </c>
      <c r="AI35" s="30" t="str">
        <f t="shared" si="13"/>
        <v>LCP ADAM</v>
      </c>
      <c r="AJ35" s="30" t="str">
        <f t="shared" si="13"/>
        <v>PTE AZHARI</v>
      </c>
      <c r="AK35" s="30" t="str">
        <f t="shared" si="13"/>
        <v>REC RUI FENG</v>
      </c>
      <c r="AL35" s="30" t="str">
        <f t="shared" si="13"/>
        <v>PTE RYAN</v>
      </c>
      <c r="AM35" s="30" t="str">
        <f t="shared" si="13"/>
        <v>3SG YAOCHEN</v>
      </c>
      <c r="AN35" s="30" t="str">
        <f t="shared" si="13"/>
        <v>PTE HAO QIAN</v>
      </c>
      <c r="AO35" s="30" t="str">
        <f t="shared" si="13"/>
        <v>#N/A</v>
      </c>
      <c r="AP35" s="30" t="str">
        <f t="shared" si="13"/>
        <v>PTE GABRIEL</v>
      </c>
      <c r="AQ35" s="30" t="str">
        <f t="shared" si="13"/>
        <v>3SG YAOCHEN</v>
      </c>
      <c r="AR35" s="30" t="str">
        <f t="shared" si="13"/>
        <v>REC ASH</v>
      </c>
      <c r="AS35" s="30" t="str">
        <f t="shared" si="13"/>
        <v>PTE MICHAEL</v>
      </c>
      <c r="AT35" s="30" t="str">
        <f t="shared" si="13"/>
        <v>LCP EZRA</v>
      </c>
      <c r="AU35" s="30" t="str">
        <f t="shared" si="13"/>
        <v>PTE AZHARI</v>
      </c>
      <c r="AV35" s="30"/>
      <c r="AW35" s="30"/>
      <c r="AX35" s="30"/>
      <c r="AY35" s="30"/>
    </row>
    <row r="36">
      <c r="H36" s="31"/>
    </row>
    <row r="37">
      <c r="H37" s="31"/>
    </row>
    <row r="38">
      <c r="H38" s="31"/>
    </row>
    <row r="39">
      <c r="A39" s="26" t="s">
        <v>118</v>
      </c>
      <c r="H39" s="31"/>
    </row>
    <row r="40">
      <c r="A40" s="25" t="s">
        <v>119</v>
      </c>
      <c r="H40" s="31"/>
    </row>
    <row r="41">
      <c r="A41" s="22" t="s">
        <v>120</v>
      </c>
      <c r="H41" s="31"/>
    </row>
    <row r="42">
      <c r="A42" s="20" t="s">
        <v>121</v>
      </c>
      <c r="H42" s="31"/>
    </row>
    <row r="43">
      <c r="A43" s="23" t="s">
        <v>122</v>
      </c>
      <c r="H43" s="31"/>
    </row>
    <row r="44">
      <c r="A44" s="14" t="s">
        <v>123</v>
      </c>
      <c r="H44" s="31"/>
    </row>
    <row r="45">
      <c r="A45" s="9" t="s">
        <v>125</v>
      </c>
      <c r="H45" s="31"/>
    </row>
    <row r="46">
      <c r="A46" s="44" t="s">
        <v>126</v>
      </c>
      <c r="C46" s="31"/>
      <c r="H46" s="31"/>
    </row>
    <row r="47">
      <c r="A47" s="62" t="s">
        <v>203</v>
      </c>
      <c r="H47" s="31"/>
    </row>
    <row r="48">
      <c r="A48" s="70" t="s">
        <v>233</v>
      </c>
      <c r="H48" s="31"/>
    </row>
    <row r="49">
      <c r="A49" s="69" t="s">
        <v>234</v>
      </c>
      <c r="H49" s="31"/>
    </row>
    <row r="50">
      <c r="A50" s="27" t="s">
        <v>124</v>
      </c>
      <c r="H50" s="31"/>
    </row>
    <row r="51">
      <c r="H51" s="31"/>
    </row>
    <row r="52">
      <c r="H52" s="31"/>
    </row>
    <row r="53">
      <c r="H53" s="31"/>
    </row>
    <row r="54">
      <c r="H54" s="31"/>
    </row>
    <row r="55">
      <c r="H55" s="31"/>
    </row>
    <row r="56">
      <c r="H56" s="31"/>
    </row>
    <row r="57">
      <c r="H57" s="31"/>
    </row>
    <row r="58">
      <c r="H58" s="31"/>
    </row>
    <row r="59">
      <c r="H59" s="31"/>
    </row>
    <row r="60">
      <c r="H60" s="31"/>
    </row>
    <row r="61">
      <c r="H61" s="31"/>
    </row>
    <row r="62">
      <c r="H62" s="31"/>
    </row>
    <row r="63">
      <c r="H63" s="31"/>
    </row>
    <row r="64">
      <c r="H64" s="31"/>
    </row>
    <row r="65">
      <c r="H65" s="31"/>
    </row>
    <row r="66">
      <c r="H66" s="31"/>
    </row>
    <row r="67">
      <c r="H67" s="31"/>
    </row>
    <row r="68">
      <c r="H68" s="31"/>
    </row>
    <row r="69">
      <c r="H69" s="31"/>
    </row>
    <row r="70">
      <c r="H70" s="31"/>
    </row>
    <row r="71">
      <c r="H71" s="31"/>
    </row>
    <row r="72">
      <c r="H72" s="31"/>
    </row>
    <row r="73">
      <c r="H73" s="31"/>
    </row>
    <row r="74">
      <c r="H74" s="31"/>
    </row>
    <row r="75">
      <c r="H75" s="31"/>
    </row>
    <row r="76">
      <c r="H76" s="31"/>
    </row>
    <row r="77">
      <c r="H77" s="31"/>
    </row>
    <row r="78">
      <c r="H78" s="31"/>
    </row>
    <row r="79">
      <c r="H79" s="31"/>
    </row>
    <row r="80">
      <c r="H80" s="31"/>
    </row>
    <row r="81">
      <c r="H81" s="31"/>
    </row>
    <row r="82">
      <c r="H82" s="31"/>
    </row>
    <row r="83">
      <c r="H83" s="31"/>
    </row>
    <row r="84">
      <c r="H84" s="31"/>
    </row>
    <row r="85">
      <c r="H85" s="31"/>
    </row>
    <row r="86">
      <c r="H86" s="31"/>
    </row>
    <row r="87">
      <c r="H87" s="31"/>
    </row>
    <row r="88">
      <c r="H88" s="31"/>
    </row>
    <row r="89">
      <c r="H89" s="31"/>
    </row>
    <row r="90">
      <c r="H90" s="31"/>
    </row>
    <row r="91">
      <c r="H91" s="31"/>
    </row>
    <row r="92">
      <c r="H92" s="31"/>
    </row>
    <row r="93">
      <c r="H93" s="31"/>
    </row>
    <row r="94">
      <c r="H94" s="31"/>
    </row>
    <row r="95">
      <c r="H95" s="31"/>
    </row>
    <row r="96">
      <c r="H96" s="31"/>
    </row>
    <row r="97">
      <c r="H97" s="31"/>
    </row>
    <row r="98">
      <c r="H98" s="31"/>
    </row>
    <row r="99">
      <c r="H99" s="31"/>
    </row>
    <row r="100">
      <c r="H100" s="31"/>
    </row>
    <row r="101">
      <c r="H101" s="31"/>
    </row>
    <row r="102">
      <c r="H102" s="31"/>
    </row>
    <row r="103">
      <c r="H103" s="31"/>
    </row>
    <row r="104">
      <c r="H104" s="31"/>
    </row>
    <row r="105">
      <c r="H105" s="31"/>
    </row>
    <row r="106">
      <c r="H106" s="31"/>
    </row>
    <row r="107">
      <c r="H107" s="31"/>
    </row>
    <row r="108">
      <c r="H108" s="31"/>
    </row>
    <row r="109">
      <c r="H109" s="31"/>
    </row>
    <row r="110">
      <c r="H110" s="31"/>
    </row>
    <row r="111">
      <c r="H111" s="31"/>
    </row>
    <row r="112">
      <c r="H112" s="31"/>
    </row>
    <row r="113">
      <c r="H113" s="31"/>
    </row>
    <row r="114">
      <c r="H114" s="31"/>
    </row>
    <row r="115">
      <c r="H115" s="31"/>
    </row>
    <row r="116">
      <c r="H116" s="31"/>
    </row>
    <row r="117">
      <c r="H117" s="31"/>
    </row>
    <row r="118">
      <c r="H118" s="31"/>
    </row>
    <row r="119">
      <c r="H119" s="31"/>
    </row>
    <row r="120">
      <c r="H120" s="31"/>
    </row>
    <row r="121">
      <c r="H121" s="31"/>
    </row>
    <row r="122">
      <c r="H122" s="31"/>
    </row>
    <row r="123">
      <c r="H123" s="31"/>
    </row>
    <row r="124">
      <c r="H124" s="31"/>
    </row>
    <row r="125">
      <c r="H125" s="31"/>
    </row>
    <row r="126">
      <c r="H126" s="31"/>
    </row>
    <row r="127">
      <c r="H127" s="31"/>
    </row>
    <row r="128">
      <c r="H128" s="31"/>
    </row>
    <row r="129">
      <c r="H129" s="31"/>
    </row>
    <row r="130">
      <c r="H130" s="31"/>
    </row>
    <row r="131">
      <c r="H131" s="31"/>
    </row>
    <row r="132">
      <c r="H132" s="31"/>
    </row>
    <row r="133">
      <c r="H133" s="31"/>
    </row>
    <row r="134">
      <c r="H134" s="31"/>
    </row>
    <row r="135">
      <c r="H135" s="31"/>
    </row>
    <row r="136">
      <c r="H136" s="31"/>
    </row>
    <row r="137">
      <c r="H137" s="31"/>
    </row>
    <row r="138">
      <c r="H138" s="31"/>
    </row>
    <row r="139">
      <c r="H139" s="31"/>
    </row>
    <row r="140">
      <c r="H140" s="31"/>
    </row>
    <row r="141">
      <c r="H141" s="31"/>
    </row>
    <row r="142">
      <c r="H142" s="31"/>
    </row>
    <row r="143">
      <c r="H143" s="31"/>
    </row>
    <row r="144">
      <c r="H144" s="31"/>
    </row>
    <row r="145">
      <c r="H145" s="31"/>
    </row>
    <row r="146">
      <c r="H146" s="31"/>
    </row>
    <row r="147">
      <c r="H147" s="31"/>
    </row>
    <row r="148">
      <c r="H148" s="31"/>
    </row>
    <row r="149">
      <c r="H149" s="31"/>
    </row>
    <row r="150">
      <c r="H150" s="31"/>
    </row>
    <row r="151">
      <c r="H151" s="31"/>
    </row>
    <row r="152">
      <c r="H152" s="31"/>
    </row>
    <row r="153">
      <c r="H153" s="31"/>
    </row>
    <row r="154">
      <c r="H154" s="31"/>
    </row>
    <row r="155">
      <c r="H155" s="31"/>
    </row>
    <row r="156">
      <c r="H156" s="31"/>
    </row>
    <row r="157">
      <c r="H157" s="31"/>
    </row>
    <row r="158">
      <c r="H158" s="31"/>
    </row>
    <row r="159">
      <c r="H159" s="31"/>
    </row>
    <row r="160">
      <c r="H160" s="31"/>
    </row>
    <row r="161">
      <c r="H161" s="31"/>
    </row>
    <row r="162">
      <c r="H162" s="31"/>
    </row>
    <row r="163">
      <c r="H163" s="31"/>
    </row>
    <row r="164">
      <c r="H164" s="31"/>
    </row>
    <row r="165">
      <c r="H165" s="31"/>
    </row>
    <row r="166">
      <c r="H166" s="31"/>
    </row>
    <row r="167">
      <c r="H167" s="31"/>
    </row>
    <row r="168">
      <c r="H168" s="31"/>
    </row>
    <row r="169">
      <c r="H169" s="31"/>
    </row>
    <row r="170">
      <c r="H170" s="31"/>
    </row>
    <row r="171">
      <c r="H171" s="31"/>
    </row>
    <row r="172">
      <c r="H172" s="31"/>
    </row>
    <row r="173">
      <c r="H173" s="31"/>
    </row>
    <row r="174">
      <c r="H174" s="31"/>
    </row>
    <row r="175">
      <c r="H175" s="31"/>
    </row>
    <row r="176">
      <c r="H176" s="31"/>
    </row>
    <row r="177">
      <c r="H177" s="31"/>
    </row>
    <row r="178">
      <c r="H178" s="31"/>
    </row>
    <row r="179">
      <c r="H179" s="31"/>
    </row>
    <row r="180">
      <c r="H180" s="31"/>
    </row>
    <row r="181">
      <c r="H181" s="31"/>
    </row>
    <row r="182">
      <c r="H182" s="31"/>
    </row>
    <row r="183">
      <c r="H183" s="31"/>
    </row>
    <row r="184">
      <c r="H184" s="31"/>
    </row>
    <row r="185">
      <c r="H185" s="31"/>
    </row>
    <row r="186">
      <c r="H186" s="31"/>
    </row>
    <row r="187">
      <c r="H187" s="31"/>
    </row>
    <row r="188">
      <c r="H188" s="31"/>
    </row>
    <row r="189">
      <c r="H189" s="31"/>
    </row>
    <row r="190">
      <c r="H190" s="31"/>
    </row>
    <row r="191">
      <c r="H191" s="31"/>
    </row>
    <row r="192">
      <c r="H192" s="31"/>
    </row>
    <row r="193">
      <c r="H193" s="31"/>
    </row>
    <row r="194">
      <c r="H194" s="31"/>
    </row>
    <row r="195">
      <c r="H195" s="31"/>
    </row>
    <row r="196">
      <c r="H196" s="31"/>
    </row>
    <row r="197">
      <c r="H197" s="31"/>
    </row>
    <row r="198">
      <c r="H198" s="31"/>
    </row>
    <row r="199">
      <c r="H199" s="31"/>
    </row>
    <row r="200">
      <c r="H200" s="31"/>
    </row>
    <row r="201">
      <c r="H201" s="31"/>
    </row>
    <row r="202">
      <c r="H202" s="31"/>
    </row>
    <row r="203">
      <c r="H203" s="31"/>
    </row>
    <row r="204">
      <c r="H204" s="31"/>
    </row>
    <row r="205">
      <c r="H205" s="31"/>
    </row>
    <row r="206">
      <c r="H206" s="31"/>
    </row>
    <row r="207">
      <c r="H207" s="31"/>
    </row>
    <row r="208">
      <c r="H208" s="31"/>
    </row>
    <row r="209">
      <c r="H209" s="31"/>
    </row>
    <row r="210">
      <c r="H210" s="31"/>
    </row>
    <row r="211">
      <c r="H211" s="31"/>
    </row>
    <row r="212">
      <c r="H212" s="31"/>
    </row>
    <row r="213">
      <c r="H213" s="31"/>
    </row>
    <row r="214">
      <c r="H214" s="31"/>
    </row>
    <row r="215">
      <c r="H215" s="31"/>
    </row>
    <row r="216">
      <c r="H216" s="31"/>
    </row>
    <row r="217">
      <c r="H217" s="31"/>
    </row>
    <row r="218">
      <c r="H218" s="31"/>
    </row>
    <row r="219">
      <c r="H219" s="31"/>
    </row>
    <row r="220">
      <c r="H220" s="31"/>
    </row>
    <row r="221">
      <c r="H221" s="31"/>
    </row>
    <row r="222">
      <c r="H222" s="31"/>
    </row>
    <row r="223">
      <c r="H223" s="31"/>
    </row>
    <row r="224">
      <c r="H224" s="31"/>
    </row>
    <row r="225">
      <c r="H225" s="31"/>
    </row>
    <row r="226">
      <c r="H226" s="31"/>
    </row>
    <row r="227">
      <c r="H227" s="31"/>
    </row>
    <row r="228">
      <c r="H228" s="31"/>
    </row>
    <row r="229">
      <c r="H229" s="31"/>
    </row>
    <row r="230">
      <c r="H230" s="31"/>
    </row>
    <row r="231">
      <c r="H231" s="31"/>
    </row>
    <row r="232">
      <c r="H232" s="31"/>
    </row>
    <row r="233">
      <c r="H233" s="31"/>
    </row>
    <row r="234">
      <c r="H234" s="31"/>
    </row>
    <row r="235">
      <c r="H235" s="31"/>
    </row>
    <row r="236">
      <c r="H236" s="31"/>
    </row>
    <row r="237">
      <c r="H237" s="31"/>
    </row>
    <row r="238">
      <c r="H238" s="31"/>
    </row>
    <row r="239">
      <c r="H239" s="31"/>
    </row>
    <row r="240">
      <c r="H240" s="31"/>
    </row>
    <row r="241">
      <c r="H241" s="31"/>
    </row>
    <row r="242">
      <c r="H242" s="31"/>
    </row>
    <row r="243">
      <c r="H243" s="31"/>
    </row>
    <row r="244">
      <c r="H244" s="31"/>
    </row>
    <row r="245">
      <c r="H245" s="31"/>
    </row>
    <row r="246">
      <c r="H246" s="31"/>
    </row>
    <row r="247">
      <c r="H247" s="31"/>
    </row>
    <row r="248">
      <c r="H248" s="31"/>
    </row>
    <row r="249">
      <c r="H249" s="31"/>
    </row>
    <row r="250">
      <c r="H250" s="31"/>
    </row>
    <row r="251">
      <c r="H251" s="31"/>
    </row>
    <row r="252">
      <c r="H252" s="31"/>
    </row>
    <row r="253">
      <c r="H253" s="31"/>
    </row>
    <row r="254">
      <c r="H254" s="31"/>
    </row>
    <row r="255">
      <c r="H255" s="31"/>
    </row>
    <row r="256">
      <c r="H256" s="31"/>
    </row>
    <row r="257">
      <c r="H257" s="31"/>
    </row>
    <row r="258">
      <c r="H258" s="31"/>
    </row>
    <row r="259">
      <c r="H259" s="31"/>
    </row>
    <row r="260">
      <c r="H260" s="31"/>
    </row>
    <row r="261">
      <c r="H261" s="31"/>
    </row>
    <row r="262">
      <c r="H262" s="31"/>
    </row>
    <row r="263">
      <c r="H263" s="31"/>
    </row>
    <row r="264">
      <c r="H264" s="31"/>
    </row>
    <row r="265">
      <c r="H265" s="31"/>
    </row>
    <row r="266">
      <c r="H266" s="31"/>
    </row>
    <row r="267">
      <c r="H267" s="31"/>
    </row>
    <row r="268">
      <c r="H268" s="31"/>
    </row>
    <row r="269">
      <c r="H269" s="31"/>
    </row>
    <row r="270">
      <c r="H270" s="31"/>
    </row>
    <row r="271">
      <c r="H271" s="31"/>
    </row>
    <row r="272">
      <c r="H272" s="31"/>
    </row>
    <row r="273">
      <c r="H273" s="31"/>
    </row>
    <row r="274">
      <c r="H274" s="31"/>
    </row>
    <row r="275">
      <c r="H275" s="31"/>
    </row>
    <row r="276">
      <c r="H276" s="31"/>
    </row>
    <row r="277">
      <c r="H277" s="31"/>
    </row>
    <row r="278">
      <c r="H278" s="31"/>
    </row>
    <row r="279">
      <c r="H279" s="31"/>
    </row>
    <row r="280">
      <c r="H280" s="31"/>
    </row>
    <row r="281">
      <c r="H281" s="31"/>
    </row>
    <row r="282">
      <c r="H282" s="31"/>
    </row>
    <row r="283">
      <c r="H283" s="31"/>
    </row>
    <row r="284">
      <c r="H284" s="31"/>
    </row>
    <row r="285">
      <c r="H285" s="31"/>
    </row>
    <row r="286">
      <c r="H286" s="31"/>
    </row>
    <row r="287">
      <c r="H287" s="31"/>
    </row>
    <row r="288">
      <c r="H288" s="31"/>
    </row>
    <row r="289">
      <c r="H289" s="31"/>
    </row>
    <row r="290">
      <c r="H290" s="31"/>
    </row>
    <row r="291">
      <c r="H291" s="31"/>
    </row>
    <row r="292">
      <c r="H292" s="31"/>
    </row>
    <row r="293">
      <c r="H293" s="31"/>
    </row>
    <row r="294">
      <c r="H294" s="31"/>
    </row>
    <row r="295">
      <c r="H295" s="31"/>
    </row>
    <row r="296">
      <c r="H296" s="31"/>
    </row>
    <row r="297">
      <c r="H297" s="31"/>
    </row>
    <row r="298">
      <c r="H298" s="31"/>
    </row>
    <row r="299">
      <c r="H299" s="31"/>
    </row>
    <row r="300">
      <c r="H300" s="31"/>
    </row>
    <row r="301">
      <c r="H301" s="31"/>
    </row>
    <row r="302">
      <c r="H302" s="31"/>
    </row>
    <row r="303">
      <c r="H303" s="31"/>
    </row>
    <row r="304">
      <c r="H304" s="31"/>
    </row>
    <row r="305">
      <c r="H305" s="31"/>
    </row>
    <row r="306">
      <c r="H306" s="31"/>
    </row>
    <row r="307">
      <c r="H307" s="31"/>
    </row>
    <row r="308">
      <c r="H308" s="31"/>
    </row>
    <row r="309">
      <c r="H309" s="31"/>
    </row>
    <row r="310">
      <c r="H310" s="31"/>
    </row>
    <row r="311">
      <c r="H311" s="31"/>
    </row>
    <row r="312">
      <c r="H312" s="31"/>
    </row>
    <row r="313">
      <c r="H313" s="31"/>
    </row>
    <row r="314">
      <c r="H314" s="31"/>
    </row>
    <row r="315">
      <c r="H315" s="31"/>
    </row>
    <row r="316">
      <c r="H316" s="31"/>
    </row>
    <row r="317">
      <c r="H317" s="31"/>
    </row>
    <row r="318">
      <c r="H318" s="31"/>
    </row>
    <row r="319">
      <c r="H319" s="31"/>
    </row>
    <row r="320">
      <c r="H320" s="31"/>
    </row>
    <row r="321">
      <c r="H321" s="31"/>
    </row>
    <row r="322">
      <c r="H322" s="31"/>
    </row>
    <row r="323">
      <c r="H323" s="31"/>
    </row>
    <row r="324">
      <c r="H324" s="31"/>
    </row>
    <row r="325">
      <c r="H325" s="31"/>
    </row>
    <row r="326">
      <c r="H326" s="31"/>
    </row>
    <row r="327">
      <c r="H327" s="31"/>
    </row>
    <row r="328">
      <c r="H328" s="31"/>
    </row>
    <row r="329">
      <c r="H329" s="31"/>
    </row>
    <row r="330">
      <c r="H330" s="31"/>
    </row>
    <row r="331">
      <c r="H331" s="31"/>
    </row>
    <row r="332">
      <c r="H332" s="31"/>
    </row>
    <row r="333">
      <c r="H333" s="31"/>
    </row>
    <row r="334">
      <c r="H334" s="31"/>
    </row>
    <row r="335">
      <c r="H335" s="31"/>
    </row>
    <row r="336">
      <c r="H336" s="31"/>
    </row>
    <row r="337">
      <c r="H337" s="31"/>
    </row>
    <row r="338">
      <c r="H338" s="31"/>
    </row>
    <row r="339">
      <c r="H339" s="31"/>
    </row>
    <row r="340">
      <c r="H340" s="31"/>
    </row>
    <row r="341">
      <c r="H341" s="31"/>
    </row>
    <row r="342">
      <c r="H342" s="31"/>
    </row>
    <row r="343">
      <c r="H343" s="31"/>
    </row>
    <row r="344">
      <c r="H344" s="31"/>
    </row>
    <row r="345">
      <c r="H345" s="31"/>
    </row>
    <row r="346">
      <c r="H346" s="31"/>
    </row>
    <row r="347">
      <c r="H347" s="31"/>
    </row>
    <row r="348">
      <c r="H348" s="31"/>
    </row>
    <row r="349">
      <c r="H349" s="31"/>
    </row>
    <row r="350">
      <c r="H350" s="31"/>
    </row>
    <row r="351">
      <c r="H351" s="31"/>
    </row>
    <row r="352">
      <c r="H352" s="31"/>
    </row>
    <row r="353">
      <c r="H353" s="31"/>
    </row>
    <row r="354">
      <c r="H354" s="31"/>
    </row>
    <row r="355">
      <c r="H355" s="31"/>
    </row>
    <row r="356">
      <c r="H356" s="31"/>
    </row>
    <row r="357">
      <c r="H357" s="31"/>
    </row>
    <row r="358">
      <c r="H358" s="31"/>
    </row>
    <row r="359">
      <c r="H359" s="31"/>
    </row>
    <row r="360">
      <c r="H360" s="31"/>
    </row>
    <row r="361">
      <c r="H361" s="31"/>
    </row>
    <row r="362">
      <c r="H362" s="31"/>
    </row>
    <row r="363">
      <c r="H363" s="31"/>
    </row>
    <row r="364">
      <c r="H364" s="31"/>
    </row>
    <row r="365">
      <c r="H365" s="31"/>
    </row>
    <row r="366">
      <c r="H366" s="31"/>
    </row>
    <row r="367">
      <c r="H367" s="31"/>
    </row>
    <row r="368">
      <c r="H368" s="31"/>
    </row>
    <row r="369">
      <c r="H369" s="31"/>
    </row>
    <row r="370">
      <c r="H370" s="31"/>
    </row>
    <row r="371">
      <c r="H371" s="31"/>
    </row>
    <row r="372">
      <c r="H372" s="31"/>
    </row>
    <row r="373">
      <c r="H373" s="31"/>
    </row>
    <row r="374">
      <c r="H374" s="31"/>
    </row>
    <row r="375">
      <c r="H375" s="31"/>
    </row>
    <row r="376">
      <c r="H376" s="31"/>
    </row>
    <row r="377">
      <c r="H377" s="31"/>
    </row>
    <row r="378">
      <c r="H378" s="31"/>
    </row>
    <row r="379">
      <c r="H379" s="31"/>
    </row>
    <row r="380">
      <c r="H380" s="31"/>
    </row>
    <row r="381">
      <c r="H381" s="31"/>
    </row>
    <row r="382">
      <c r="H382" s="31"/>
    </row>
    <row r="383">
      <c r="H383" s="31"/>
    </row>
    <row r="384">
      <c r="H384" s="31"/>
    </row>
    <row r="385">
      <c r="H385" s="31"/>
    </row>
    <row r="386">
      <c r="H386" s="31"/>
    </row>
    <row r="387">
      <c r="H387" s="31"/>
    </row>
    <row r="388">
      <c r="H388" s="31"/>
    </row>
    <row r="389">
      <c r="H389" s="31"/>
    </row>
    <row r="390">
      <c r="H390" s="31"/>
    </row>
    <row r="391">
      <c r="H391" s="31"/>
    </row>
    <row r="392">
      <c r="H392" s="31"/>
    </row>
    <row r="393">
      <c r="H393" s="31"/>
    </row>
    <row r="394">
      <c r="H394" s="31"/>
    </row>
    <row r="395">
      <c r="H395" s="31"/>
    </row>
    <row r="396">
      <c r="H396" s="31"/>
    </row>
    <row r="397">
      <c r="H397" s="31"/>
    </row>
    <row r="398">
      <c r="H398" s="31"/>
    </row>
    <row r="399">
      <c r="H399" s="31"/>
    </row>
    <row r="400">
      <c r="H400" s="31"/>
    </row>
    <row r="401">
      <c r="H401" s="31"/>
    </row>
    <row r="402">
      <c r="H402" s="31"/>
    </row>
    <row r="403">
      <c r="H403" s="31"/>
    </row>
    <row r="404">
      <c r="H404" s="31"/>
    </row>
    <row r="405">
      <c r="H405" s="31"/>
    </row>
    <row r="406">
      <c r="H406" s="31"/>
    </row>
    <row r="407">
      <c r="H407" s="31"/>
    </row>
    <row r="408">
      <c r="H408" s="31"/>
    </row>
    <row r="409">
      <c r="H409" s="31"/>
    </row>
    <row r="410">
      <c r="H410" s="31"/>
    </row>
    <row r="411">
      <c r="H411" s="31"/>
    </row>
    <row r="412">
      <c r="H412" s="31"/>
    </row>
    <row r="413">
      <c r="H413" s="31"/>
    </row>
    <row r="414">
      <c r="H414" s="31"/>
    </row>
    <row r="415">
      <c r="H415" s="31"/>
    </row>
    <row r="416">
      <c r="H416" s="31"/>
    </row>
    <row r="417">
      <c r="H417" s="31"/>
    </row>
    <row r="418">
      <c r="H418" s="31"/>
    </row>
    <row r="419">
      <c r="H419" s="31"/>
    </row>
    <row r="420">
      <c r="H420" s="31"/>
    </row>
    <row r="421">
      <c r="H421" s="31"/>
    </row>
    <row r="422">
      <c r="H422" s="31"/>
    </row>
    <row r="423">
      <c r="H423" s="31"/>
    </row>
    <row r="424">
      <c r="H424" s="31"/>
    </row>
    <row r="425">
      <c r="H425" s="31"/>
    </row>
    <row r="426">
      <c r="H426" s="31"/>
    </row>
    <row r="427">
      <c r="H427" s="31"/>
    </row>
    <row r="428">
      <c r="H428" s="31"/>
    </row>
    <row r="429">
      <c r="H429" s="31"/>
    </row>
    <row r="430">
      <c r="H430" s="31"/>
    </row>
    <row r="431">
      <c r="H431" s="31"/>
    </row>
    <row r="432">
      <c r="H432" s="31"/>
    </row>
    <row r="433">
      <c r="H433" s="31"/>
    </row>
    <row r="434">
      <c r="H434" s="31"/>
    </row>
    <row r="435">
      <c r="H435" s="31"/>
    </row>
    <row r="436">
      <c r="H436" s="31"/>
    </row>
    <row r="437">
      <c r="H437" s="31"/>
    </row>
    <row r="438">
      <c r="H438" s="31"/>
    </row>
    <row r="439">
      <c r="H439" s="31"/>
    </row>
    <row r="440">
      <c r="H440" s="31"/>
    </row>
    <row r="441">
      <c r="H441" s="31"/>
    </row>
    <row r="442">
      <c r="H442" s="31"/>
    </row>
    <row r="443">
      <c r="H443" s="31"/>
    </row>
    <row r="444">
      <c r="H444" s="31"/>
    </row>
    <row r="445">
      <c r="H445" s="31"/>
    </row>
    <row r="446">
      <c r="H446" s="31"/>
    </row>
    <row r="447">
      <c r="H447" s="31"/>
    </row>
    <row r="448">
      <c r="H448" s="31"/>
    </row>
    <row r="449">
      <c r="H449" s="31"/>
    </row>
    <row r="450">
      <c r="H450" s="31"/>
    </row>
    <row r="451">
      <c r="H451" s="31"/>
    </row>
    <row r="452">
      <c r="H452" s="31"/>
    </row>
    <row r="453">
      <c r="H453" s="31"/>
    </row>
    <row r="454">
      <c r="H454" s="31"/>
    </row>
    <row r="455">
      <c r="H455" s="31"/>
    </row>
    <row r="456">
      <c r="H456" s="31"/>
    </row>
    <row r="457">
      <c r="H457" s="31"/>
    </row>
    <row r="458">
      <c r="H458" s="31"/>
    </row>
    <row r="459">
      <c r="H459" s="31"/>
    </row>
    <row r="460">
      <c r="H460" s="31"/>
    </row>
    <row r="461">
      <c r="H461" s="31"/>
    </row>
    <row r="462">
      <c r="H462" s="31"/>
    </row>
    <row r="463">
      <c r="H463" s="31"/>
    </row>
    <row r="464">
      <c r="H464" s="31"/>
    </row>
    <row r="465">
      <c r="H465" s="31"/>
    </row>
    <row r="466">
      <c r="H466" s="31"/>
    </row>
    <row r="467">
      <c r="H467" s="31"/>
    </row>
    <row r="468">
      <c r="H468" s="31"/>
    </row>
    <row r="469">
      <c r="H469" s="31"/>
    </row>
    <row r="470">
      <c r="H470" s="31"/>
    </row>
    <row r="471">
      <c r="H471" s="31"/>
    </row>
    <row r="472">
      <c r="H472" s="31"/>
    </row>
    <row r="473">
      <c r="H473" s="31"/>
    </row>
    <row r="474">
      <c r="H474" s="31"/>
    </row>
    <row r="475">
      <c r="H475" s="31"/>
    </row>
    <row r="476">
      <c r="H476" s="31"/>
    </row>
    <row r="477">
      <c r="H477" s="31"/>
    </row>
    <row r="478">
      <c r="H478" s="31"/>
    </row>
    <row r="479">
      <c r="H479" s="31"/>
    </row>
    <row r="480">
      <c r="H480" s="31"/>
    </row>
    <row r="481">
      <c r="H481" s="31"/>
    </row>
    <row r="482">
      <c r="H482" s="31"/>
    </row>
    <row r="483">
      <c r="H483" s="31"/>
    </row>
    <row r="484">
      <c r="H484" s="31"/>
    </row>
    <row r="485">
      <c r="H485" s="31"/>
    </row>
    <row r="486">
      <c r="H486" s="31"/>
    </row>
    <row r="487">
      <c r="H487" s="31"/>
    </row>
    <row r="488">
      <c r="H488" s="31"/>
    </row>
    <row r="489">
      <c r="H489" s="31"/>
    </row>
    <row r="490">
      <c r="H490" s="31"/>
    </row>
    <row r="491">
      <c r="H491" s="31"/>
    </row>
    <row r="492">
      <c r="H492" s="31"/>
    </row>
    <row r="493">
      <c r="H493" s="31"/>
    </row>
    <row r="494">
      <c r="H494" s="31"/>
    </row>
    <row r="495">
      <c r="H495" s="31"/>
    </row>
    <row r="496">
      <c r="H496" s="31"/>
    </row>
    <row r="497">
      <c r="H497" s="31"/>
    </row>
    <row r="498">
      <c r="H498" s="31"/>
    </row>
    <row r="499">
      <c r="H499" s="31"/>
    </row>
    <row r="500">
      <c r="H500" s="31"/>
    </row>
    <row r="501">
      <c r="H501" s="31"/>
    </row>
    <row r="502">
      <c r="H502" s="31"/>
    </row>
    <row r="503">
      <c r="H503" s="31"/>
    </row>
    <row r="504">
      <c r="H504" s="31"/>
    </row>
    <row r="505">
      <c r="H505" s="31"/>
    </row>
    <row r="506">
      <c r="H506" s="31"/>
    </row>
    <row r="507">
      <c r="H507" s="31"/>
    </row>
    <row r="508">
      <c r="H508" s="31"/>
    </row>
    <row r="509">
      <c r="H509" s="31"/>
    </row>
    <row r="510">
      <c r="H510" s="31"/>
    </row>
    <row r="511">
      <c r="H511" s="31"/>
    </row>
    <row r="512">
      <c r="H512" s="31"/>
    </row>
    <row r="513">
      <c r="H513" s="31"/>
    </row>
    <row r="514">
      <c r="H514" s="31"/>
    </row>
    <row r="515">
      <c r="H515" s="31"/>
    </row>
    <row r="516">
      <c r="H516" s="31"/>
    </row>
    <row r="517">
      <c r="H517" s="31"/>
    </row>
    <row r="518">
      <c r="H518" s="31"/>
    </row>
    <row r="519">
      <c r="H519" s="31"/>
    </row>
    <row r="520">
      <c r="H520" s="31"/>
    </row>
    <row r="521">
      <c r="H521" s="31"/>
    </row>
    <row r="522">
      <c r="H522" s="31"/>
    </row>
    <row r="523">
      <c r="H523" s="31"/>
    </row>
    <row r="524">
      <c r="H524" s="31"/>
    </row>
    <row r="525">
      <c r="H525" s="31"/>
    </row>
    <row r="526">
      <c r="H526" s="31"/>
    </row>
    <row r="527">
      <c r="H527" s="31"/>
    </row>
    <row r="528">
      <c r="H528" s="31"/>
    </row>
    <row r="529">
      <c r="H529" s="31"/>
    </row>
    <row r="530">
      <c r="H530" s="31"/>
    </row>
    <row r="531">
      <c r="H531" s="31"/>
    </row>
    <row r="532">
      <c r="H532" s="31"/>
    </row>
    <row r="533">
      <c r="H533" s="31"/>
    </row>
    <row r="534">
      <c r="H534" s="31"/>
    </row>
    <row r="535">
      <c r="H535" s="31"/>
    </row>
    <row r="536">
      <c r="H536" s="31"/>
    </row>
    <row r="537">
      <c r="H537" s="31"/>
    </row>
    <row r="538">
      <c r="H538" s="31"/>
    </row>
    <row r="539">
      <c r="H539" s="31"/>
    </row>
    <row r="540">
      <c r="H540" s="31"/>
    </row>
    <row r="541">
      <c r="H541" s="31"/>
    </row>
    <row r="542">
      <c r="H542" s="31"/>
    </row>
    <row r="543">
      <c r="H543" s="31"/>
    </row>
    <row r="544">
      <c r="H544" s="31"/>
    </row>
    <row r="545">
      <c r="H545" s="31"/>
    </row>
    <row r="546">
      <c r="H546" s="31"/>
    </row>
    <row r="547">
      <c r="H547" s="31"/>
    </row>
    <row r="548">
      <c r="H548" s="31"/>
    </row>
    <row r="549">
      <c r="H549" s="31"/>
    </row>
    <row r="550">
      <c r="H550" s="31"/>
    </row>
    <row r="551">
      <c r="H551" s="31"/>
    </row>
    <row r="552">
      <c r="H552" s="31"/>
    </row>
    <row r="553">
      <c r="H553" s="31"/>
    </row>
    <row r="554">
      <c r="H554" s="31"/>
    </row>
    <row r="555">
      <c r="H555" s="31"/>
    </row>
    <row r="556">
      <c r="H556" s="31"/>
    </row>
    <row r="557">
      <c r="H557" s="31"/>
    </row>
    <row r="558">
      <c r="H558" s="31"/>
    </row>
    <row r="559">
      <c r="H559" s="31"/>
    </row>
    <row r="560">
      <c r="H560" s="31"/>
    </row>
    <row r="561">
      <c r="H561" s="31"/>
    </row>
    <row r="562">
      <c r="H562" s="31"/>
    </row>
    <row r="563">
      <c r="H563" s="31"/>
    </row>
    <row r="564">
      <c r="H564" s="31"/>
    </row>
    <row r="565">
      <c r="H565" s="31"/>
    </row>
    <row r="566">
      <c r="H566" s="31"/>
    </row>
    <row r="567">
      <c r="H567" s="31"/>
    </row>
    <row r="568">
      <c r="H568" s="31"/>
    </row>
    <row r="569">
      <c r="H569" s="31"/>
    </row>
    <row r="570">
      <c r="H570" s="31"/>
    </row>
    <row r="571">
      <c r="H571" s="31"/>
    </row>
    <row r="572">
      <c r="H572" s="31"/>
    </row>
    <row r="573">
      <c r="H573" s="31"/>
    </row>
    <row r="574">
      <c r="H574" s="31"/>
    </row>
    <row r="575">
      <c r="H575" s="31"/>
    </row>
    <row r="576">
      <c r="H576" s="31"/>
    </row>
    <row r="577">
      <c r="H577" s="31"/>
    </row>
    <row r="578">
      <c r="H578" s="31"/>
    </row>
    <row r="579">
      <c r="H579" s="31"/>
    </row>
    <row r="580">
      <c r="H580" s="31"/>
    </row>
    <row r="581">
      <c r="H581" s="31"/>
    </row>
    <row r="582">
      <c r="H582" s="31"/>
    </row>
    <row r="583">
      <c r="H583" s="31"/>
    </row>
    <row r="584">
      <c r="H584" s="31"/>
    </row>
    <row r="585">
      <c r="H585" s="31"/>
    </row>
    <row r="586">
      <c r="H586" s="31"/>
    </row>
    <row r="587">
      <c r="H587" s="31"/>
    </row>
    <row r="588">
      <c r="H588" s="31"/>
    </row>
    <row r="589">
      <c r="H589" s="31"/>
    </row>
    <row r="590">
      <c r="H590" s="31"/>
    </row>
    <row r="591">
      <c r="H591" s="31"/>
    </row>
    <row r="592">
      <c r="H592" s="31"/>
    </row>
    <row r="593">
      <c r="H593" s="31"/>
    </row>
    <row r="594">
      <c r="H594" s="31"/>
    </row>
    <row r="595">
      <c r="H595" s="31"/>
    </row>
    <row r="596">
      <c r="H596" s="31"/>
    </row>
    <row r="597">
      <c r="H597" s="31"/>
    </row>
    <row r="598">
      <c r="H598" s="31"/>
    </row>
    <row r="599">
      <c r="H599" s="31"/>
    </row>
    <row r="600">
      <c r="H600" s="31"/>
    </row>
    <row r="601">
      <c r="H601" s="31"/>
    </row>
    <row r="602">
      <c r="H602" s="31"/>
    </row>
    <row r="603">
      <c r="H603" s="31"/>
    </row>
    <row r="604">
      <c r="H604" s="31"/>
    </row>
    <row r="605">
      <c r="H605" s="31"/>
    </row>
    <row r="606">
      <c r="H606" s="31"/>
    </row>
    <row r="607">
      <c r="H607" s="31"/>
    </row>
    <row r="608">
      <c r="H608" s="31"/>
    </row>
    <row r="609">
      <c r="H609" s="31"/>
    </row>
    <row r="610">
      <c r="H610" s="31"/>
    </row>
    <row r="611">
      <c r="H611" s="31"/>
    </row>
    <row r="612">
      <c r="H612" s="31"/>
    </row>
    <row r="613">
      <c r="H613" s="31"/>
    </row>
    <row r="614">
      <c r="H614" s="31"/>
    </row>
    <row r="615">
      <c r="H615" s="31"/>
    </row>
    <row r="616">
      <c r="H616" s="31"/>
    </row>
    <row r="617">
      <c r="H617" s="31"/>
    </row>
    <row r="618">
      <c r="H618" s="31"/>
    </row>
    <row r="619">
      <c r="H619" s="31"/>
    </row>
    <row r="620">
      <c r="H620" s="31"/>
    </row>
    <row r="621">
      <c r="H621" s="31"/>
    </row>
    <row r="622">
      <c r="H622" s="31"/>
    </row>
    <row r="623">
      <c r="H623" s="31"/>
    </row>
    <row r="624">
      <c r="H624" s="31"/>
    </row>
    <row r="625">
      <c r="H625" s="31"/>
    </row>
    <row r="626">
      <c r="H626" s="31"/>
    </row>
    <row r="627">
      <c r="H627" s="31"/>
    </row>
    <row r="628">
      <c r="H628" s="31"/>
    </row>
    <row r="629">
      <c r="H629" s="31"/>
    </row>
    <row r="630">
      <c r="H630" s="31"/>
    </row>
    <row r="631">
      <c r="H631" s="31"/>
    </row>
    <row r="632">
      <c r="H632" s="31"/>
    </row>
    <row r="633">
      <c r="H633" s="31"/>
    </row>
    <row r="634">
      <c r="H634" s="31"/>
    </row>
    <row r="635">
      <c r="H635" s="31"/>
    </row>
    <row r="636">
      <c r="H636" s="31"/>
    </row>
    <row r="637">
      <c r="H637" s="31"/>
    </row>
    <row r="638">
      <c r="H638" s="31"/>
    </row>
    <row r="639">
      <c r="H639" s="31"/>
    </row>
    <row r="640">
      <c r="H640" s="31"/>
    </row>
    <row r="641">
      <c r="H641" s="31"/>
    </row>
    <row r="642">
      <c r="H642" s="31"/>
    </row>
    <row r="643">
      <c r="H643" s="31"/>
    </row>
    <row r="644">
      <c r="H644" s="31"/>
    </row>
    <row r="645">
      <c r="H645" s="31"/>
    </row>
    <row r="646">
      <c r="H646" s="31"/>
    </row>
    <row r="647">
      <c r="H647" s="31"/>
    </row>
    <row r="648">
      <c r="H648" s="31"/>
    </row>
    <row r="649">
      <c r="H649" s="31"/>
    </row>
    <row r="650">
      <c r="H650" s="31"/>
    </row>
    <row r="651">
      <c r="H651" s="31"/>
    </row>
    <row r="652">
      <c r="H652" s="31"/>
    </row>
    <row r="653">
      <c r="H653" s="31"/>
    </row>
    <row r="654">
      <c r="H654" s="31"/>
    </row>
    <row r="655">
      <c r="H655" s="31"/>
    </row>
    <row r="656">
      <c r="H656" s="31"/>
    </row>
    <row r="657">
      <c r="H657" s="31"/>
    </row>
    <row r="658">
      <c r="H658" s="31"/>
    </row>
    <row r="659">
      <c r="H659" s="31"/>
    </row>
    <row r="660">
      <c r="H660" s="31"/>
    </row>
    <row r="661">
      <c r="H661" s="31"/>
    </row>
    <row r="662">
      <c r="H662" s="31"/>
    </row>
    <row r="663">
      <c r="H663" s="31"/>
    </row>
    <row r="664">
      <c r="H664" s="31"/>
    </row>
    <row r="665">
      <c r="H665" s="31"/>
    </row>
    <row r="666">
      <c r="H666" s="31"/>
    </row>
    <row r="667">
      <c r="H667" s="31"/>
    </row>
    <row r="668">
      <c r="H668" s="31"/>
    </row>
    <row r="669">
      <c r="H669" s="31"/>
    </row>
    <row r="670">
      <c r="H670" s="31"/>
    </row>
    <row r="671">
      <c r="H671" s="31"/>
    </row>
    <row r="672">
      <c r="H672" s="31"/>
    </row>
    <row r="673">
      <c r="H673" s="31"/>
    </row>
    <row r="674">
      <c r="H674" s="31"/>
    </row>
    <row r="675">
      <c r="H675" s="31"/>
    </row>
    <row r="676">
      <c r="H676" s="31"/>
    </row>
    <row r="677">
      <c r="H677" s="31"/>
    </row>
    <row r="678">
      <c r="H678" s="31"/>
    </row>
    <row r="679">
      <c r="H679" s="31"/>
    </row>
    <row r="680">
      <c r="H680" s="31"/>
    </row>
    <row r="681">
      <c r="H681" s="31"/>
    </row>
    <row r="682">
      <c r="H682" s="31"/>
    </row>
    <row r="683">
      <c r="H683" s="31"/>
    </row>
    <row r="684">
      <c r="H684" s="31"/>
    </row>
    <row r="685">
      <c r="H685" s="31"/>
    </row>
    <row r="686">
      <c r="H686" s="31"/>
    </row>
    <row r="687">
      <c r="H687" s="31"/>
    </row>
    <row r="688">
      <c r="H688" s="31"/>
    </row>
    <row r="689">
      <c r="H689" s="31"/>
    </row>
    <row r="690">
      <c r="H690" s="31"/>
    </row>
    <row r="691">
      <c r="H691" s="31"/>
    </row>
    <row r="692">
      <c r="H692" s="31"/>
    </row>
    <row r="693">
      <c r="H693" s="31"/>
    </row>
    <row r="694">
      <c r="H694" s="31"/>
    </row>
    <row r="695">
      <c r="H695" s="31"/>
    </row>
    <row r="696">
      <c r="H696" s="31"/>
    </row>
    <row r="697">
      <c r="H697" s="31"/>
    </row>
    <row r="698">
      <c r="H698" s="31"/>
    </row>
    <row r="699">
      <c r="H699" s="31"/>
    </row>
    <row r="700">
      <c r="H700" s="31"/>
    </row>
    <row r="701">
      <c r="H701" s="31"/>
    </row>
    <row r="702">
      <c r="H702" s="31"/>
    </row>
    <row r="703">
      <c r="H703" s="31"/>
    </row>
    <row r="704">
      <c r="H704" s="31"/>
    </row>
    <row r="705">
      <c r="H705" s="31"/>
    </row>
    <row r="706">
      <c r="H706" s="31"/>
    </row>
    <row r="707">
      <c r="H707" s="31"/>
    </row>
    <row r="708">
      <c r="H708" s="31"/>
    </row>
    <row r="709">
      <c r="H709" s="31"/>
    </row>
    <row r="710">
      <c r="H710" s="31"/>
    </row>
    <row r="711">
      <c r="H711" s="31"/>
    </row>
    <row r="712">
      <c r="H712" s="31"/>
    </row>
    <row r="713">
      <c r="H713" s="31"/>
    </row>
    <row r="714">
      <c r="H714" s="31"/>
    </row>
    <row r="715">
      <c r="H715" s="31"/>
    </row>
    <row r="716">
      <c r="H716" s="31"/>
    </row>
    <row r="717">
      <c r="H717" s="31"/>
    </row>
    <row r="718">
      <c r="H718" s="31"/>
    </row>
    <row r="719">
      <c r="H719" s="31"/>
    </row>
    <row r="720">
      <c r="H720" s="31"/>
    </row>
    <row r="721">
      <c r="H721" s="31"/>
    </row>
    <row r="722">
      <c r="H722" s="31"/>
    </row>
    <row r="723">
      <c r="H723" s="31"/>
    </row>
    <row r="724">
      <c r="H724" s="31"/>
    </row>
    <row r="725">
      <c r="H725" s="31"/>
    </row>
    <row r="726">
      <c r="H726" s="31"/>
    </row>
    <row r="727">
      <c r="H727" s="31"/>
    </row>
    <row r="728">
      <c r="H728" s="31"/>
    </row>
    <row r="729">
      <c r="H729" s="31"/>
    </row>
    <row r="730">
      <c r="H730" s="31"/>
    </row>
    <row r="731">
      <c r="H731" s="31"/>
    </row>
    <row r="732">
      <c r="H732" s="31"/>
    </row>
    <row r="733">
      <c r="H733" s="31"/>
    </row>
    <row r="734">
      <c r="H734" s="31"/>
    </row>
    <row r="735">
      <c r="H735" s="31"/>
    </row>
    <row r="736">
      <c r="H736" s="31"/>
    </row>
    <row r="737">
      <c r="H737" s="31"/>
    </row>
    <row r="738">
      <c r="H738" s="31"/>
    </row>
    <row r="739">
      <c r="H739" s="31"/>
    </row>
    <row r="740">
      <c r="H740" s="31"/>
    </row>
    <row r="741">
      <c r="H741" s="31"/>
    </row>
    <row r="742">
      <c r="H742" s="31"/>
    </row>
    <row r="743">
      <c r="H743" s="31"/>
    </row>
    <row r="744">
      <c r="H744" s="31"/>
    </row>
    <row r="745">
      <c r="H745" s="31"/>
    </row>
    <row r="746">
      <c r="H746" s="31"/>
    </row>
    <row r="747">
      <c r="H747" s="31"/>
    </row>
    <row r="748">
      <c r="H748" s="31"/>
    </row>
    <row r="749">
      <c r="H749" s="31"/>
    </row>
    <row r="750">
      <c r="H750" s="31"/>
    </row>
    <row r="751">
      <c r="H751" s="31"/>
    </row>
    <row r="752">
      <c r="H752" s="31"/>
    </row>
    <row r="753">
      <c r="H753" s="31"/>
    </row>
    <row r="754">
      <c r="H754" s="31"/>
    </row>
    <row r="755">
      <c r="H755" s="31"/>
    </row>
    <row r="756">
      <c r="H756" s="31"/>
    </row>
    <row r="757">
      <c r="H757" s="31"/>
    </row>
    <row r="758">
      <c r="H758" s="31"/>
    </row>
    <row r="759">
      <c r="H759" s="31"/>
    </row>
    <row r="760">
      <c r="H760" s="31"/>
    </row>
    <row r="761">
      <c r="H761" s="31"/>
    </row>
    <row r="762">
      <c r="H762" s="31"/>
    </row>
    <row r="763">
      <c r="H763" s="31"/>
    </row>
    <row r="764">
      <c r="H764" s="31"/>
    </row>
    <row r="765">
      <c r="H765" s="31"/>
    </row>
    <row r="766">
      <c r="H766" s="31"/>
    </row>
    <row r="767">
      <c r="H767" s="31"/>
    </row>
    <row r="768">
      <c r="H768" s="31"/>
    </row>
    <row r="769">
      <c r="H769" s="31"/>
    </row>
    <row r="770">
      <c r="H770" s="31"/>
    </row>
    <row r="771">
      <c r="H771" s="31"/>
    </row>
    <row r="772">
      <c r="H772" s="31"/>
    </row>
    <row r="773">
      <c r="H773" s="31"/>
    </row>
    <row r="774">
      <c r="H774" s="31"/>
    </row>
    <row r="775">
      <c r="H775" s="31"/>
    </row>
    <row r="776">
      <c r="H776" s="31"/>
    </row>
    <row r="777">
      <c r="H777" s="31"/>
    </row>
    <row r="778">
      <c r="H778" s="31"/>
    </row>
    <row r="779">
      <c r="H779" s="31"/>
    </row>
    <row r="780">
      <c r="H780" s="31"/>
    </row>
    <row r="781">
      <c r="H781" s="31"/>
    </row>
    <row r="782">
      <c r="H782" s="31"/>
    </row>
    <row r="783">
      <c r="H783" s="31"/>
    </row>
    <row r="784">
      <c r="H784" s="31"/>
    </row>
    <row r="785">
      <c r="H785" s="31"/>
    </row>
    <row r="786">
      <c r="H786" s="31"/>
    </row>
    <row r="787">
      <c r="H787" s="31"/>
    </row>
    <row r="788">
      <c r="H788" s="31"/>
    </row>
    <row r="789">
      <c r="H789" s="31"/>
    </row>
    <row r="790">
      <c r="H790" s="31"/>
    </row>
    <row r="791">
      <c r="H791" s="31"/>
    </row>
    <row r="792">
      <c r="H792" s="31"/>
    </row>
    <row r="793">
      <c r="H793" s="31"/>
    </row>
    <row r="794">
      <c r="H794" s="31"/>
    </row>
    <row r="795">
      <c r="H795" s="31"/>
    </row>
    <row r="796">
      <c r="H796" s="31"/>
    </row>
    <row r="797">
      <c r="H797" s="31"/>
    </row>
    <row r="798">
      <c r="H798" s="31"/>
    </row>
    <row r="799">
      <c r="H799" s="31"/>
    </row>
    <row r="800">
      <c r="H800" s="31"/>
    </row>
    <row r="801">
      <c r="H801" s="31"/>
    </row>
    <row r="802">
      <c r="H802" s="31"/>
    </row>
    <row r="803">
      <c r="H803" s="31"/>
    </row>
    <row r="804">
      <c r="H804" s="31"/>
    </row>
    <row r="805">
      <c r="H805" s="31"/>
    </row>
    <row r="806">
      <c r="H806" s="31"/>
    </row>
    <row r="807">
      <c r="H807" s="31"/>
    </row>
    <row r="808">
      <c r="H808" s="31"/>
    </row>
    <row r="809">
      <c r="H809" s="31"/>
    </row>
    <row r="810">
      <c r="H810" s="31"/>
    </row>
    <row r="811">
      <c r="H811" s="31"/>
    </row>
    <row r="812">
      <c r="H812" s="31"/>
    </row>
    <row r="813">
      <c r="H813" s="31"/>
    </row>
    <row r="814">
      <c r="H814" s="31"/>
    </row>
    <row r="815">
      <c r="H815" s="31"/>
    </row>
    <row r="816">
      <c r="H816" s="31"/>
    </row>
    <row r="817">
      <c r="H817" s="31"/>
    </row>
    <row r="818">
      <c r="H818" s="31"/>
    </row>
    <row r="819">
      <c r="H819" s="31"/>
    </row>
    <row r="820">
      <c r="H820" s="31"/>
    </row>
    <row r="821">
      <c r="H821" s="31"/>
    </row>
    <row r="822">
      <c r="H822" s="31"/>
    </row>
    <row r="823">
      <c r="H823" s="31"/>
    </row>
    <row r="824">
      <c r="H824" s="31"/>
    </row>
    <row r="825">
      <c r="H825" s="31"/>
    </row>
    <row r="826">
      <c r="H826" s="31"/>
    </row>
    <row r="827">
      <c r="H827" s="31"/>
    </row>
    <row r="828">
      <c r="H828" s="31"/>
    </row>
    <row r="829">
      <c r="H829" s="31"/>
    </row>
    <row r="830">
      <c r="H830" s="31"/>
    </row>
    <row r="831">
      <c r="H831" s="31"/>
    </row>
    <row r="832">
      <c r="H832" s="31"/>
    </row>
    <row r="833">
      <c r="H833" s="31"/>
    </row>
    <row r="834">
      <c r="H834" s="31"/>
    </row>
    <row r="835">
      <c r="H835" s="31"/>
    </row>
    <row r="836">
      <c r="H836" s="31"/>
    </row>
    <row r="837">
      <c r="H837" s="31"/>
    </row>
    <row r="838">
      <c r="H838" s="31"/>
    </row>
    <row r="839">
      <c r="H839" s="31"/>
    </row>
    <row r="840">
      <c r="H840" s="31"/>
    </row>
    <row r="841">
      <c r="H841" s="31"/>
    </row>
    <row r="842">
      <c r="H842" s="31"/>
    </row>
    <row r="843">
      <c r="H843" s="31"/>
    </row>
    <row r="844">
      <c r="H844" s="31"/>
    </row>
    <row r="845">
      <c r="H845" s="31"/>
    </row>
    <row r="846">
      <c r="H846" s="31"/>
    </row>
    <row r="847">
      <c r="H847" s="31"/>
    </row>
    <row r="848">
      <c r="H848" s="31"/>
    </row>
    <row r="849">
      <c r="H849" s="31"/>
    </row>
    <row r="850">
      <c r="H850" s="31"/>
    </row>
    <row r="851">
      <c r="H851" s="31"/>
    </row>
    <row r="852">
      <c r="H852" s="31"/>
    </row>
    <row r="853">
      <c r="H853" s="31"/>
    </row>
    <row r="854">
      <c r="H854" s="31"/>
    </row>
    <row r="855">
      <c r="H855" s="31"/>
    </row>
    <row r="856">
      <c r="H856" s="31"/>
    </row>
    <row r="857">
      <c r="H857" s="31"/>
    </row>
    <row r="858">
      <c r="H858" s="31"/>
    </row>
    <row r="859">
      <c r="H859" s="31"/>
    </row>
    <row r="860">
      <c r="H860" s="31"/>
    </row>
    <row r="861">
      <c r="H861" s="31"/>
    </row>
    <row r="862">
      <c r="H862" s="31"/>
    </row>
    <row r="863">
      <c r="H863" s="31"/>
    </row>
    <row r="864">
      <c r="H864" s="31"/>
    </row>
    <row r="865">
      <c r="H865" s="31"/>
    </row>
    <row r="866">
      <c r="H866" s="31"/>
    </row>
    <row r="867">
      <c r="H867" s="31"/>
    </row>
    <row r="868">
      <c r="H868" s="31"/>
    </row>
    <row r="869">
      <c r="H869" s="31"/>
    </row>
    <row r="870">
      <c r="H870" s="31"/>
    </row>
    <row r="871">
      <c r="H871" s="31"/>
    </row>
    <row r="872">
      <c r="H872" s="31"/>
    </row>
    <row r="873">
      <c r="H873" s="31"/>
    </row>
    <row r="874">
      <c r="H874" s="31"/>
    </row>
    <row r="875">
      <c r="H875" s="31"/>
    </row>
    <row r="876">
      <c r="H876" s="31"/>
    </row>
    <row r="877">
      <c r="H877" s="31"/>
    </row>
    <row r="878">
      <c r="H878" s="31"/>
    </row>
    <row r="879">
      <c r="H879" s="31"/>
    </row>
    <row r="880">
      <c r="H880" s="31"/>
    </row>
    <row r="881">
      <c r="H881" s="31"/>
    </row>
    <row r="882">
      <c r="H882" s="31"/>
    </row>
    <row r="883">
      <c r="H883" s="31"/>
    </row>
    <row r="884">
      <c r="H884" s="31"/>
    </row>
    <row r="885">
      <c r="H885" s="31"/>
    </row>
    <row r="886">
      <c r="H886" s="31"/>
    </row>
    <row r="887">
      <c r="H887" s="31"/>
    </row>
    <row r="888">
      <c r="H888" s="31"/>
    </row>
    <row r="889">
      <c r="H889" s="31"/>
    </row>
    <row r="890">
      <c r="H890" s="31"/>
    </row>
    <row r="891">
      <c r="H891" s="31"/>
    </row>
    <row r="892">
      <c r="H892" s="31"/>
    </row>
    <row r="893">
      <c r="H893" s="31"/>
    </row>
    <row r="894">
      <c r="H894" s="31"/>
    </row>
    <row r="895">
      <c r="H895" s="31"/>
    </row>
    <row r="896">
      <c r="H896" s="31"/>
    </row>
    <row r="897">
      <c r="H897" s="31"/>
    </row>
    <row r="898">
      <c r="H898" s="31"/>
    </row>
    <row r="899">
      <c r="H899" s="31"/>
    </row>
    <row r="900">
      <c r="H900" s="31"/>
    </row>
    <row r="901">
      <c r="H901" s="31"/>
    </row>
    <row r="902">
      <c r="H902" s="31"/>
    </row>
    <row r="903">
      <c r="H903" s="31"/>
    </row>
    <row r="904">
      <c r="H904" s="31"/>
    </row>
    <row r="905">
      <c r="H905" s="31"/>
    </row>
    <row r="906">
      <c r="H906" s="31"/>
    </row>
    <row r="907">
      <c r="H907" s="31"/>
    </row>
    <row r="908">
      <c r="H908" s="31"/>
    </row>
    <row r="909">
      <c r="H909" s="31"/>
    </row>
    <row r="910">
      <c r="H910" s="31"/>
    </row>
    <row r="911">
      <c r="H911" s="31"/>
    </row>
    <row r="912">
      <c r="H912" s="31"/>
    </row>
    <row r="913">
      <c r="H913" s="31"/>
    </row>
    <row r="914">
      <c r="H914" s="31"/>
    </row>
    <row r="915">
      <c r="H915" s="31"/>
    </row>
    <row r="916">
      <c r="H916" s="31"/>
    </row>
    <row r="917">
      <c r="H917" s="31"/>
    </row>
    <row r="918">
      <c r="H918" s="31"/>
    </row>
    <row r="919">
      <c r="H919" s="31"/>
    </row>
    <row r="920">
      <c r="H920" s="31"/>
    </row>
    <row r="921">
      <c r="H921" s="31"/>
    </row>
    <row r="922">
      <c r="H922" s="31"/>
    </row>
    <row r="923">
      <c r="H923" s="31"/>
    </row>
    <row r="924">
      <c r="H924" s="31"/>
    </row>
    <row r="925">
      <c r="H925" s="31"/>
    </row>
    <row r="926">
      <c r="H926" s="31"/>
    </row>
    <row r="927">
      <c r="H927" s="31"/>
    </row>
    <row r="928">
      <c r="H928" s="31"/>
    </row>
    <row r="929">
      <c r="H929" s="31"/>
    </row>
    <row r="930">
      <c r="H930" s="31"/>
    </row>
    <row r="931">
      <c r="H931" s="31"/>
    </row>
    <row r="932">
      <c r="H932" s="31"/>
    </row>
    <row r="933">
      <c r="H933" s="31"/>
    </row>
    <row r="934">
      <c r="H934" s="31"/>
    </row>
    <row r="935">
      <c r="H935" s="31"/>
    </row>
    <row r="936">
      <c r="H936" s="31"/>
    </row>
    <row r="937">
      <c r="H937" s="31"/>
    </row>
    <row r="938">
      <c r="H938" s="31"/>
    </row>
    <row r="939">
      <c r="H939" s="31"/>
    </row>
    <row r="940">
      <c r="H940" s="31"/>
    </row>
    <row r="941">
      <c r="H941" s="31"/>
    </row>
    <row r="942">
      <c r="H942" s="31"/>
    </row>
    <row r="943">
      <c r="H943" s="31"/>
    </row>
    <row r="944">
      <c r="H944" s="31"/>
    </row>
    <row r="945">
      <c r="H945" s="31"/>
    </row>
    <row r="946">
      <c r="H946" s="31"/>
    </row>
    <row r="947">
      <c r="H947" s="31"/>
    </row>
    <row r="948">
      <c r="H948" s="31"/>
    </row>
    <row r="949">
      <c r="H949" s="31"/>
    </row>
    <row r="950">
      <c r="H950" s="31"/>
    </row>
    <row r="951">
      <c r="H951" s="31"/>
    </row>
    <row r="952">
      <c r="H952" s="31"/>
    </row>
    <row r="953">
      <c r="H953" s="31"/>
    </row>
    <row r="954">
      <c r="H954" s="31"/>
    </row>
    <row r="955">
      <c r="H955" s="31"/>
    </row>
    <row r="956">
      <c r="H956" s="31"/>
    </row>
    <row r="957">
      <c r="H957" s="31"/>
    </row>
    <row r="958">
      <c r="H958" s="31"/>
    </row>
    <row r="959">
      <c r="H959" s="31"/>
    </row>
    <row r="960">
      <c r="H960" s="31"/>
    </row>
    <row r="961">
      <c r="H961" s="31"/>
    </row>
    <row r="962">
      <c r="H962" s="31"/>
    </row>
    <row r="963">
      <c r="H963" s="31"/>
    </row>
    <row r="964">
      <c r="H964" s="31"/>
    </row>
    <row r="965">
      <c r="H965" s="31"/>
    </row>
    <row r="966">
      <c r="H966" s="31"/>
    </row>
    <row r="967">
      <c r="H967" s="31"/>
    </row>
    <row r="968">
      <c r="H968" s="31"/>
    </row>
    <row r="969">
      <c r="H969" s="31"/>
    </row>
    <row r="970">
      <c r="H970" s="31"/>
    </row>
    <row r="971">
      <c r="H971" s="31"/>
    </row>
    <row r="972">
      <c r="H972" s="31"/>
    </row>
    <row r="973">
      <c r="H973" s="31"/>
    </row>
    <row r="974">
      <c r="H974" s="31"/>
    </row>
    <row r="975">
      <c r="H975" s="31"/>
    </row>
    <row r="976">
      <c r="H976" s="31"/>
    </row>
    <row r="977">
      <c r="H977" s="31"/>
    </row>
    <row r="978">
      <c r="H978" s="31"/>
    </row>
    <row r="979">
      <c r="H979" s="31"/>
    </row>
    <row r="980">
      <c r="H980" s="31"/>
    </row>
    <row r="981">
      <c r="H981" s="31"/>
    </row>
    <row r="982">
      <c r="H982" s="31"/>
    </row>
    <row r="983">
      <c r="H983" s="31"/>
    </row>
    <row r="984">
      <c r="H984" s="31"/>
    </row>
    <row r="985">
      <c r="H985" s="31"/>
    </row>
    <row r="986">
      <c r="H986" s="31"/>
    </row>
    <row r="987">
      <c r="H987" s="31"/>
    </row>
    <row r="988">
      <c r="H988" s="31"/>
    </row>
    <row r="989">
      <c r="H989" s="31"/>
    </row>
    <row r="990">
      <c r="H990" s="31"/>
    </row>
  </sheetData>
  <mergeCells count="5">
    <mergeCell ref="A1:A2"/>
    <mergeCell ref="B1:B2"/>
    <mergeCell ref="C1:C2"/>
    <mergeCell ref="D1:D2"/>
    <mergeCell ref="E1:E2"/>
  </mergeCells>
  <conditionalFormatting sqref="F3:AY29">
    <cfRule type="cellIs" dxfId="3" priority="1" operator="equal">
      <formula>1</formula>
    </cfRule>
  </conditionalFormatting>
  <conditionalFormatting sqref="F3:AY29">
    <cfRule type="cellIs" dxfId="4" priority="2" operator="equal">
      <formula>"R"</formula>
    </cfRule>
  </conditionalFormatting>
  <conditionalFormatting sqref="B3:C29">
    <cfRule type="cellIs" dxfId="5" priority="3" operator="greaterThanOrEqual">
      <formula>3</formula>
    </cfRule>
  </conditionalFormatting>
  <conditionalFormatting sqref="B3:B29">
    <cfRule type="cellIs" dxfId="6" priority="4" operator="lessThan">
      <formula>1</formula>
    </cfRule>
  </conditionalFormatting>
  <conditionalFormatting sqref="B3:B30 C3:C32">
    <cfRule type="cellIs" dxfId="7" priority="5" operator="equal">
      <formula>0</formula>
    </cfRule>
  </conditionalFormatting>
  <conditionalFormatting sqref="B3:C29">
    <cfRule type="cellIs" dxfId="8" priority="6" operator="lessThan">
      <formula>2</formula>
    </cfRule>
  </conditionalFormatting>
  <conditionalFormatting sqref="B3:C29">
    <cfRule type="cellIs" dxfId="9" priority="7" operator="lessThan">
      <formula>3</formula>
    </cfRule>
  </conditionalFormatting>
  <conditionalFormatting sqref="B3:B30 C3:C32">
    <cfRule type="containsBlanks" dxfId="6" priority="8">
      <formula>LEN(TRIM(B3))=0</formula>
    </cfRule>
  </conditionalFormatting>
  <conditionalFormatting sqref="F3:AY29">
    <cfRule type="cellIs" dxfId="10" priority="9" operator="equal">
      <formula>"R2"</formula>
    </cfRule>
  </conditionalFormatting>
  <conditionalFormatting sqref="F30:AY30">
    <cfRule type="cellIs" dxfId="7" priority="10" operator="lessThan">
      <formula>1</formula>
    </cfRule>
  </conditionalFormatting>
  <conditionalFormatting sqref="F30:AY30">
    <cfRule type="cellIs" dxfId="3" priority="11" operator="equal">
      <formula>1</formula>
    </cfRule>
  </conditionalFormatting>
  <conditionalFormatting sqref="F30:AY30">
    <cfRule type="cellIs" dxfId="11" priority="12" operator="greaterThan">
      <formula>1</formula>
    </cfRule>
  </conditionalFormatting>
  <conditionalFormatting sqref="D3:E30">
    <cfRule type="cellIs" dxfId="9" priority="13" operator="equal">
      <formula>1</formula>
    </cfRule>
  </conditionalFormatting>
  <conditionalFormatting sqref="F31:AY32">
    <cfRule type="cellIs" dxfId="7" priority="14" operator="lessThan">
      <formula>1</formula>
    </cfRule>
  </conditionalFormatting>
  <conditionalFormatting sqref="F31:AY32">
    <cfRule type="cellIs" dxfId="12" priority="15" operator="equal">
      <formula>1</formula>
    </cfRule>
  </conditionalFormatting>
  <conditionalFormatting sqref="F31:AY32">
    <cfRule type="cellIs" dxfId="11" priority="16" operator="greaterThan">
      <formula>1</formula>
    </cfRule>
  </conditionalFormatting>
  <conditionalFormatting sqref="D3:D29">
    <cfRule type="cellIs" dxfId="7" priority="17" operator="equal">
      <formula>0</formula>
    </cfRule>
  </conditionalFormatting>
  <conditionalFormatting sqref="D3:D29">
    <cfRule type="cellIs" dxfId="4" priority="18" operator="equal">
      <formula>2</formula>
    </cfRule>
  </conditionalFormatting>
  <conditionalFormatting sqref="E3:E29">
    <cfRule type="cellIs" dxfId="7" priority="19" operator="equal">
      <formula>0</formula>
    </cfRule>
  </conditionalFormatting>
  <conditionalFormatting sqref="E3:E29">
    <cfRule type="cellIs" dxfId="4" priority="20" operator="greaterThanOrEqual">
      <formula>2</formula>
    </cfRule>
  </conditionalFormatting>
  <conditionalFormatting sqref="C34">
    <cfRule type="notContainsBlanks" dxfId="3" priority="21">
      <formula>LEN(TRIM(C34))&gt;0</formula>
    </cfRule>
  </conditionalFormatting>
  <conditionalFormatting sqref="AS2:AY2">
    <cfRule type="containsText" dxfId="13" priority="22" operator="containsText" text="(PAM)">
      <formula>NOT(ISERROR(SEARCH(("(PAM)"),(AS2))))</formula>
    </cfRule>
  </conditionalFormatting>
  <conditionalFormatting sqref="AS2:AY2">
    <cfRule type="containsText" dxfId="13" priority="23" operator="containsText" text="(PPM)">
      <formula>NOT(ISERROR(SEARCH(("(PPM)"),(AS2))))</formula>
    </cfRule>
  </conditionalFormatting>
  <conditionalFormatting sqref="F2:AY2">
    <cfRule type="containsText" dxfId="13" priority="24" operator="containsText" text="PAM">
      <formula>NOT(ISERROR(SEARCH(("PAM"),(F2))))</formula>
    </cfRule>
  </conditionalFormatting>
  <conditionalFormatting sqref="F2:AY2">
    <cfRule type="containsText" dxfId="13" priority="25" operator="containsText" text="PPM">
      <formula>NOT(ISERROR(SEARCH(("PPM"),(F2))))</formula>
    </cfRule>
  </conditionalFormatting>
  <conditionalFormatting sqref="F2:AY2">
    <cfRule type="containsText" dxfId="11" priority="26" operator="containsText" text="(AM)">
      <formula>NOT(ISERROR(SEARCH(("(AM)"),(F2))))</formula>
    </cfRule>
  </conditionalFormatting>
  <conditionalFormatting sqref="F2:AY2">
    <cfRule type="containsText" dxfId="7" priority="27" operator="containsText" text="(PM)">
      <formula>NOT(ISERROR(SEARCH(("(PM)"),(F2))))</formula>
    </cfRule>
  </conditionalFormatting>
  <conditionalFormatting sqref="F2:AY2">
    <cfRule type="notContainsText" dxfId="15" priority="28" operator="notContains" text="(AM)">
      <formula>ISERROR(SEARCH(("(AM)"),(F2)))</formula>
    </cfRule>
  </conditionalFormatting>
  <conditionalFormatting sqref="F2:AY2">
    <cfRule type="notContainsText" dxfId="15" priority="29" operator="notContains" text="(PM)">
      <formula>ISERROR(SEARCH(("(PM)"),(F2)))</formula>
    </cfRule>
  </conditionalFormatting>
  <conditionalFormatting sqref="F2:AY2">
    <cfRule type="notContainsText" dxfId="15" priority="30" operator="notContains" text="(PM)">
      <formula>ISERROR(SEARCH(("(PM)"),(F2)))</formula>
    </cfRule>
  </conditionalFormatting>
  <drawing r:id="rId2"/>
  <legacyDrawing r:id="rId3"/>
  <tableParts count="1">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14.63"/>
    <col customWidth="1" hidden="1" min="2" max="2" width="11.38"/>
    <col customWidth="1" min="4" max="4" width="14.13"/>
    <col customWidth="1" min="6" max="9" width="8.63"/>
    <col customWidth="1" min="10" max="10" width="8.38"/>
    <col customWidth="1" min="11" max="11" width="8.25"/>
    <col customWidth="1" min="12" max="41" width="8.63"/>
    <col customWidth="1" hidden="1" min="42" max="44" width="8.63"/>
    <col customWidth="1" hidden="1" min="45" max="51" width="9.5"/>
  </cols>
  <sheetData>
    <row r="1">
      <c r="A1" s="1" t="s">
        <v>0</v>
      </c>
      <c r="B1" s="1" t="s">
        <v>1</v>
      </c>
      <c r="C1" s="1" t="s">
        <v>2</v>
      </c>
      <c r="D1" s="1" t="s">
        <v>3</v>
      </c>
      <c r="E1" s="1" t="s">
        <v>4</v>
      </c>
      <c r="F1" s="2" t="s">
        <v>235</v>
      </c>
      <c r="G1" s="2" t="s">
        <v>6</v>
      </c>
      <c r="H1" s="54" t="s">
        <v>7</v>
      </c>
      <c r="I1" s="54" t="s">
        <v>8</v>
      </c>
      <c r="J1" s="74" t="s">
        <v>9</v>
      </c>
      <c r="K1" s="74" t="s">
        <v>10</v>
      </c>
      <c r="L1" s="54" t="s">
        <v>11</v>
      </c>
      <c r="M1" s="54" t="s">
        <v>12</v>
      </c>
      <c r="N1" s="55" t="s">
        <v>13</v>
      </c>
      <c r="O1" s="55" t="s">
        <v>5</v>
      </c>
      <c r="P1" s="54" t="s">
        <v>6</v>
      </c>
      <c r="Q1" s="55" t="s">
        <v>7</v>
      </c>
      <c r="R1" s="55" t="s">
        <v>8</v>
      </c>
      <c r="S1" s="55" t="s">
        <v>9</v>
      </c>
      <c r="T1" s="55" t="s">
        <v>10</v>
      </c>
      <c r="U1" s="54" t="s">
        <v>11</v>
      </c>
      <c r="V1" s="54" t="s">
        <v>12</v>
      </c>
      <c r="W1" s="55" t="s">
        <v>13</v>
      </c>
      <c r="X1" s="55" t="s">
        <v>5</v>
      </c>
      <c r="Y1" s="55" t="s">
        <v>6</v>
      </c>
      <c r="Z1" s="55" t="s">
        <v>7</v>
      </c>
      <c r="AA1" s="55" t="s">
        <v>8</v>
      </c>
      <c r="AB1" s="55" t="s">
        <v>9</v>
      </c>
      <c r="AC1" s="55" t="s">
        <v>10</v>
      </c>
      <c r="AD1" s="55" t="s">
        <v>11</v>
      </c>
      <c r="AE1" s="55" t="s">
        <v>12</v>
      </c>
      <c r="AF1" s="55" t="s">
        <v>13</v>
      </c>
      <c r="AG1" s="55" t="s">
        <v>5</v>
      </c>
      <c r="AH1" s="55" t="s">
        <v>6</v>
      </c>
      <c r="AI1" s="55" t="s">
        <v>7</v>
      </c>
      <c r="AJ1" s="55" t="s">
        <v>8</v>
      </c>
      <c r="AK1" s="55" t="s">
        <v>9</v>
      </c>
      <c r="AL1" s="55" t="s">
        <v>10</v>
      </c>
      <c r="AM1" s="55" t="s">
        <v>11</v>
      </c>
      <c r="AN1" s="55" t="s">
        <v>12</v>
      </c>
      <c r="AO1" s="55" t="s">
        <v>13</v>
      </c>
      <c r="AP1" s="55" t="s">
        <v>5</v>
      </c>
      <c r="AQ1" s="55" t="s">
        <v>6</v>
      </c>
      <c r="AR1" s="55" t="s">
        <v>7</v>
      </c>
      <c r="AS1" s="55" t="s">
        <v>8</v>
      </c>
      <c r="AT1" s="4" t="s">
        <v>156</v>
      </c>
      <c r="AU1" s="55" t="s">
        <v>13</v>
      </c>
      <c r="AV1" s="55" t="s">
        <v>5</v>
      </c>
      <c r="AW1" s="55" t="s">
        <v>6</v>
      </c>
      <c r="AX1" s="55" t="s">
        <v>7</v>
      </c>
      <c r="AY1" s="55" t="s">
        <v>8</v>
      </c>
    </row>
    <row r="2">
      <c r="F2" s="65" t="s">
        <v>261</v>
      </c>
      <c r="G2" s="65" t="s">
        <v>262</v>
      </c>
      <c r="H2" s="65" t="s">
        <v>263</v>
      </c>
      <c r="I2" s="65" t="s">
        <v>264</v>
      </c>
      <c r="J2" s="56">
        <v>45691.0</v>
      </c>
      <c r="K2" s="56">
        <v>45692.0</v>
      </c>
      <c r="L2" s="56">
        <v>45693.0</v>
      </c>
      <c r="M2" s="56">
        <v>45694.0</v>
      </c>
      <c r="N2" s="56">
        <v>45695.0</v>
      </c>
      <c r="O2" s="65" t="s">
        <v>265</v>
      </c>
      <c r="P2" s="65" t="s">
        <v>266</v>
      </c>
      <c r="Q2" s="65" t="s">
        <v>267</v>
      </c>
      <c r="R2" s="65" t="s">
        <v>268</v>
      </c>
      <c r="S2" s="38">
        <v>45698.0</v>
      </c>
      <c r="T2" s="38">
        <v>45699.0</v>
      </c>
      <c r="U2" s="38">
        <v>45700.0</v>
      </c>
      <c r="V2" s="38">
        <v>45701.0</v>
      </c>
      <c r="W2" s="38">
        <v>45702.0</v>
      </c>
      <c r="X2" s="51" t="s">
        <v>269</v>
      </c>
      <c r="Y2" s="51" t="s">
        <v>270</v>
      </c>
      <c r="Z2" s="51" t="s">
        <v>271</v>
      </c>
      <c r="AA2" s="51" t="s">
        <v>272</v>
      </c>
      <c r="AB2" s="38">
        <v>45705.0</v>
      </c>
      <c r="AC2" s="38">
        <v>45706.0</v>
      </c>
      <c r="AD2" s="38">
        <v>45707.0</v>
      </c>
      <c r="AE2" s="38">
        <v>45708.0</v>
      </c>
      <c r="AF2" s="38">
        <v>45709.0</v>
      </c>
      <c r="AG2" s="51" t="s">
        <v>273</v>
      </c>
      <c r="AH2" s="51" t="s">
        <v>274</v>
      </c>
      <c r="AI2" s="51" t="s">
        <v>275</v>
      </c>
      <c r="AJ2" s="51" t="s">
        <v>276</v>
      </c>
      <c r="AK2" s="38">
        <v>45712.0</v>
      </c>
      <c r="AL2" s="38">
        <v>45713.0</v>
      </c>
      <c r="AM2" s="38">
        <v>45714.0</v>
      </c>
      <c r="AN2" s="38">
        <v>45715.0</v>
      </c>
      <c r="AO2" s="38">
        <v>45716.0</v>
      </c>
      <c r="AP2" s="75" t="s">
        <v>277</v>
      </c>
      <c r="AQ2" s="76" t="s">
        <v>278</v>
      </c>
      <c r="AR2" s="77" t="s">
        <v>279</v>
      </c>
      <c r="AS2" s="77" t="s">
        <v>280</v>
      </c>
      <c r="AT2" s="65" t="s">
        <v>281</v>
      </c>
      <c r="AU2" s="51" t="s">
        <v>282</v>
      </c>
      <c r="AV2" s="51" t="s">
        <v>250</v>
      </c>
      <c r="AW2" s="51" t="s">
        <v>251</v>
      </c>
      <c r="AX2" s="51" t="s">
        <v>252</v>
      </c>
      <c r="AY2" s="51" t="s">
        <v>253</v>
      </c>
    </row>
    <row r="3">
      <c r="A3" s="39" t="s">
        <v>226</v>
      </c>
      <c r="B3" s="40">
        <f t="shared" ref="B3:B5" si="1">SUM(C3:D3)</f>
        <v>2</v>
      </c>
      <c r="C3" s="10">
        <f t="shared" ref="C3:C37" si="2">SUM(F3:AO3)</f>
        <v>0</v>
      </c>
      <c r="D3" s="11">
        <f t="array" ref="D3">SUM(IF(F3:AO3="R",1,0))</f>
        <v>2</v>
      </c>
      <c r="E3" s="11">
        <f t="array" ref="E3">SUM(IF(F3:AO3="R2",1,0))</f>
        <v>2</v>
      </c>
      <c r="F3" s="59"/>
      <c r="G3" s="59" t="s">
        <v>40</v>
      </c>
      <c r="J3" s="17" t="s">
        <v>40</v>
      </c>
      <c r="M3" s="17" t="s">
        <v>39</v>
      </c>
      <c r="N3" s="60"/>
      <c r="P3" s="17" t="s">
        <v>39</v>
      </c>
      <c r="Q3" s="60"/>
      <c r="R3" s="60"/>
      <c r="S3" s="60"/>
      <c r="T3" s="60"/>
    </row>
    <row r="4">
      <c r="A4" s="14" t="s">
        <v>283</v>
      </c>
      <c r="B4" s="10">
        <f t="shared" si="1"/>
        <v>4</v>
      </c>
      <c r="C4" s="10">
        <f t="shared" si="2"/>
        <v>2</v>
      </c>
      <c r="D4" s="11">
        <f t="array" ref="D4">SUM(IF(F4:AO4="R",1,0))</f>
        <v>2</v>
      </c>
      <c r="E4" s="11">
        <f t="array" ref="E4">SUM(IF(F4:AO4="R2",1,0))</f>
        <v>2</v>
      </c>
      <c r="G4" s="17">
        <v>1.0</v>
      </c>
      <c r="I4" s="17" t="s">
        <v>39</v>
      </c>
      <c r="K4" s="16"/>
      <c r="L4" s="16"/>
      <c r="M4" s="17" t="s">
        <v>40</v>
      </c>
      <c r="N4" s="60"/>
      <c r="O4" s="67"/>
      <c r="P4" s="17">
        <v>1.0</v>
      </c>
      <c r="S4" s="16"/>
      <c r="T4" s="16"/>
      <c r="U4" s="17" t="s">
        <v>40</v>
      </c>
      <c r="W4" s="16"/>
      <c r="AB4" s="17" t="s">
        <v>63</v>
      </c>
      <c r="AE4" s="16"/>
    </row>
    <row r="5">
      <c r="A5" s="14" t="s">
        <v>44</v>
      </c>
      <c r="B5" s="10">
        <f t="shared" si="1"/>
        <v>4</v>
      </c>
      <c r="C5" s="10">
        <f t="shared" si="2"/>
        <v>2</v>
      </c>
      <c r="D5" s="11">
        <f t="array" ref="D5">SUM(IF(F5:AO5="R",1,0))</f>
        <v>2</v>
      </c>
      <c r="E5" s="11">
        <f t="array" ref="E5">SUM(IF(F5:AO5="R2",1,0))</f>
        <v>2</v>
      </c>
      <c r="H5" s="17" t="s">
        <v>39</v>
      </c>
      <c r="K5" s="16"/>
      <c r="L5" s="16"/>
      <c r="N5" s="60"/>
      <c r="O5" s="60"/>
      <c r="P5" s="16"/>
      <c r="S5" s="21">
        <v>1.0</v>
      </c>
      <c r="T5" s="16"/>
      <c r="V5" s="17" t="s">
        <v>40</v>
      </c>
      <c r="W5" s="16"/>
      <c r="Z5" s="17" t="s">
        <v>40</v>
      </c>
      <c r="AD5" s="17" t="s">
        <v>63</v>
      </c>
      <c r="AG5" s="17">
        <v>1.0</v>
      </c>
      <c r="AR5" s="17"/>
    </row>
    <row r="6">
      <c r="A6" s="14" t="s">
        <v>284</v>
      </c>
      <c r="B6" s="10"/>
      <c r="C6" s="10">
        <f t="shared" si="2"/>
        <v>2</v>
      </c>
      <c r="D6" s="11">
        <f t="array" ref="D6">SUM(IF(F6:AO6="R",1,0))</f>
        <v>2</v>
      </c>
      <c r="E6" s="11">
        <f t="array" ref="E6">SUM(IF(F6:AO6="R2",1,0))</f>
        <v>2</v>
      </c>
      <c r="G6" s="17" t="s">
        <v>39</v>
      </c>
      <c r="I6" s="17" t="s">
        <v>40</v>
      </c>
      <c r="L6" s="17" t="s">
        <v>39</v>
      </c>
      <c r="O6" s="17">
        <v>1.0</v>
      </c>
      <c r="Q6" s="17" t="s">
        <v>40</v>
      </c>
      <c r="Z6" s="17">
        <v>1.0</v>
      </c>
      <c r="AU6" s="17"/>
    </row>
    <row r="7">
      <c r="A7" s="14" t="s">
        <v>285</v>
      </c>
      <c r="B7" s="10">
        <f t="shared" ref="B7:B9" si="3">SUM(C7:D7)</f>
        <v>5</v>
      </c>
      <c r="C7" s="10">
        <f t="shared" si="2"/>
        <v>3</v>
      </c>
      <c r="D7" s="11">
        <f t="array" ref="D7">SUM(IF(F7:AO7="R",1,0))</f>
        <v>2</v>
      </c>
      <c r="E7" s="11">
        <f t="array" ref="E7">SUM(IF(F7:AO7="R2",1,0))</f>
        <v>2</v>
      </c>
      <c r="H7" s="17" t="s">
        <v>40</v>
      </c>
      <c r="J7" s="17" t="s">
        <v>39</v>
      </c>
      <c r="L7" s="17" t="s">
        <v>40</v>
      </c>
      <c r="N7" s="17" t="s">
        <v>63</v>
      </c>
      <c r="T7" s="72"/>
      <c r="AA7" s="17">
        <v>1.0</v>
      </c>
      <c r="AJ7" s="17">
        <v>1.0</v>
      </c>
      <c r="AO7" s="17">
        <v>1.0</v>
      </c>
    </row>
    <row r="8">
      <c r="A8" s="26" t="s">
        <v>55</v>
      </c>
      <c r="B8" s="10">
        <f t="shared" si="3"/>
        <v>2</v>
      </c>
      <c r="C8" s="10">
        <f t="shared" si="2"/>
        <v>1</v>
      </c>
      <c r="D8" s="11">
        <f t="array" ref="D8">SUM(IF(F8:AO8="R",1,0))</f>
        <v>1</v>
      </c>
      <c r="E8" s="11">
        <f t="array" ref="E8">SUM(IF(F8:AO8="R2",1,0))</f>
        <v>1</v>
      </c>
      <c r="F8" s="16"/>
      <c r="G8" s="16"/>
      <c r="H8" s="16"/>
      <c r="I8" s="16"/>
      <c r="Q8" s="17">
        <v>1.0</v>
      </c>
      <c r="X8" s="17" t="s">
        <v>39</v>
      </c>
      <c r="Y8" s="45"/>
      <c r="Z8" s="47"/>
      <c r="AA8" s="45"/>
      <c r="AF8" s="45"/>
      <c r="AG8" s="16"/>
      <c r="AH8" s="16"/>
      <c r="AI8" s="17" t="s">
        <v>40</v>
      </c>
    </row>
    <row r="9">
      <c r="A9" s="22" t="s">
        <v>286</v>
      </c>
      <c r="B9" s="10">
        <f t="shared" si="3"/>
        <v>4</v>
      </c>
      <c r="C9" s="10">
        <f t="shared" si="2"/>
        <v>3</v>
      </c>
      <c r="D9" s="11">
        <f t="array" ref="D9">SUM(IF(F9:AO9="R",1,0))</f>
        <v>1</v>
      </c>
      <c r="E9" s="11">
        <f t="array" ref="E9">SUM(IF(F9:AO9="R2",1,0))</f>
        <v>2</v>
      </c>
      <c r="F9" s="17" t="s">
        <v>40</v>
      </c>
      <c r="I9" s="17">
        <v>1.0</v>
      </c>
      <c r="K9" s="17" t="s">
        <v>39</v>
      </c>
      <c r="L9" s="16"/>
      <c r="O9" s="17" t="s">
        <v>40</v>
      </c>
      <c r="X9" s="17">
        <v>1.0</v>
      </c>
      <c r="AC9" s="16"/>
      <c r="AD9" s="16"/>
      <c r="AF9" s="17">
        <v>1.0</v>
      </c>
      <c r="AL9" s="16"/>
    </row>
    <row r="10">
      <c r="A10" s="20" t="s">
        <v>231</v>
      </c>
      <c r="B10" s="10"/>
      <c r="C10" s="10">
        <f t="shared" si="2"/>
        <v>1</v>
      </c>
      <c r="D10" s="11">
        <f t="array" ref="D10">SUM(IF(F10:AO10="R",1,0))</f>
        <v>1</v>
      </c>
      <c r="E10" s="11">
        <f t="array" ref="E10">SUM(IF(F10:AO10="R2",1,0))</f>
        <v>1</v>
      </c>
      <c r="R10" s="17" t="s">
        <v>40</v>
      </c>
      <c r="S10" s="16"/>
      <c r="T10" s="16"/>
      <c r="U10" s="17" t="s">
        <v>39</v>
      </c>
      <c r="AD10" s="17">
        <v>1.0</v>
      </c>
      <c r="AG10" s="16"/>
      <c r="AH10" s="16"/>
    </row>
    <row r="11">
      <c r="A11" s="20" t="s">
        <v>202</v>
      </c>
      <c r="B11" s="10"/>
      <c r="C11" s="10">
        <f t="shared" si="2"/>
        <v>2</v>
      </c>
      <c r="D11" s="11">
        <f t="array" ref="D11">SUM(IF(F11:AO11="R",1,0))</f>
        <v>2</v>
      </c>
      <c r="E11" s="11">
        <f t="array" ref="E11">SUM(IF(F11:AO11="R2",1,0))</f>
        <v>2</v>
      </c>
      <c r="K11" s="17">
        <v>1.0</v>
      </c>
      <c r="N11" s="17" t="s">
        <v>40</v>
      </c>
      <c r="O11" s="16"/>
      <c r="P11" s="16"/>
      <c r="T11" s="17">
        <v>1.0</v>
      </c>
      <c r="V11" s="17" t="s">
        <v>39</v>
      </c>
      <c r="W11" s="16"/>
      <c r="X11" s="16"/>
      <c r="Y11" s="16"/>
      <c r="Z11" s="16"/>
      <c r="AA11" s="16"/>
      <c r="AB11" s="16"/>
      <c r="AC11" s="16"/>
      <c r="AD11" s="16"/>
      <c r="AE11" s="16"/>
      <c r="AF11" s="16"/>
      <c r="AG11" s="16"/>
      <c r="AH11" s="16"/>
      <c r="AI11" s="16"/>
      <c r="AJ11" s="16"/>
      <c r="AK11" s="17" t="s">
        <v>40</v>
      </c>
      <c r="AN11" s="17" t="s">
        <v>39</v>
      </c>
    </row>
    <row r="12">
      <c r="A12" s="20" t="s">
        <v>179</v>
      </c>
      <c r="B12" s="10">
        <f>SUM(C12:D12)</f>
        <v>3</v>
      </c>
      <c r="C12" s="10">
        <f t="shared" si="2"/>
        <v>1</v>
      </c>
      <c r="D12" s="11">
        <f t="array" ref="D12">SUM(IF(F12:AO12="R",1,0))</f>
        <v>2</v>
      </c>
      <c r="E12" s="11">
        <f t="array" ref="E12">SUM(IF(F12:AO12="R2",1,0))</f>
        <v>2</v>
      </c>
      <c r="H12" s="12"/>
      <c r="J12" s="13"/>
      <c r="K12" s="12" t="s">
        <v>40</v>
      </c>
      <c r="N12" s="12"/>
      <c r="O12" s="12" t="s">
        <v>39</v>
      </c>
      <c r="P12" s="12"/>
      <c r="Q12" s="12"/>
      <c r="S12" s="21"/>
      <c r="T12" s="16"/>
      <c r="U12" s="13"/>
      <c r="W12" s="12" t="s">
        <v>63</v>
      </c>
      <c r="Y12" s="13"/>
      <c r="Z12" s="12"/>
      <c r="AA12" s="17" t="s">
        <v>40</v>
      </c>
      <c r="AB12" s="13"/>
      <c r="AC12" s="12">
        <v>1.0</v>
      </c>
      <c r="AI12" s="13"/>
      <c r="AK12" s="13"/>
      <c r="AL12" s="13"/>
      <c r="AM12" s="12"/>
      <c r="AO12" s="12"/>
      <c r="AP12" s="12"/>
      <c r="AQ12" s="13"/>
      <c r="AR12" s="13"/>
    </row>
    <row r="13">
      <c r="A13" s="20" t="s">
        <v>287</v>
      </c>
      <c r="B13" s="10"/>
      <c r="C13" s="10">
        <f t="shared" si="2"/>
        <v>2</v>
      </c>
      <c r="D13" s="11">
        <f t="array" ref="D13">SUM(IF(F13:AO13="R",1,0))</f>
        <v>2</v>
      </c>
      <c r="E13" s="11">
        <f t="array" ref="E13">SUM(IF(F13:AO13="R2",1,0))</f>
        <v>2</v>
      </c>
      <c r="F13" s="12"/>
      <c r="G13" s="12"/>
      <c r="H13" s="12"/>
      <c r="J13" s="13"/>
      <c r="K13" s="12"/>
      <c r="L13" s="12"/>
      <c r="N13" s="12"/>
      <c r="O13" s="12"/>
      <c r="P13" s="12"/>
      <c r="Q13" s="12" t="s">
        <v>63</v>
      </c>
      <c r="S13" s="16"/>
      <c r="T13" s="16"/>
      <c r="U13" s="16"/>
      <c r="V13" s="17">
        <v>1.0</v>
      </c>
      <c r="W13" s="12"/>
      <c r="X13" s="12"/>
      <c r="Y13" s="12" t="s">
        <v>40</v>
      </c>
      <c r="Z13" s="12"/>
      <c r="AB13" s="12"/>
      <c r="AC13" s="12"/>
      <c r="AD13" s="12"/>
      <c r="AE13" s="17" t="s">
        <v>39</v>
      </c>
      <c r="AF13" s="12"/>
      <c r="AG13" s="12" t="s">
        <v>40</v>
      </c>
      <c r="AI13" s="12"/>
      <c r="AK13" s="13"/>
      <c r="AL13" s="13"/>
      <c r="AM13" s="13"/>
      <c r="AN13" s="17">
        <v>1.0</v>
      </c>
      <c r="AO13" s="12"/>
      <c r="AP13" s="17"/>
      <c r="AR13" s="17"/>
    </row>
    <row r="14">
      <c r="A14" s="23" t="s">
        <v>176</v>
      </c>
      <c r="B14" s="10">
        <f>SUM(C14:D14)</f>
        <v>2</v>
      </c>
      <c r="C14" s="10">
        <f t="shared" si="2"/>
        <v>1</v>
      </c>
      <c r="D14" s="11">
        <f t="array" ref="D14">SUM(IF(F14:AO14="R",1,0))</f>
        <v>1</v>
      </c>
      <c r="E14" s="11">
        <f t="array" ref="E14">SUM(IF(F14:AO14="R2",1,0))</f>
        <v>2</v>
      </c>
      <c r="L14" s="16"/>
      <c r="P14" s="17" t="s">
        <v>40</v>
      </c>
      <c r="S14" s="16"/>
      <c r="T14" s="16"/>
      <c r="W14" s="17">
        <v>1.0</v>
      </c>
      <c r="AB14" s="17" t="s">
        <v>40</v>
      </c>
      <c r="AG14" s="17" t="s">
        <v>39</v>
      </c>
    </row>
    <row r="15" hidden="1">
      <c r="A15" s="23" t="s">
        <v>53</v>
      </c>
      <c r="B15" s="10"/>
      <c r="C15" s="10">
        <f t="shared" si="2"/>
        <v>0</v>
      </c>
      <c r="D15" s="11">
        <f t="array" ref="D15">SUM(IF(F15:AO15="R",1,0))</f>
        <v>0</v>
      </c>
      <c r="E15" s="11">
        <f t="array" ref="E15">SUM(IF(F15:AO15="R2",1,0))</f>
        <v>0</v>
      </c>
      <c r="AV15" s="61"/>
      <c r="AW15" s="61"/>
      <c r="AX15" s="61"/>
      <c r="AY15" s="61"/>
    </row>
    <row r="16" hidden="1">
      <c r="A16" s="23" t="s">
        <v>258</v>
      </c>
      <c r="B16" s="10">
        <f t="shared" ref="B16:B17" si="4">SUM(C16:D16)</f>
        <v>0</v>
      </c>
      <c r="C16" s="10">
        <f t="shared" si="2"/>
        <v>0</v>
      </c>
      <c r="D16" s="11">
        <f t="array" ref="D16">SUM(IF(F16:AO16="R",1,0))</f>
        <v>0</v>
      </c>
      <c r="E16" s="11">
        <f t="array" ref="E16">SUM(IF(F16:AO16="R2",1,0))</f>
        <v>0</v>
      </c>
    </row>
    <row r="17" hidden="1">
      <c r="A17" s="9" t="s">
        <v>91</v>
      </c>
      <c r="B17" s="10">
        <f t="shared" si="4"/>
        <v>0</v>
      </c>
      <c r="C17" s="10">
        <f t="shared" si="2"/>
        <v>0</v>
      </c>
      <c r="D17" s="11">
        <f t="array" ref="D17">SUM(IF(F17:AO17="R",1,0))</f>
        <v>0</v>
      </c>
      <c r="E17" s="11">
        <f t="array" ref="E17">SUM(IF(F17:AO17="R2",1,0))</f>
        <v>0</v>
      </c>
    </row>
    <row r="18" hidden="1">
      <c r="A18" s="9" t="s">
        <v>56</v>
      </c>
      <c r="B18" s="10"/>
      <c r="C18" s="10">
        <f t="shared" si="2"/>
        <v>0</v>
      </c>
      <c r="D18" s="11">
        <f t="array" ref="D18">SUM(IF(F18:AO18="R",1,0))</f>
        <v>0</v>
      </c>
      <c r="E18" s="11">
        <f t="array" ref="E18">SUM(IF(F18:AO18="R2",1,0))</f>
        <v>0</v>
      </c>
    </row>
    <row r="19" hidden="1">
      <c r="A19" s="9" t="s">
        <v>227</v>
      </c>
      <c r="B19" s="10">
        <f t="shared" ref="B19:B20" si="5">SUM(C19:D19)</f>
        <v>0</v>
      </c>
      <c r="C19" s="10">
        <f t="shared" si="2"/>
        <v>0</v>
      </c>
      <c r="D19" s="11">
        <f t="array" ref="D19">SUM(IF(F19:AO19="R",1,0))</f>
        <v>0</v>
      </c>
      <c r="E19" s="11">
        <f t="array" ref="E19">SUM(IF(F19:AO19="R2",1,0))</f>
        <v>0</v>
      </c>
    </row>
    <row r="20">
      <c r="A20" s="9" t="s">
        <v>178</v>
      </c>
      <c r="B20" s="10">
        <f t="shared" si="5"/>
        <v>2</v>
      </c>
      <c r="C20" s="10">
        <f t="shared" si="2"/>
        <v>0</v>
      </c>
      <c r="D20" s="11">
        <f t="array" ref="D20">SUM(IF(F20:AO20="R",1,0))</f>
        <v>2</v>
      </c>
      <c r="E20" s="11">
        <f t="array" ref="E20">SUM(IF(F20:AO20="R2",1,0))</f>
        <v>2</v>
      </c>
      <c r="R20" s="17" t="s">
        <v>63</v>
      </c>
      <c r="T20" s="17" t="s">
        <v>40</v>
      </c>
      <c r="Y20" s="17" t="s">
        <v>63</v>
      </c>
      <c r="AL20" s="17" t="s">
        <v>40</v>
      </c>
    </row>
    <row r="21">
      <c r="A21" s="62" t="s">
        <v>199</v>
      </c>
      <c r="B21" s="10"/>
      <c r="C21" s="10">
        <f t="shared" si="2"/>
        <v>2</v>
      </c>
      <c r="D21" s="11">
        <f t="array" ref="D21">SUM(IF(F21:AO21="R",1,0))</f>
        <v>2</v>
      </c>
      <c r="E21" s="11">
        <f t="array" ref="E21">SUM(IF(F21:AO21="R2",1,0))</f>
        <v>2</v>
      </c>
      <c r="L21" s="17">
        <v>1.0</v>
      </c>
      <c r="U21" s="17">
        <v>1.0</v>
      </c>
      <c r="AC21" s="17" t="s">
        <v>40</v>
      </c>
      <c r="AF21" s="17" t="s">
        <v>40</v>
      </c>
      <c r="AJ21" s="17" t="s">
        <v>39</v>
      </c>
      <c r="AM21" s="17" t="s">
        <v>39</v>
      </c>
    </row>
    <row r="22">
      <c r="A22" s="62" t="s">
        <v>200</v>
      </c>
      <c r="B22" s="10">
        <f>SUM(C22:D22)</f>
        <v>4</v>
      </c>
      <c r="C22" s="10">
        <f t="shared" si="2"/>
        <v>2</v>
      </c>
      <c r="D22" s="11">
        <f t="array" ref="D22">SUM(IF(F22:AO22="R",1,0))</f>
        <v>2</v>
      </c>
      <c r="E22" s="11">
        <f t="array" ref="E22">SUM(IF(F22:AO22="R2",1,0))</f>
        <v>1</v>
      </c>
      <c r="F22" s="16"/>
      <c r="G22" s="16"/>
      <c r="H22" s="16"/>
      <c r="I22" s="16"/>
      <c r="J22" s="16"/>
      <c r="K22" s="16"/>
      <c r="L22" s="16"/>
      <c r="M22" s="16"/>
      <c r="N22" s="16"/>
      <c r="O22" s="16"/>
      <c r="P22" s="16"/>
      <c r="Q22" s="16"/>
      <c r="R22" s="16"/>
      <c r="AC22" s="17" t="s">
        <v>39</v>
      </c>
      <c r="AE22" s="17" t="s">
        <v>40</v>
      </c>
      <c r="AI22" s="17">
        <v>1.0</v>
      </c>
      <c r="AM22" s="17">
        <v>1.0</v>
      </c>
      <c r="AO22" s="17" t="s">
        <v>39</v>
      </c>
      <c r="AV22" s="61"/>
      <c r="AW22" s="61"/>
      <c r="AX22" s="61"/>
      <c r="AY22" s="61"/>
    </row>
    <row r="23">
      <c r="A23" s="62" t="s">
        <v>288</v>
      </c>
      <c r="B23" s="10"/>
      <c r="C23" s="10">
        <f t="shared" si="2"/>
        <v>2</v>
      </c>
      <c r="D23" s="11">
        <f t="array" ref="D23">SUM(IF(F23:AO23="R",1,0))</f>
        <v>2</v>
      </c>
      <c r="E23" s="11">
        <f t="array" ref="E23">SUM(IF(F23:AO23="R2",1,0))</f>
        <v>1</v>
      </c>
      <c r="L23" s="16"/>
      <c r="M23" s="16"/>
      <c r="S23" s="17" t="s">
        <v>40</v>
      </c>
      <c r="Y23" s="17">
        <v>1.0</v>
      </c>
      <c r="AB23" s="17">
        <v>1.0</v>
      </c>
      <c r="AE23" s="16"/>
      <c r="AI23" s="17" t="s">
        <v>39</v>
      </c>
      <c r="AL23" s="17" t="s">
        <v>39</v>
      </c>
      <c r="AO23" s="16"/>
    </row>
    <row r="24">
      <c r="A24" s="62" t="s">
        <v>289</v>
      </c>
      <c r="B24" s="10">
        <f t="shared" ref="B24:B27" si="6">SUM(C24:D24)</f>
        <v>4</v>
      </c>
      <c r="C24" s="10">
        <f t="shared" si="2"/>
        <v>3</v>
      </c>
      <c r="D24" s="11">
        <f t="array" ref="D24">SUM(IF(F24:AO24="R",1,0))</f>
        <v>1</v>
      </c>
      <c r="E24" s="11">
        <f t="array" ref="E24">SUM(IF(F24:AO24="R2",1,0))</f>
        <v>1</v>
      </c>
      <c r="H24" s="17">
        <v>1.0</v>
      </c>
      <c r="J24" s="17">
        <v>1.0</v>
      </c>
      <c r="K24" s="16"/>
      <c r="N24" s="17">
        <v>1.0</v>
      </c>
      <c r="S24" s="17" t="s">
        <v>39</v>
      </c>
      <c r="T24" s="16"/>
      <c r="V24" s="16"/>
      <c r="AM24" s="17" t="s">
        <v>40</v>
      </c>
    </row>
    <row r="25">
      <c r="A25" s="62" t="s">
        <v>290</v>
      </c>
      <c r="B25" s="10">
        <f t="shared" si="6"/>
        <v>3</v>
      </c>
      <c r="C25" s="10">
        <f t="shared" si="2"/>
        <v>2</v>
      </c>
      <c r="D25" s="11">
        <f t="array" ref="D25">SUM(IF(F25:AO25="R",1,0))</f>
        <v>1</v>
      </c>
      <c r="E25" s="11">
        <f t="array" ref="E25">SUM(IF(F25:AO25="R2",1,0))</f>
        <v>1</v>
      </c>
      <c r="J25" s="78"/>
      <c r="K25" s="78"/>
      <c r="L25" s="78"/>
      <c r="M25" s="78"/>
      <c r="N25" s="78"/>
      <c r="O25" s="78"/>
      <c r="P25" s="78"/>
      <c r="Q25" s="78"/>
      <c r="R25" s="78"/>
      <c r="T25" s="17" t="s">
        <v>39</v>
      </c>
      <c r="W25" s="17" t="s">
        <v>40</v>
      </c>
      <c r="X25" s="16"/>
      <c r="Y25" s="16"/>
      <c r="Z25" s="16"/>
      <c r="AA25" s="16"/>
      <c r="AH25" s="17">
        <v>1.0</v>
      </c>
      <c r="AL25" s="17">
        <v>1.0</v>
      </c>
    </row>
    <row r="26" hidden="1">
      <c r="A26" s="20" t="s">
        <v>228</v>
      </c>
      <c r="B26" s="10">
        <f t="shared" si="6"/>
        <v>0</v>
      </c>
      <c r="C26" s="10">
        <f t="shared" si="2"/>
        <v>0</v>
      </c>
      <c r="D26" s="11">
        <f t="array" ref="D26">SUM(IF(F26:AO26="R",1,0))</f>
        <v>0</v>
      </c>
      <c r="E26" s="11">
        <f t="array" ref="E26">SUM(IF(F26:AO26="R2",1,0))</f>
        <v>0</v>
      </c>
    </row>
    <row r="27" hidden="1">
      <c r="A27" s="20" t="s">
        <v>230</v>
      </c>
      <c r="B27" s="10">
        <f t="shared" si="6"/>
        <v>0</v>
      </c>
      <c r="C27" s="10">
        <f t="shared" si="2"/>
        <v>0</v>
      </c>
      <c r="D27" s="11">
        <f t="array" ref="D27">SUM(IF(F27:AO27="R",1,0))</f>
        <v>0</v>
      </c>
      <c r="E27" s="11">
        <f t="array" ref="E27">SUM(IF(F27:AO27="R2",1,0))</f>
        <v>0</v>
      </c>
    </row>
    <row r="28">
      <c r="A28" s="27" t="s">
        <v>259</v>
      </c>
      <c r="B28" s="10"/>
      <c r="C28" s="10">
        <f t="shared" si="2"/>
        <v>2</v>
      </c>
      <c r="D28" s="11">
        <f t="array" ref="D28">SUM(IF(F28:AO28="R",1,0))</f>
        <v>2</v>
      </c>
      <c r="E28" s="11">
        <f t="array" ref="E28">SUM(IF(F28:AO28="R2",1,0))</f>
        <v>1</v>
      </c>
      <c r="F28" s="17" t="s">
        <v>63</v>
      </c>
      <c r="M28" s="17">
        <v>1.0</v>
      </c>
      <c r="AE28" s="17">
        <v>1.0</v>
      </c>
      <c r="AH28" s="17" t="s">
        <v>39</v>
      </c>
      <c r="AJ28" s="17" t="s">
        <v>40</v>
      </c>
    </row>
    <row r="29" hidden="1">
      <c r="A29" s="17" t="s">
        <v>291</v>
      </c>
      <c r="B29" s="10" t="str">
        <f>SUM(B4:B33)</f>
        <v>#REF!</v>
      </c>
      <c r="C29" s="10">
        <f t="shared" si="2"/>
        <v>0</v>
      </c>
      <c r="D29" s="11">
        <f t="array" ref="D29">SUM(IF(F29:AO29="R",1,0))</f>
        <v>0</v>
      </c>
      <c r="E29" s="11">
        <f t="array" ref="E29">SUM(IF(F29:AO29="R2",1,0))</f>
        <v>0</v>
      </c>
      <c r="AP29" s="28">
        <f t="shared" ref="AP29:AU29" si="7">SUM(AP3:AP28)</f>
        <v>0</v>
      </c>
      <c r="AQ29" s="28">
        <f t="shared" si="7"/>
        <v>0</v>
      </c>
      <c r="AR29" s="28">
        <f t="shared" si="7"/>
        <v>0</v>
      </c>
      <c r="AS29" s="28">
        <f t="shared" si="7"/>
        <v>0</v>
      </c>
      <c r="AT29" s="28">
        <f t="shared" si="7"/>
        <v>0</v>
      </c>
      <c r="AU29" s="28">
        <f t="shared" si="7"/>
        <v>0</v>
      </c>
    </row>
    <row r="30">
      <c r="A30" s="27" t="s">
        <v>149</v>
      </c>
      <c r="B30" s="28">
        <f t="shared" ref="B30:B31" si="8">SUM(F30:AS30)</f>
        <v>1</v>
      </c>
      <c r="C30" s="10">
        <f t="shared" si="2"/>
        <v>1</v>
      </c>
      <c r="D30" s="11">
        <f t="array" ref="D30">SUM(IF(F30:AO30="R",1,0))</f>
        <v>1</v>
      </c>
      <c r="E30" s="11">
        <f t="array" ref="E30">SUM(IF(F30:AO30="R2",1,0))</f>
        <v>1</v>
      </c>
      <c r="F30" s="16"/>
      <c r="G30" s="16"/>
      <c r="O30" s="16"/>
      <c r="P30" s="16"/>
      <c r="Q30" s="16"/>
      <c r="R30" s="16"/>
      <c r="X30" s="16"/>
      <c r="Y30" s="16"/>
      <c r="Z30" s="16"/>
      <c r="AA30" s="16"/>
      <c r="AF30" s="17" t="s">
        <v>39</v>
      </c>
      <c r="AG30" s="16"/>
      <c r="AH30" s="16"/>
      <c r="AI30" s="16"/>
      <c r="AJ30" s="16"/>
      <c r="AK30" s="17">
        <v>1.0</v>
      </c>
      <c r="AO30" s="17" t="s">
        <v>40</v>
      </c>
      <c r="AP30" s="11">
        <f t="array" ref="AP30">SUM(IF(AP3:AP28="R",1,0))</f>
        <v>0</v>
      </c>
      <c r="AQ30" s="11">
        <f t="array" ref="AQ30">SUM(IF(AQ3:AQ28="R",1,0))</f>
        <v>0</v>
      </c>
      <c r="AR30" s="11">
        <f t="array" ref="AR30">SUM(IF(AR3:AR28="R",1,0))</f>
        <v>0</v>
      </c>
      <c r="AS30" s="11">
        <f t="array" ref="AS30">SUM(IF(AS3:AS28="R",1,0))</f>
        <v>0</v>
      </c>
      <c r="AT30" s="11">
        <f t="array" ref="AT30">SUM(IF(AT3:AT28="R",1,0))</f>
        <v>0</v>
      </c>
      <c r="AU30" s="11">
        <f t="array" ref="AU30">SUM(IF(AU3:AU28="R",1,0))</f>
        <v>0</v>
      </c>
      <c r="AV30" s="11"/>
      <c r="AW30" s="11"/>
      <c r="AX30" s="11"/>
      <c r="AY30" s="11"/>
    </row>
    <row r="31">
      <c r="A31" s="27" t="s">
        <v>229</v>
      </c>
      <c r="B31" s="28">
        <f t="shared" si="8"/>
        <v>1</v>
      </c>
      <c r="C31" s="10">
        <f t="shared" si="2"/>
        <v>1</v>
      </c>
      <c r="D31" s="11">
        <f t="array" ref="D31">SUM(IF(F31:AO31="R",1,0))</f>
        <v>1</v>
      </c>
      <c r="E31" s="11">
        <f t="array" ref="E31">SUM(IF(F31:AO31="R2",1,0))</f>
        <v>1</v>
      </c>
      <c r="F31" s="17">
        <v>1.0</v>
      </c>
      <c r="S31" s="16"/>
      <c r="T31" s="16"/>
      <c r="W31" s="16"/>
      <c r="AH31" s="17" t="s">
        <v>40</v>
      </c>
      <c r="AK31" s="17" t="s">
        <v>39</v>
      </c>
      <c r="AP31" s="11">
        <f t="array" ref="AP31">SUM(IF(AP3:AP28="R2",1,0))</f>
        <v>0</v>
      </c>
      <c r="AQ31" s="11">
        <f t="array" ref="AQ31">SUM(IF(AQ3:AQ28="R2",1,0))</f>
        <v>0</v>
      </c>
      <c r="AR31" s="11">
        <f t="array" ref="AR31">SUM(IF(AR3:AR28="R2",1,0))</f>
        <v>0</v>
      </c>
      <c r="AS31" s="11">
        <f t="array" ref="AS31">SUM(IF(AS3:AS28="R2",1,0))</f>
        <v>0</v>
      </c>
      <c r="AT31" s="11">
        <f t="array" ref="AT31">SUM(IF(AT3:AT28="R2",1,0))</f>
        <v>0</v>
      </c>
      <c r="AU31" s="11">
        <f t="array" ref="AU31">SUM(IF(AU3:AU28="R2",1,0))</f>
        <v>0</v>
      </c>
      <c r="AV31" s="11"/>
      <c r="AW31" s="11"/>
      <c r="AX31" s="11"/>
      <c r="AY31" s="11"/>
    </row>
    <row r="32">
      <c r="A32" s="44" t="s">
        <v>292</v>
      </c>
      <c r="C32" s="10">
        <f t="shared" si="2"/>
        <v>1</v>
      </c>
      <c r="D32" s="11">
        <f t="array" ref="D32">SUM(IF(F32:AO32="R",1,0))</f>
        <v>1</v>
      </c>
      <c r="E32" s="11">
        <f t="array" ref="E32">SUM(IF(F32:AO32="R2",1,0))</f>
        <v>2</v>
      </c>
      <c r="F32" s="11"/>
      <c r="G32" s="11"/>
      <c r="H32" s="11"/>
      <c r="I32" s="11"/>
      <c r="J32" s="11"/>
      <c r="K32" s="11"/>
      <c r="L32" s="79"/>
      <c r="M32" s="79"/>
      <c r="N32" s="79"/>
      <c r="O32" s="11"/>
      <c r="P32" s="11"/>
      <c r="Q32" s="11"/>
      <c r="R32" s="80">
        <v>1.0</v>
      </c>
      <c r="S32" s="11"/>
      <c r="T32" s="11"/>
      <c r="U32" s="11"/>
      <c r="V32" s="79"/>
      <c r="W32" s="79"/>
      <c r="X32" s="11"/>
      <c r="Y32" s="11"/>
      <c r="Z32" s="11"/>
      <c r="AA32" s="80" t="s">
        <v>39</v>
      </c>
      <c r="AB32" s="79"/>
      <c r="AC32" s="11"/>
      <c r="AD32" s="80" t="s">
        <v>40</v>
      </c>
      <c r="AE32" s="11"/>
      <c r="AF32" s="11"/>
      <c r="AG32" s="11"/>
      <c r="AH32" s="11"/>
      <c r="AI32" s="11"/>
      <c r="AJ32" s="11"/>
      <c r="AK32" s="11"/>
      <c r="AL32" s="11"/>
      <c r="AM32" s="11"/>
      <c r="AN32" s="80" t="s">
        <v>40</v>
      </c>
      <c r="AO32" s="11"/>
      <c r="AP32" s="11"/>
      <c r="AQ32" s="11"/>
      <c r="AR32" s="11"/>
      <c r="AS32" s="11"/>
      <c r="AT32" s="11"/>
      <c r="AU32" s="11"/>
      <c r="AV32" s="11"/>
      <c r="AW32" s="11"/>
      <c r="AX32" s="11"/>
      <c r="AY32" s="11"/>
    </row>
    <row r="33">
      <c r="A33" s="26" t="s">
        <v>46</v>
      </c>
      <c r="B33" s="10">
        <f>SUM(C33:D33)</f>
        <v>0</v>
      </c>
      <c r="C33" s="10">
        <f t="shared" si="2"/>
        <v>0</v>
      </c>
      <c r="D33" s="11">
        <f t="array" ref="D33">SUM(IF(F33:AO33="R",1,0))</f>
        <v>0</v>
      </c>
      <c r="E33" s="11">
        <f t="array" ref="E33">SUM(IF(F33:AO33="R2",1,0))</f>
        <v>0</v>
      </c>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row>
    <row r="34">
      <c r="A34" s="26" t="s">
        <v>201</v>
      </c>
      <c r="C34" s="10">
        <f t="shared" si="2"/>
        <v>0</v>
      </c>
      <c r="D34" s="11">
        <f t="array" ref="D34">SUM(IF(F34:AO34="R",1,0))</f>
        <v>1</v>
      </c>
      <c r="E34" s="11">
        <f t="array" ref="E34">SUM(IF(F34:AO34="R2",1,0))</f>
        <v>1</v>
      </c>
      <c r="F34" s="79"/>
      <c r="G34" s="79"/>
      <c r="H34" s="79"/>
      <c r="I34" s="79"/>
      <c r="J34" s="11"/>
      <c r="K34" s="11"/>
      <c r="L34" s="11"/>
      <c r="M34" s="11"/>
      <c r="N34" s="11"/>
      <c r="O34" s="79"/>
      <c r="P34" s="79"/>
      <c r="Q34" s="79"/>
      <c r="R34" s="79"/>
      <c r="S34" s="11"/>
      <c r="T34" s="11"/>
      <c r="U34" s="11"/>
      <c r="V34" s="11"/>
      <c r="W34" s="80"/>
      <c r="X34" s="80" t="s">
        <v>62</v>
      </c>
      <c r="Y34" s="80"/>
      <c r="Z34" s="80" t="s">
        <v>63</v>
      </c>
      <c r="AA34" s="11"/>
      <c r="AB34" s="11"/>
      <c r="AC34" s="11"/>
      <c r="AD34" s="11"/>
      <c r="AE34" s="11"/>
      <c r="AF34" s="11"/>
      <c r="AG34" s="79"/>
      <c r="AH34" s="79"/>
      <c r="AI34" s="79"/>
      <c r="AJ34" s="79"/>
      <c r="AK34" s="11"/>
      <c r="AL34" s="11"/>
      <c r="AM34" s="11"/>
      <c r="AN34" s="11"/>
      <c r="AO34" s="80"/>
      <c r="AP34" s="11"/>
      <c r="AQ34" s="11"/>
      <c r="AR34" s="11"/>
      <c r="AS34" s="11"/>
      <c r="AT34" s="11"/>
      <c r="AU34" s="11"/>
      <c r="AV34" s="11"/>
      <c r="AW34" s="11"/>
      <c r="AX34" s="11"/>
      <c r="AY34" s="11"/>
    </row>
    <row r="35">
      <c r="A35" s="17" t="s">
        <v>68</v>
      </c>
      <c r="C35" s="10">
        <f t="shared" si="2"/>
        <v>36</v>
      </c>
      <c r="D35" s="11"/>
      <c r="E35" s="11"/>
      <c r="F35" s="28">
        <f t="shared" ref="F35:AO35" si="9">SUM(F3:F34)</f>
        <v>1</v>
      </c>
      <c r="G35" s="28">
        <f t="shared" si="9"/>
        <v>1</v>
      </c>
      <c r="H35" s="28">
        <f t="shared" si="9"/>
        <v>1</v>
      </c>
      <c r="I35" s="28">
        <f t="shared" si="9"/>
        <v>1</v>
      </c>
      <c r="J35" s="28">
        <f t="shared" si="9"/>
        <v>1</v>
      </c>
      <c r="K35" s="28">
        <f t="shared" si="9"/>
        <v>1</v>
      </c>
      <c r="L35" s="28">
        <f t="shared" si="9"/>
        <v>1</v>
      </c>
      <c r="M35" s="28">
        <f t="shared" si="9"/>
        <v>1</v>
      </c>
      <c r="N35" s="28">
        <f t="shared" si="9"/>
        <v>1</v>
      </c>
      <c r="O35" s="28">
        <f t="shared" si="9"/>
        <v>1</v>
      </c>
      <c r="P35" s="28">
        <f t="shared" si="9"/>
        <v>1</v>
      </c>
      <c r="Q35" s="28">
        <f t="shared" si="9"/>
        <v>1</v>
      </c>
      <c r="R35" s="28">
        <f t="shared" si="9"/>
        <v>1</v>
      </c>
      <c r="S35" s="28">
        <f t="shared" si="9"/>
        <v>1</v>
      </c>
      <c r="T35" s="28">
        <f t="shared" si="9"/>
        <v>1</v>
      </c>
      <c r="U35" s="28">
        <f t="shared" si="9"/>
        <v>1</v>
      </c>
      <c r="V35" s="28">
        <f t="shared" si="9"/>
        <v>1</v>
      </c>
      <c r="W35" s="28">
        <f t="shared" si="9"/>
        <v>1</v>
      </c>
      <c r="X35" s="28">
        <f t="shared" si="9"/>
        <v>1</v>
      </c>
      <c r="Y35" s="28">
        <f t="shared" si="9"/>
        <v>1</v>
      </c>
      <c r="Z35" s="28">
        <f t="shared" si="9"/>
        <v>1</v>
      </c>
      <c r="AA35" s="28">
        <f t="shared" si="9"/>
        <v>1</v>
      </c>
      <c r="AB35" s="28">
        <f t="shared" si="9"/>
        <v>1</v>
      </c>
      <c r="AC35" s="28">
        <f t="shared" si="9"/>
        <v>1</v>
      </c>
      <c r="AD35" s="28">
        <f t="shared" si="9"/>
        <v>1</v>
      </c>
      <c r="AE35" s="28">
        <f t="shared" si="9"/>
        <v>1</v>
      </c>
      <c r="AF35" s="28">
        <f t="shared" si="9"/>
        <v>1</v>
      </c>
      <c r="AG35" s="28">
        <f t="shared" si="9"/>
        <v>1</v>
      </c>
      <c r="AH35" s="28">
        <f t="shared" si="9"/>
        <v>1</v>
      </c>
      <c r="AI35" s="28">
        <f t="shared" si="9"/>
        <v>1</v>
      </c>
      <c r="AJ35" s="28">
        <f t="shared" si="9"/>
        <v>1</v>
      </c>
      <c r="AK35" s="28">
        <f t="shared" si="9"/>
        <v>1</v>
      </c>
      <c r="AL35" s="28">
        <f t="shared" si="9"/>
        <v>1</v>
      </c>
      <c r="AM35" s="28">
        <f t="shared" si="9"/>
        <v>1</v>
      </c>
      <c r="AN35" s="28">
        <f t="shared" si="9"/>
        <v>1</v>
      </c>
      <c r="AO35" s="28">
        <f t="shared" si="9"/>
        <v>1</v>
      </c>
      <c r="AP35" s="11"/>
      <c r="AQ35" s="11"/>
      <c r="AR35" s="11"/>
      <c r="AS35" s="11"/>
      <c r="AT35" s="11"/>
      <c r="AU35" s="11"/>
      <c r="AV35" s="11"/>
      <c r="AW35" s="11"/>
      <c r="AX35" s="11"/>
      <c r="AY35" s="11"/>
    </row>
    <row r="36">
      <c r="A36" s="17" t="s">
        <v>69</v>
      </c>
      <c r="C36" s="10">
        <f t="shared" si="2"/>
        <v>36</v>
      </c>
      <c r="D36" s="11"/>
      <c r="E36" s="11"/>
      <c r="F36" s="11">
        <f t="array" ref="F36">SUM(IF(F3:F34="R",1,0))</f>
        <v>1</v>
      </c>
      <c r="G36" s="11">
        <f t="array" ref="G36">SUM(IF(G3:G34="R",1,0))</f>
        <v>1</v>
      </c>
      <c r="H36" s="11">
        <f t="array" ref="H36">SUM(IF(H3:H34="R",1,0))</f>
        <v>1</v>
      </c>
      <c r="I36" s="11">
        <f t="array" ref="I36">SUM(IF(I3:I34="R",1,0))</f>
        <v>1</v>
      </c>
      <c r="J36" s="11">
        <f t="array" ref="J36">SUM(IF(J3:J34="R",1,0))</f>
        <v>1</v>
      </c>
      <c r="K36" s="11">
        <f t="array" ref="K36">SUM(IF(K3:K34="R",1,0))</f>
        <v>1</v>
      </c>
      <c r="L36" s="11">
        <f t="array" ref="L36">SUM(IF(L3:L34="R",1,0))</f>
        <v>1</v>
      </c>
      <c r="M36" s="11">
        <f t="array" ref="M36">SUM(IF(M3:M34="R",1,0))</f>
        <v>1</v>
      </c>
      <c r="N36" s="11">
        <f t="array" ref="N36">SUM(IF(N3:N34="R",1,0))</f>
        <v>1</v>
      </c>
      <c r="O36" s="11">
        <f t="array" ref="O36">SUM(IF(O3:O34="R",1,0))</f>
        <v>1</v>
      </c>
      <c r="P36" s="11">
        <f t="array" ref="P36">SUM(IF(P3:P34="R",1,0))</f>
        <v>1</v>
      </c>
      <c r="Q36" s="11">
        <f t="array" ref="Q36">SUM(IF(Q3:Q34="R",1,0))</f>
        <v>1</v>
      </c>
      <c r="R36" s="11">
        <f t="array" ref="R36">SUM(IF(R3:R34="R",1,0))</f>
        <v>1</v>
      </c>
      <c r="S36" s="11">
        <f t="array" ref="S36">SUM(IF(S3:S34="R",1,0))</f>
        <v>1</v>
      </c>
      <c r="T36" s="11">
        <f t="array" ref="T36">SUM(IF(T3:T34="R",1,0))</f>
        <v>1</v>
      </c>
      <c r="U36" s="11">
        <f t="array" ref="U36">SUM(IF(U3:U34="R",1,0))</f>
        <v>1</v>
      </c>
      <c r="V36" s="11">
        <f t="array" ref="V36">SUM(IF(V3:V34="R",1,0))</f>
        <v>1</v>
      </c>
      <c r="W36" s="11">
        <f t="array" ref="W36">SUM(IF(W3:W34="R",1,0))</f>
        <v>1</v>
      </c>
      <c r="X36" s="11">
        <f t="array" ref="X36">SUM(IF(X3:X34="R",1,0))</f>
        <v>1</v>
      </c>
      <c r="Y36" s="11">
        <f t="array" ref="Y36">SUM(IF(Y3:Y34="R",1,0))</f>
        <v>1</v>
      </c>
      <c r="Z36" s="11">
        <f t="array" ref="Z36">SUM(IF(Z3:Z34="R",1,0))</f>
        <v>1</v>
      </c>
      <c r="AA36" s="11">
        <f t="array" ref="AA36">SUM(IF(AA3:AA34="R",1,0))</f>
        <v>1</v>
      </c>
      <c r="AB36" s="11">
        <f t="array" ref="AB36">SUM(IF(AB3:AB34="R",1,0))</f>
        <v>1</v>
      </c>
      <c r="AC36" s="11">
        <f t="array" ref="AC36">SUM(IF(AC3:AC34="R",1,0))</f>
        <v>1</v>
      </c>
      <c r="AD36" s="11">
        <f t="array" ref="AD36">SUM(IF(AD3:AD34="R",1,0))</f>
        <v>1</v>
      </c>
      <c r="AE36" s="11">
        <f t="array" ref="AE36">SUM(IF(AE3:AE34="R",1,0))</f>
        <v>1</v>
      </c>
      <c r="AF36" s="11">
        <f t="array" ref="AF36">SUM(IF(AF3:AF34="R",1,0))</f>
        <v>1</v>
      </c>
      <c r="AG36" s="11">
        <f t="array" ref="AG36">SUM(IF(AG3:AG34="R",1,0))</f>
        <v>1</v>
      </c>
      <c r="AH36" s="11">
        <f t="array" ref="AH36">SUM(IF(AH3:AH34="R",1,0))</f>
        <v>1</v>
      </c>
      <c r="AI36" s="11">
        <f t="array" ref="AI36">SUM(IF(AI3:AI34="R",1,0))</f>
        <v>1</v>
      </c>
      <c r="AJ36" s="11">
        <f t="array" ref="AJ36">SUM(IF(AJ3:AJ34="R",1,0))</f>
        <v>1</v>
      </c>
      <c r="AK36" s="11">
        <f t="array" ref="AK36">SUM(IF(AK3:AK34="R",1,0))</f>
        <v>1</v>
      </c>
      <c r="AL36" s="11">
        <f t="array" ref="AL36">SUM(IF(AL3:AL34="R",1,0))</f>
        <v>1</v>
      </c>
      <c r="AM36" s="11">
        <f t="array" ref="AM36">SUM(IF(AM3:AM34="R",1,0))</f>
        <v>1</v>
      </c>
      <c r="AN36" s="11">
        <f t="array" ref="AN36">SUM(IF(AN3:AN34="R",1,0))</f>
        <v>1</v>
      </c>
      <c r="AO36" s="11">
        <f t="array" ref="AO36">SUM(IF(AO3:AO34="R",1,0))</f>
        <v>1</v>
      </c>
      <c r="AP36" s="11"/>
      <c r="AQ36" s="11"/>
      <c r="AR36" s="11"/>
      <c r="AS36" s="11"/>
      <c r="AT36" s="11"/>
      <c r="AU36" s="11"/>
      <c r="AV36" s="11"/>
      <c r="AW36" s="11"/>
      <c r="AX36" s="11"/>
      <c r="AY36" s="11"/>
    </row>
    <row r="37">
      <c r="A37" s="17" t="s">
        <v>70</v>
      </c>
      <c r="C37" s="10">
        <f t="shared" si="2"/>
        <v>36</v>
      </c>
      <c r="D37" s="11"/>
      <c r="E37" s="11"/>
      <c r="F37" s="11">
        <f t="array" ref="F37">SUM(IF(F3:F34="R2",1,0))</f>
        <v>1</v>
      </c>
      <c r="G37" s="11">
        <f t="array" ref="G37">SUM(IF(G3:G34="R2",1,0))</f>
        <v>1</v>
      </c>
      <c r="H37" s="11">
        <f t="array" ref="H37">SUM(IF(H3:H34="R2",1,0))</f>
        <v>1</v>
      </c>
      <c r="I37" s="11">
        <f t="array" ref="I37">SUM(IF(I3:I34="R2",1,0))</f>
        <v>1</v>
      </c>
      <c r="J37" s="11">
        <f t="array" ref="J37">SUM(IF(J3:J34="R2",1,0))</f>
        <v>1</v>
      </c>
      <c r="K37" s="11">
        <f t="array" ref="K37">SUM(IF(K3:K34="R2",1,0))</f>
        <v>1</v>
      </c>
      <c r="L37" s="11">
        <f t="array" ref="L37">SUM(IF(L3:L34="R2",1,0))</f>
        <v>1</v>
      </c>
      <c r="M37" s="11">
        <f t="array" ref="M37">SUM(IF(M3:M34="R2",1,0))</f>
        <v>1</v>
      </c>
      <c r="N37" s="11">
        <f t="array" ref="N37">SUM(IF(N3:N34="R2",1,0))</f>
        <v>1</v>
      </c>
      <c r="O37" s="11">
        <f t="array" ref="O37">SUM(IF(O3:O34="R2",1,0))</f>
        <v>1</v>
      </c>
      <c r="P37" s="11">
        <f t="array" ref="P37">SUM(IF(P3:P34="R2",1,0))</f>
        <v>1</v>
      </c>
      <c r="Q37" s="11">
        <f t="array" ref="Q37">SUM(IF(Q3:Q34="R2",1,0))</f>
        <v>1</v>
      </c>
      <c r="R37" s="11">
        <f t="array" ref="R37">SUM(IF(R3:R34="R2",1,0))</f>
        <v>1</v>
      </c>
      <c r="S37" s="11">
        <f t="array" ref="S37">SUM(IF(S3:S34="R2",1,0))</f>
        <v>1</v>
      </c>
      <c r="T37" s="11">
        <f t="array" ref="T37">SUM(IF(T3:T34="R2",1,0))</f>
        <v>1</v>
      </c>
      <c r="U37" s="11">
        <f t="array" ref="U37">SUM(IF(U3:U34="R2",1,0))</f>
        <v>1</v>
      </c>
      <c r="V37" s="11">
        <f t="array" ref="V37">SUM(IF(V3:V34="R2",1,0))</f>
        <v>1</v>
      </c>
      <c r="W37" s="11">
        <f t="array" ref="W37">SUM(IF(W3:W34="R2",1,0))</f>
        <v>1</v>
      </c>
      <c r="X37" s="11">
        <f t="array" ref="X37">SUM(IF(X3:X34="R2",1,0))</f>
        <v>1</v>
      </c>
      <c r="Y37" s="11">
        <f t="array" ref="Y37">SUM(IF(Y3:Y34="R2",1,0))</f>
        <v>1</v>
      </c>
      <c r="Z37" s="11">
        <f t="array" ref="Z37">SUM(IF(Z3:Z34="R2",1,0))</f>
        <v>1</v>
      </c>
      <c r="AA37" s="11">
        <f t="array" ref="AA37">SUM(IF(AA3:AA34="R2",1,0))</f>
        <v>1</v>
      </c>
      <c r="AB37" s="11">
        <f t="array" ref="AB37">SUM(IF(AB3:AB34="R2",1,0))</f>
        <v>1</v>
      </c>
      <c r="AC37" s="11">
        <f t="array" ref="AC37">SUM(IF(AC3:AC34="R2",1,0))</f>
        <v>1</v>
      </c>
      <c r="AD37" s="11">
        <f t="array" ref="AD37">SUM(IF(AD3:AD34="R2",1,0))</f>
        <v>1</v>
      </c>
      <c r="AE37" s="11">
        <f t="array" ref="AE37">SUM(IF(AE3:AE34="R2",1,0))</f>
        <v>1</v>
      </c>
      <c r="AF37" s="11">
        <f t="array" ref="AF37">SUM(IF(AF3:AF34="R2",1,0))</f>
        <v>1</v>
      </c>
      <c r="AG37" s="11">
        <f t="array" ref="AG37">SUM(IF(AG3:AG34="R2",1,0))</f>
        <v>1</v>
      </c>
      <c r="AH37" s="11">
        <f t="array" ref="AH37">SUM(IF(AH3:AH34="R2",1,0))</f>
        <v>1</v>
      </c>
      <c r="AI37" s="11">
        <f t="array" ref="AI37">SUM(IF(AI3:AI34="R2",1,0))</f>
        <v>1</v>
      </c>
      <c r="AJ37" s="11">
        <f t="array" ref="AJ37">SUM(IF(AJ3:AJ34="R2",1,0))</f>
        <v>1</v>
      </c>
      <c r="AK37" s="11">
        <f t="array" ref="AK37">SUM(IF(AK3:AK34="R2",1,0))</f>
        <v>1</v>
      </c>
      <c r="AL37" s="11">
        <f t="array" ref="AL37">SUM(IF(AL3:AL34="R2",1,0))</f>
        <v>1</v>
      </c>
      <c r="AM37" s="11">
        <f t="array" ref="AM37">SUM(IF(AM3:AM34="R2",1,0))</f>
        <v>1</v>
      </c>
      <c r="AN37" s="11">
        <f t="array" ref="AN37">SUM(IF(AN3:AN34="R2",1,0))</f>
        <v>1</v>
      </c>
      <c r="AO37" s="11">
        <f t="array" ref="AO37">SUM(IF(AO3:AO34="R2",1,0))</f>
        <v>1</v>
      </c>
      <c r="AP37" s="11"/>
      <c r="AQ37" s="11"/>
      <c r="AR37" s="11"/>
      <c r="AS37" s="11"/>
      <c r="AT37" s="11"/>
      <c r="AU37" s="11"/>
      <c r="AV37" s="11"/>
      <c r="AW37" s="11"/>
      <c r="AX37" s="11"/>
      <c r="AY37" s="11"/>
    </row>
    <row r="38">
      <c r="E38" s="46" t="s">
        <v>71</v>
      </c>
      <c r="F38" s="29" t="str">
        <f t="shared" ref="F38:AO38" si="10">IFERROR(INDEX($A$3:$A$34, MATCH(1, INDEX($F$3:$AO$34, 0, MATCH(F2, $F$2:$AO$2, 0)), 0)), INDEX($A$3:$A$34, MATCH(1, INDEX($F$3:$AO$34, 0, MATCH(F2&amp;" AM", $F$2:$AO$2, 0)), 0)))</f>
        <v>PTE GABRIEL</v>
      </c>
      <c r="G38" s="29" t="str">
        <f t="shared" si="10"/>
        <v>CPL FIRMAN</v>
      </c>
      <c r="H38" s="29" t="str">
        <f t="shared" si="10"/>
        <v>PTE NICO</v>
      </c>
      <c r="I38" s="29" t="str">
        <f t="shared" si="10"/>
        <v>PTE MITCHELL</v>
      </c>
      <c r="J38" s="29" t="str">
        <f t="shared" si="10"/>
        <v>PTE NICO</v>
      </c>
      <c r="K38" s="29" t="str">
        <f t="shared" si="10"/>
        <v>PTE KRISHAN</v>
      </c>
      <c r="L38" s="29" t="str">
        <f t="shared" si="10"/>
        <v>LCP GLADWYN</v>
      </c>
      <c r="M38" s="29" t="str">
        <f t="shared" si="10"/>
        <v>PTE RYAN</v>
      </c>
      <c r="N38" s="29" t="str">
        <f t="shared" si="10"/>
        <v>PTE NICO</v>
      </c>
      <c r="O38" s="29" t="str">
        <f t="shared" si="10"/>
        <v>PTE JULLION</v>
      </c>
      <c r="P38" s="29" t="str">
        <f t="shared" si="10"/>
        <v>CPL FIRMAN</v>
      </c>
      <c r="Q38" s="29" t="str">
        <f t="shared" si="10"/>
        <v>REC RUI FENG</v>
      </c>
      <c r="R38" s="29" t="str">
        <f t="shared" si="10"/>
        <v>CPL JIREH</v>
      </c>
      <c r="S38" s="29" t="str">
        <f t="shared" si="10"/>
        <v>PTE AFIF</v>
      </c>
      <c r="T38" s="29" t="str">
        <f t="shared" si="10"/>
        <v>PTE KRISHAN</v>
      </c>
      <c r="U38" s="29" t="str">
        <f t="shared" si="10"/>
        <v>LCP GLADWYN</v>
      </c>
      <c r="V38" s="29" t="str">
        <f t="shared" si="10"/>
        <v>PTE CLARENCE</v>
      </c>
      <c r="W38" s="29" t="str">
        <f t="shared" si="10"/>
        <v>PTE AZHARI</v>
      </c>
      <c r="X38" s="29" t="str">
        <f t="shared" si="10"/>
        <v>PTE MITCHELL</v>
      </c>
      <c r="Y38" s="29" t="str">
        <f t="shared" si="10"/>
        <v>PTE SURIA</v>
      </c>
      <c r="Z38" s="29" t="str">
        <f t="shared" si="10"/>
        <v>PTE JULLION</v>
      </c>
      <c r="AA38" s="29" t="str">
        <f t="shared" si="10"/>
        <v>PTE TRISTAN</v>
      </c>
      <c r="AB38" s="29" t="str">
        <f t="shared" si="10"/>
        <v>PTE SURIA</v>
      </c>
      <c r="AC38" s="29" t="str">
        <f t="shared" si="10"/>
        <v>PTE MICHAEL</v>
      </c>
      <c r="AD38" s="29" t="str">
        <f t="shared" si="10"/>
        <v>PTE INDRA</v>
      </c>
      <c r="AE38" s="29" t="str">
        <f t="shared" si="10"/>
        <v>PTE RYAN</v>
      </c>
      <c r="AF38" s="29" t="str">
        <f t="shared" si="10"/>
        <v>PTE MITCHELL</v>
      </c>
      <c r="AG38" s="29" t="str">
        <f t="shared" si="10"/>
        <v>PTE AFIF</v>
      </c>
      <c r="AH38" s="29" t="str">
        <f t="shared" si="10"/>
        <v>PTE JERRYL</v>
      </c>
      <c r="AI38" s="29" t="str">
        <f t="shared" si="10"/>
        <v>LCP ZI XUAN</v>
      </c>
      <c r="AJ38" s="29" t="str">
        <f t="shared" si="10"/>
        <v>PTE TRISTAN</v>
      </c>
      <c r="AK38" s="29" t="str">
        <f t="shared" si="10"/>
        <v>REC ASH</v>
      </c>
      <c r="AL38" s="29" t="str">
        <f t="shared" si="10"/>
        <v>PTE JERRYL</v>
      </c>
      <c r="AM38" s="29" t="str">
        <f t="shared" si="10"/>
        <v>LCP ZI XUAN</v>
      </c>
      <c r="AN38" s="29" t="str">
        <f t="shared" si="10"/>
        <v>PTE CLARENCE</v>
      </c>
      <c r="AO38" s="29" t="str">
        <f t="shared" si="10"/>
        <v>PTE TRISTAN</v>
      </c>
      <c r="AP38" s="29" t="str">
        <f t="shared" ref="AP38:AU38" si="11">IFERROR(INDEX($A$3:$A$28, MATCH(1, INDEX($F$3:$AU$28, 0, MATCH(AP2, $F$2:$AU$2, 0)), 0)), INDEX($A$3:$A$28, MATCH(1, INDEX($F$3:$AU$28, 0, MATCH(AP2&amp;" AM", $F$2:$AU$2, 0)), 0)))</f>
        <v>#N/A</v>
      </c>
      <c r="AQ38" s="29" t="str">
        <f t="shared" si="11"/>
        <v>#N/A</v>
      </c>
      <c r="AR38" s="29" t="str">
        <f t="shared" si="11"/>
        <v>#N/A</v>
      </c>
      <c r="AS38" s="29" t="str">
        <f t="shared" si="11"/>
        <v>#N/A</v>
      </c>
      <c r="AT38" s="29" t="str">
        <f t="shared" si="11"/>
        <v>#N/A</v>
      </c>
      <c r="AU38" s="29" t="str">
        <f t="shared" si="11"/>
        <v>#N/A</v>
      </c>
      <c r="AV38" s="29"/>
      <c r="AW38" s="29"/>
      <c r="AX38" s="29"/>
      <c r="AY38" s="29"/>
    </row>
    <row r="39">
      <c r="E39" s="46" t="s">
        <v>72</v>
      </c>
      <c r="F39" s="28" t="str">
        <f t="shared" ref="F39:AO39" si="12">INDEX($A$3:$A$34, MATCH("R", INDEX($F$3:$AO$34, 0, MATCH(F2, $F$2:$AO$2, 0)), 0))</f>
        <v>PTE RYAN</v>
      </c>
      <c r="G39" s="28" t="str">
        <f t="shared" si="12"/>
        <v>PTE JULLION</v>
      </c>
      <c r="H39" s="28" t="str">
        <f t="shared" si="12"/>
        <v>PTE AFIF</v>
      </c>
      <c r="I39" s="28" t="str">
        <f t="shared" si="12"/>
        <v>CPL FIRMAN</v>
      </c>
      <c r="J39" s="28" t="str">
        <f t="shared" si="12"/>
        <v>PTE TRISTAN</v>
      </c>
      <c r="K39" s="28" t="str">
        <f t="shared" si="12"/>
        <v>PTE MITCHELL</v>
      </c>
      <c r="L39" s="28" t="str">
        <f t="shared" si="12"/>
        <v>PTE JULLION</v>
      </c>
      <c r="M39" s="28" t="str">
        <f t="shared" si="12"/>
        <v>LCP EZRA</v>
      </c>
      <c r="N39" s="28" t="str">
        <f t="shared" si="12"/>
        <v>PTE TRISTAN</v>
      </c>
      <c r="O39" s="28" t="str">
        <f t="shared" si="12"/>
        <v>PTE MICHAEL</v>
      </c>
      <c r="P39" s="28" t="str">
        <f t="shared" si="12"/>
        <v>LCP EZRA</v>
      </c>
      <c r="Q39" s="28" t="str">
        <f t="shared" si="12"/>
        <v>PTE CLARENCE</v>
      </c>
      <c r="R39" s="28" t="str">
        <f t="shared" si="12"/>
        <v>PTE ISAAC</v>
      </c>
      <c r="S39" s="28" t="str">
        <f t="shared" si="12"/>
        <v>PTE NICO</v>
      </c>
      <c r="T39" s="28" t="str">
        <f t="shared" si="12"/>
        <v>PTE JERRYL</v>
      </c>
      <c r="U39" s="28" t="str">
        <f t="shared" si="12"/>
        <v>PTE INDRA</v>
      </c>
      <c r="V39" s="28" t="str">
        <f t="shared" si="12"/>
        <v>PTE KRISHAN</v>
      </c>
      <c r="W39" s="28" t="str">
        <f t="shared" si="12"/>
        <v>PTE MICHAEL</v>
      </c>
      <c r="X39" s="28" t="str">
        <f t="shared" si="12"/>
        <v>REC RUI FENG</v>
      </c>
      <c r="Y39" s="28" t="str">
        <f t="shared" si="12"/>
        <v>PTE ISAAC</v>
      </c>
      <c r="Z39" s="28" t="str">
        <f t="shared" si="12"/>
        <v>3SG YAOCHEN</v>
      </c>
      <c r="AA39" s="28" t="str">
        <f t="shared" si="12"/>
        <v>CPL JIREH</v>
      </c>
      <c r="AB39" s="28" t="str">
        <f t="shared" si="12"/>
        <v>CPL FIRMAN</v>
      </c>
      <c r="AC39" s="28" t="str">
        <f t="shared" si="12"/>
        <v>LCP ZI XUAN</v>
      </c>
      <c r="AD39" s="28" t="str">
        <f t="shared" si="12"/>
        <v>PTE AFIF</v>
      </c>
      <c r="AE39" s="28" t="str">
        <f t="shared" si="12"/>
        <v>PTE CLARENCE</v>
      </c>
      <c r="AF39" s="28" t="str">
        <f t="shared" si="12"/>
        <v>REC ASH</v>
      </c>
      <c r="AG39" s="28" t="str">
        <f t="shared" si="12"/>
        <v>PTE AZHARI</v>
      </c>
      <c r="AH39" s="28" t="str">
        <f t="shared" si="12"/>
        <v>PTE RYAN</v>
      </c>
      <c r="AI39" s="28" t="str">
        <f t="shared" si="12"/>
        <v>PTE SURIA</v>
      </c>
      <c r="AJ39" s="28" t="str">
        <f t="shared" si="12"/>
        <v>LCP GLADWYN</v>
      </c>
      <c r="AK39" s="28" t="str">
        <f t="shared" si="12"/>
        <v>PTE GABRIEL</v>
      </c>
      <c r="AL39" s="28" t="str">
        <f t="shared" si="12"/>
        <v>PTE SURIA</v>
      </c>
      <c r="AM39" s="28" t="str">
        <f t="shared" si="12"/>
        <v>LCP GLADWYN</v>
      </c>
      <c r="AN39" s="28" t="str">
        <f t="shared" si="12"/>
        <v>PTE KRISHAN</v>
      </c>
      <c r="AO39" s="28" t="str">
        <f t="shared" si="12"/>
        <v>LCP ZI XUAN</v>
      </c>
      <c r="AP39" s="28" t="str">
        <f t="shared" ref="AP39:AU39" si="13">INDEX($A$3:$A$28, MATCH("R", INDEX($F$3:$AU$28, 0, MATCH(AP2, $F$2:$AU$2, 0)), 0))</f>
        <v>#N/A</v>
      </c>
      <c r="AQ39" s="28" t="str">
        <f t="shared" si="13"/>
        <v>#N/A</v>
      </c>
      <c r="AR39" s="28" t="str">
        <f t="shared" si="13"/>
        <v>#N/A</v>
      </c>
      <c r="AS39" s="28" t="str">
        <f t="shared" si="13"/>
        <v>#N/A</v>
      </c>
      <c r="AT39" s="28" t="str">
        <f t="shared" si="13"/>
        <v>#N/A</v>
      </c>
      <c r="AU39" s="28" t="str">
        <f t="shared" si="13"/>
        <v>#N/A</v>
      </c>
    </row>
    <row r="40">
      <c r="A40" s="17" t="s">
        <v>232</v>
      </c>
      <c r="C40" s="49">
        <f>COUNTA($F$1:$AO$1)</f>
        <v>36</v>
      </c>
      <c r="E40" s="46" t="s">
        <v>70</v>
      </c>
      <c r="F40" s="30" t="str">
        <f t="shared" ref="F40:AO40" si="14">INDEX($A$3:$A$34, MATCH("R2", INDEX($F$3:$AO$34, 0, MATCH(F2, $F$2:$AO$2, 0)), 0))</f>
        <v>PTE MITCHELL</v>
      </c>
      <c r="G40" s="30" t="str">
        <f t="shared" si="14"/>
        <v>LCP EZRA</v>
      </c>
      <c r="H40" s="30" t="str">
        <f t="shared" si="14"/>
        <v>PTE TRISTAN</v>
      </c>
      <c r="I40" s="30" t="str">
        <f t="shared" si="14"/>
        <v>PTE JULLION</v>
      </c>
      <c r="J40" s="30" t="str">
        <f t="shared" si="14"/>
        <v>LCP EZRA</v>
      </c>
      <c r="K40" s="30" t="str">
        <f t="shared" si="14"/>
        <v>PTE MICHAEL</v>
      </c>
      <c r="L40" s="30" t="str">
        <f t="shared" si="14"/>
        <v>PTE TRISTAN</v>
      </c>
      <c r="M40" s="30" t="str">
        <f t="shared" si="14"/>
        <v>CPL FIRMAN</v>
      </c>
      <c r="N40" s="30" t="str">
        <f t="shared" si="14"/>
        <v>PTE KRISHAN</v>
      </c>
      <c r="O40" s="30" t="str">
        <f t="shared" si="14"/>
        <v>PTE MITCHELL</v>
      </c>
      <c r="P40" s="30" t="str">
        <f t="shared" si="14"/>
        <v>PTE AZHARI</v>
      </c>
      <c r="Q40" s="30" t="str">
        <f t="shared" si="14"/>
        <v>PTE JULLION</v>
      </c>
      <c r="R40" s="30" t="str">
        <f t="shared" si="14"/>
        <v>PTE INDRA</v>
      </c>
      <c r="S40" s="30" t="str">
        <f t="shared" si="14"/>
        <v>PTE SURIA</v>
      </c>
      <c r="T40" s="30" t="str">
        <f t="shared" si="14"/>
        <v>PTE ISAAC</v>
      </c>
      <c r="U40" s="30" t="str">
        <f t="shared" si="14"/>
        <v>CPL FIRMAN</v>
      </c>
      <c r="V40" s="30" t="str">
        <f t="shared" si="14"/>
        <v>PTE AFIF</v>
      </c>
      <c r="W40" s="30" t="str">
        <f t="shared" si="14"/>
        <v>PTE JERRYL</v>
      </c>
      <c r="X40" s="30" t="str">
        <f t="shared" si="14"/>
        <v>3SG YAOCHEN</v>
      </c>
      <c r="Y40" s="30" t="str">
        <f t="shared" si="14"/>
        <v>PTE CLARENCE</v>
      </c>
      <c r="Z40" s="30" t="str">
        <f t="shared" si="14"/>
        <v>PTE AFIF</v>
      </c>
      <c r="AA40" s="30" t="str">
        <f t="shared" si="14"/>
        <v>PTE MICHAEL</v>
      </c>
      <c r="AB40" s="30" t="str">
        <f t="shared" si="14"/>
        <v>PTE AZHARI</v>
      </c>
      <c r="AC40" s="30" t="str">
        <f t="shared" si="14"/>
        <v>LCP GLADWYN</v>
      </c>
      <c r="AD40" s="30" t="str">
        <f t="shared" si="14"/>
        <v>CPL JIREH</v>
      </c>
      <c r="AE40" s="30" t="str">
        <f t="shared" si="14"/>
        <v>LCP ZI XUAN</v>
      </c>
      <c r="AF40" s="30" t="str">
        <f t="shared" si="14"/>
        <v>LCP GLADWYN</v>
      </c>
      <c r="AG40" s="30" t="str">
        <f t="shared" si="14"/>
        <v>PTE CLARENCE</v>
      </c>
      <c r="AH40" s="30" t="str">
        <f t="shared" si="14"/>
        <v>PTE GABRIEL</v>
      </c>
      <c r="AI40" s="30" t="str">
        <f t="shared" si="14"/>
        <v>REC RUI FENG</v>
      </c>
      <c r="AJ40" s="30" t="str">
        <f t="shared" si="14"/>
        <v>PTE RYAN</v>
      </c>
      <c r="AK40" s="30" t="str">
        <f t="shared" si="14"/>
        <v>PTE KRISHAN</v>
      </c>
      <c r="AL40" s="30" t="str">
        <f t="shared" si="14"/>
        <v>PTE ISAAC</v>
      </c>
      <c r="AM40" s="30" t="str">
        <f t="shared" si="14"/>
        <v>PTE NICO</v>
      </c>
      <c r="AN40" s="30" t="str">
        <f t="shared" si="14"/>
        <v>CPL JIREH</v>
      </c>
      <c r="AO40" s="30" t="str">
        <f t="shared" si="14"/>
        <v>REC ASH</v>
      </c>
      <c r="AP40" s="30" t="str">
        <f t="shared" ref="AP40:AU40" si="15">INDEX($A$3:$A$28, MATCH("R2", INDEX($F$3:$AU$28, 0, MATCH(AP2, $F$2:$AU$2, 0)), 0))</f>
        <v>#N/A</v>
      </c>
      <c r="AQ40" s="30" t="str">
        <f t="shared" si="15"/>
        <v>#N/A</v>
      </c>
      <c r="AR40" s="30" t="str">
        <f t="shared" si="15"/>
        <v>#N/A</v>
      </c>
      <c r="AS40" s="30" t="str">
        <f t="shared" si="15"/>
        <v>#N/A</v>
      </c>
      <c r="AT40" s="30" t="str">
        <f t="shared" si="15"/>
        <v>#N/A</v>
      </c>
      <c r="AU40" s="30" t="str">
        <f t="shared" si="15"/>
        <v>#N/A</v>
      </c>
      <c r="AV40" s="30"/>
      <c r="AW40" s="30"/>
      <c r="AX40" s="30"/>
      <c r="AY40" s="30"/>
    </row>
    <row r="41">
      <c r="A41" s="17" t="s">
        <v>154</v>
      </c>
      <c r="C41" s="50">
        <f>SUBTOTAL(103, $A$3:$A$28)
</f>
        <v>19</v>
      </c>
      <c r="H41" s="31"/>
    </row>
    <row r="42">
      <c r="H42" s="31"/>
    </row>
    <row r="43">
      <c r="H43" s="31"/>
    </row>
    <row r="44">
      <c r="A44" s="26" t="s">
        <v>118</v>
      </c>
      <c r="H44" s="31"/>
    </row>
    <row r="45">
      <c r="A45" s="25" t="s">
        <v>119</v>
      </c>
      <c r="H45" s="31"/>
    </row>
    <row r="46">
      <c r="A46" s="22" t="s">
        <v>120</v>
      </c>
      <c r="H46" s="31"/>
    </row>
    <row r="47">
      <c r="A47" s="20" t="s">
        <v>121</v>
      </c>
      <c r="H47" s="31"/>
    </row>
    <row r="48">
      <c r="A48" s="23" t="s">
        <v>122</v>
      </c>
      <c r="H48" s="31"/>
    </row>
    <row r="49">
      <c r="A49" s="14" t="s">
        <v>123</v>
      </c>
      <c r="H49" s="31"/>
    </row>
    <row r="50">
      <c r="A50" s="9" t="s">
        <v>125</v>
      </c>
      <c r="H50" s="31"/>
    </row>
    <row r="51">
      <c r="A51" s="44" t="s">
        <v>126</v>
      </c>
      <c r="C51" s="31"/>
      <c r="H51" s="31"/>
    </row>
    <row r="52">
      <c r="A52" s="62" t="s">
        <v>203</v>
      </c>
      <c r="H52" s="31"/>
    </row>
    <row r="53">
      <c r="A53" s="70" t="s">
        <v>233</v>
      </c>
      <c r="H53" s="31"/>
    </row>
    <row r="54">
      <c r="A54" s="69" t="s">
        <v>234</v>
      </c>
      <c r="H54" s="31"/>
    </row>
    <row r="55">
      <c r="A55" s="27" t="s">
        <v>124</v>
      </c>
      <c r="H55" s="31"/>
    </row>
    <row r="56">
      <c r="H56" s="31"/>
    </row>
    <row r="57">
      <c r="H57" s="31"/>
    </row>
    <row r="58">
      <c r="H58" s="31"/>
    </row>
    <row r="59">
      <c r="H59" s="31"/>
    </row>
    <row r="60">
      <c r="H60" s="31"/>
    </row>
    <row r="61">
      <c r="H61" s="31"/>
    </row>
    <row r="62">
      <c r="H62" s="31"/>
    </row>
    <row r="63">
      <c r="H63" s="31"/>
    </row>
    <row r="64">
      <c r="H64" s="31"/>
    </row>
    <row r="65">
      <c r="H65" s="31"/>
    </row>
    <row r="66">
      <c r="H66" s="31"/>
    </row>
    <row r="67">
      <c r="H67" s="31"/>
    </row>
    <row r="68">
      <c r="H68" s="31"/>
    </row>
    <row r="69">
      <c r="H69" s="31"/>
    </row>
    <row r="70">
      <c r="H70" s="31"/>
    </row>
    <row r="71">
      <c r="H71" s="31"/>
    </row>
    <row r="72">
      <c r="H72" s="31"/>
    </row>
    <row r="73">
      <c r="H73" s="31"/>
    </row>
    <row r="74">
      <c r="H74" s="31"/>
    </row>
    <row r="75">
      <c r="H75" s="31"/>
    </row>
    <row r="76">
      <c r="H76" s="31"/>
    </row>
    <row r="77">
      <c r="H77" s="31"/>
    </row>
    <row r="78">
      <c r="H78" s="31"/>
    </row>
    <row r="79">
      <c r="H79" s="31"/>
    </row>
    <row r="80">
      <c r="H80" s="31"/>
    </row>
    <row r="81">
      <c r="H81" s="31"/>
    </row>
    <row r="82">
      <c r="H82" s="31"/>
    </row>
    <row r="83">
      <c r="H83" s="31"/>
    </row>
    <row r="84">
      <c r="H84" s="31"/>
    </row>
    <row r="85">
      <c r="H85" s="31"/>
    </row>
    <row r="86">
      <c r="H86" s="31"/>
    </row>
    <row r="87">
      <c r="H87" s="31"/>
    </row>
    <row r="88">
      <c r="H88" s="31"/>
    </row>
    <row r="89">
      <c r="H89" s="31"/>
    </row>
    <row r="90">
      <c r="H90" s="31"/>
    </row>
    <row r="91">
      <c r="H91" s="31"/>
    </row>
    <row r="92">
      <c r="H92" s="31"/>
    </row>
    <row r="93">
      <c r="H93" s="31"/>
    </row>
    <row r="94">
      <c r="H94" s="31"/>
    </row>
    <row r="95">
      <c r="H95" s="31"/>
    </row>
    <row r="96">
      <c r="H96" s="31"/>
    </row>
    <row r="97">
      <c r="H97" s="31"/>
    </row>
    <row r="98">
      <c r="H98" s="31"/>
    </row>
    <row r="99">
      <c r="H99" s="31"/>
    </row>
    <row r="100">
      <c r="H100" s="31"/>
    </row>
    <row r="101">
      <c r="H101" s="31"/>
    </row>
    <row r="102">
      <c r="H102" s="31"/>
    </row>
    <row r="103">
      <c r="H103" s="31"/>
    </row>
    <row r="104">
      <c r="H104" s="31"/>
    </row>
    <row r="105">
      <c r="H105" s="31"/>
    </row>
    <row r="106">
      <c r="H106" s="31"/>
    </row>
    <row r="107">
      <c r="H107" s="31"/>
    </row>
    <row r="108">
      <c r="H108" s="31"/>
    </row>
    <row r="109">
      <c r="H109" s="31"/>
    </row>
    <row r="110">
      <c r="H110" s="31"/>
    </row>
    <row r="111">
      <c r="H111" s="31"/>
    </row>
    <row r="112">
      <c r="H112" s="31"/>
    </row>
    <row r="113">
      <c r="H113" s="31"/>
    </row>
    <row r="114">
      <c r="H114" s="31"/>
    </row>
    <row r="115">
      <c r="H115" s="31"/>
    </row>
    <row r="116">
      <c r="H116" s="31"/>
    </row>
    <row r="117">
      <c r="H117" s="31"/>
    </row>
    <row r="118">
      <c r="H118" s="31"/>
    </row>
    <row r="119">
      <c r="H119" s="31"/>
    </row>
    <row r="120">
      <c r="H120" s="31"/>
    </row>
    <row r="121">
      <c r="H121" s="31"/>
    </row>
    <row r="122">
      <c r="H122" s="31"/>
    </row>
    <row r="123">
      <c r="H123" s="31"/>
    </row>
    <row r="124">
      <c r="H124" s="31"/>
    </row>
    <row r="125">
      <c r="H125" s="31"/>
    </row>
    <row r="126">
      <c r="H126" s="31"/>
    </row>
    <row r="127">
      <c r="H127" s="31"/>
    </row>
    <row r="128">
      <c r="H128" s="31"/>
    </row>
    <row r="129">
      <c r="H129" s="31"/>
    </row>
    <row r="130">
      <c r="H130" s="31"/>
    </row>
    <row r="131">
      <c r="H131" s="31"/>
    </row>
    <row r="132">
      <c r="H132" s="31"/>
    </row>
    <row r="133">
      <c r="H133" s="31"/>
    </row>
    <row r="134">
      <c r="H134" s="31"/>
    </row>
    <row r="135">
      <c r="H135" s="31"/>
    </row>
    <row r="136">
      <c r="H136" s="31"/>
    </row>
    <row r="137">
      <c r="H137" s="31"/>
    </row>
    <row r="138">
      <c r="H138" s="31"/>
    </row>
    <row r="139">
      <c r="H139" s="31"/>
    </row>
    <row r="140">
      <c r="H140" s="31"/>
    </row>
    <row r="141">
      <c r="H141" s="31"/>
    </row>
    <row r="142">
      <c r="H142" s="31"/>
    </row>
    <row r="143">
      <c r="H143" s="31"/>
    </row>
    <row r="144">
      <c r="H144" s="31"/>
    </row>
    <row r="145">
      <c r="H145" s="31"/>
    </row>
    <row r="146">
      <c r="H146" s="31"/>
    </row>
    <row r="147">
      <c r="H147" s="31"/>
    </row>
    <row r="148">
      <c r="H148" s="31"/>
    </row>
    <row r="149">
      <c r="H149" s="31"/>
    </row>
    <row r="150">
      <c r="H150" s="31"/>
    </row>
    <row r="151">
      <c r="H151" s="31"/>
    </row>
    <row r="152">
      <c r="H152" s="31"/>
    </row>
    <row r="153">
      <c r="H153" s="31"/>
    </row>
    <row r="154">
      <c r="H154" s="31"/>
    </row>
    <row r="155">
      <c r="H155" s="31"/>
    </row>
    <row r="156">
      <c r="H156" s="31"/>
    </row>
    <row r="157">
      <c r="H157" s="31"/>
    </row>
    <row r="158">
      <c r="H158" s="31"/>
    </row>
    <row r="159">
      <c r="H159" s="31"/>
    </row>
    <row r="160">
      <c r="H160" s="31"/>
    </row>
    <row r="161">
      <c r="H161" s="31"/>
    </row>
    <row r="162">
      <c r="H162" s="31"/>
    </row>
    <row r="163">
      <c r="H163" s="31"/>
    </row>
    <row r="164">
      <c r="H164" s="31"/>
    </row>
    <row r="165">
      <c r="H165" s="31"/>
    </row>
    <row r="166">
      <c r="H166" s="31"/>
    </row>
    <row r="167">
      <c r="H167" s="31"/>
    </row>
    <row r="168">
      <c r="H168" s="31"/>
    </row>
    <row r="169">
      <c r="H169" s="31"/>
    </row>
    <row r="170">
      <c r="H170" s="31"/>
    </row>
    <row r="171">
      <c r="H171" s="31"/>
    </row>
    <row r="172">
      <c r="H172" s="31"/>
    </row>
    <row r="173">
      <c r="H173" s="31"/>
    </row>
    <row r="174">
      <c r="H174" s="31"/>
    </row>
    <row r="175">
      <c r="H175" s="31"/>
    </row>
    <row r="176">
      <c r="H176" s="31"/>
    </row>
    <row r="177">
      <c r="H177" s="31"/>
    </row>
    <row r="178">
      <c r="H178" s="31"/>
    </row>
    <row r="179">
      <c r="H179" s="31"/>
    </row>
    <row r="180">
      <c r="H180" s="31"/>
    </row>
    <row r="181">
      <c r="H181" s="31"/>
    </row>
    <row r="182">
      <c r="H182" s="31"/>
    </row>
    <row r="183">
      <c r="H183" s="31"/>
    </row>
    <row r="184">
      <c r="H184" s="31"/>
    </row>
    <row r="185">
      <c r="H185" s="31"/>
    </row>
    <row r="186">
      <c r="H186" s="31"/>
    </row>
    <row r="187">
      <c r="H187" s="31"/>
    </row>
    <row r="188">
      <c r="H188" s="31"/>
    </row>
    <row r="189">
      <c r="H189" s="31"/>
    </row>
    <row r="190">
      <c r="H190" s="31"/>
    </row>
    <row r="191">
      <c r="H191" s="31"/>
    </row>
    <row r="192">
      <c r="H192" s="31"/>
    </row>
    <row r="193">
      <c r="H193" s="31"/>
    </row>
    <row r="194">
      <c r="H194" s="31"/>
    </row>
    <row r="195">
      <c r="H195" s="31"/>
    </row>
    <row r="196">
      <c r="H196" s="31"/>
    </row>
    <row r="197">
      <c r="H197" s="31"/>
    </row>
    <row r="198">
      <c r="H198" s="31"/>
    </row>
    <row r="199">
      <c r="H199" s="31"/>
    </row>
    <row r="200">
      <c r="H200" s="31"/>
    </row>
    <row r="201">
      <c r="H201" s="31"/>
    </row>
    <row r="202">
      <c r="H202" s="31"/>
    </row>
    <row r="203">
      <c r="H203" s="31"/>
    </row>
    <row r="204">
      <c r="H204" s="31"/>
    </row>
    <row r="205">
      <c r="H205" s="31"/>
    </row>
    <row r="206">
      <c r="H206" s="31"/>
    </row>
    <row r="207">
      <c r="H207" s="31"/>
    </row>
    <row r="208">
      <c r="H208" s="31"/>
    </row>
    <row r="209">
      <c r="H209" s="31"/>
    </row>
    <row r="210">
      <c r="H210" s="31"/>
    </row>
    <row r="211">
      <c r="H211" s="31"/>
    </row>
    <row r="212">
      <c r="H212" s="31"/>
    </row>
    <row r="213">
      <c r="H213" s="31"/>
    </row>
    <row r="214">
      <c r="H214" s="31"/>
    </row>
    <row r="215">
      <c r="H215" s="31"/>
    </row>
    <row r="216">
      <c r="H216" s="31"/>
    </row>
    <row r="217">
      <c r="H217" s="31"/>
    </row>
    <row r="218">
      <c r="H218" s="31"/>
    </row>
    <row r="219">
      <c r="H219" s="31"/>
    </row>
    <row r="220">
      <c r="H220" s="31"/>
    </row>
    <row r="221">
      <c r="H221" s="31"/>
    </row>
    <row r="222">
      <c r="H222" s="31"/>
    </row>
    <row r="223">
      <c r="H223" s="31"/>
    </row>
    <row r="224">
      <c r="H224" s="31"/>
    </row>
    <row r="225">
      <c r="H225" s="31"/>
    </row>
    <row r="226">
      <c r="H226" s="31"/>
    </row>
    <row r="227">
      <c r="H227" s="31"/>
    </row>
    <row r="228">
      <c r="H228" s="31"/>
    </row>
    <row r="229">
      <c r="H229" s="31"/>
    </row>
    <row r="230">
      <c r="H230" s="31"/>
    </row>
    <row r="231">
      <c r="H231" s="31"/>
    </row>
    <row r="232">
      <c r="H232" s="31"/>
    </row>
    <row r="233">
      <c r="H233" s="31"/>
    </row>
    <row r="234">
      <c r="H234" s="31"/>
    </row>
    <row r="235">
      <c r="H235" s="31"/>
    </row>
    <row r="236">
      <c r="H236" s="31"/>
    </row>
    <row r="237">
      <c r="H237" s="31"/>
    </row>
    <row r="238">
      <c r="H238" s="31"/>
    </row>
    <row r="239">
      <c r="H239" s="31"/>
    </row>
    <row r="240">
      <c r="H240" s="31"/>
    </row>
    <row r="241">
      <c r="H241" s="31"/>
    </row>
    <row r="242">
      <c r="H242" s="31"/>
    </row>
    <row r="243">
      <c r="H243" s="31"/>
    </row>
    <row r="244">
      <c r="H244" s="31"/>
    </row>
    <row r="245">
      <c r="H245" s="31"/>
    </row>
    <row r="246">
      <c r="H246" s="31"/>
    </row>
    <row r="247">
      <c r="H247" s="31"/>
    </row>
    <row r="248">
      <c r="H248" s="31"/>
    </row>
    <row r="249">
      <c r="H249" s="31"/>
    </row>
    <row r="250">
      <c r="H250" s="31"/>
    </row>
    <row r="251">
      <c r="H251" s="31"/>
    </row>
    <row r="252">
      <c r="H252" s="31"/>
    </row>
    <row r="253">
      <c r="H253" s="31"/>
    </row>
    <row r="254">
      <c r="H254" s="31"/>
    </row>
    <row r="255">
      <c r="H255" s="31"/>
    </row>
    <row r="256">
      <c r="H256" s="31"/>
    </row>
    <row r="257">
      <c r="H257" s="31"/>
    </row>
    <row r="258">
      <c r="H258" s="31"/>
    </row>
    <row r="259">
      <c r="H259" s="31"/>
    </row>
    <row r="260">
      <c r="H260" s="31"/>
    </row>
    <row r="261">
      <c r="H261" s="31"/>
    </row>
    <row r="262">
      <c r="H262" s="31"/>
    </row>
    <row r="263">
      <c r="H263" s="31"/>
    </row>
    <row r="264">
      <c r="H264" s="31"/>
    </row>
    <row r="265">
      <c r="H265" s="31"/>
    </row>
    <row r="266">
      <c r="H266" s="31"/>
    </row>
    <row r="267">
      <c r="H267" s="31"/>
    </row>
    <row r="268">
      <c r="H268" s="31"/>
    </row>
    <row r="269">
      <c r="H269" s="31"/>
    </row>
    <row r="270">
      <c r="H270" s="31"/>
    </row>
    <row r="271">
      <c r="H271" s="31"/>
    </row>
    <row r="272">
      <c r="H272" s="31"/>
    </row>
    <row r="273">
      <c r="H273" s="31"/>
    </row>
    <row r="274">
      <c r="H274" s="31"/>
    </row>
    <row r="275">
      <c r="H275" s="31"/>
    </row>
    <row r="276">
      <c r="H276" s="31"/>
    </row>
    <row r="277">
      <c r="H277" s="31"/>
    </row>
    <row r="278">
      <c r="H278" s="31"/>
    </row>
    <row r="279">
      <c r="H279" s="31"/>
    </row>
    <row r="280">
      <c r="H280" s="31"/>
    </row>
    <row r="281">
      <c r="H281" s="31"/>
    </row>
    <row r="282">
      <c r="H282" s="31"/>
    </row>
    <row r="283">
      <c r="H283" s="31"/>
    </row>
    <row r="284">
      <c r="H284" s="31"/>
    </row>
    <row r="285">
      <c r="H285" s="31"/>
    </row>
    <row r="286">
      <c r="H286" s="31"/>
    </row>
    <row r="287">
      <c r="H287" s="31"/>
    </row>
    <row r="288">
      <c r="H288" s="31"/>
    </row>
    <row r="289">
      <c r="H289" s="31"/>
    </row>
    <row r="290">
      <c r="H290" s="31"/>
    </row>
    <row r="291">
      <c r="H291" s="31"/>
    </row>
    <row r="292">
      <c r="H292" s="31"/>
    </row>
    <row r="293">
      <c r="H293" s="31"/>
    </row>
    <row r="294">
      <c r="H294" s="31"/>
    </row>
    <row r="295">
      <c r="H295" s="31"/>
    </row>
    <row r="296">
      <c r="H296" s="31"/>
    </row>
    <row r="297">
      <c r="H297" s="31"/>
    </row>
    <row r="298">
      <c r="H298" s="31"/>
    </row>
    <row r="299">
      <c r="H299" s="31"/>
    </row>
    <row r="300">
      <c r="H300" s="31"/>
    </row>
    <row r="301">
      <c r="H301" s="31"/>
    </row>
    <row r="302">
      <c r="H302" s="31"/>
    </row>
    <row r="303">
      <c r="H303" s="31"/>
    </row>
    <row r="304">
      <c r="H304" s="31"/>
    </row>
    <row r="305">
      <c r="H305" s="31"/>
    </row>
    <row r="306">
      <c r="H306" s="31"/>
    </row>
    <row r="307">
      <c r="H307" s="31"/>
    </row>
    <row r="308">
      <c r="H308" s="31"/>
    </row>
    <row r="309">
      <c r="H309" s="31"/>
    </row>
    <row r="310">
      <c r="H310" s="31"/>
    </row>
    <row r="311">
      <c r="H311" s="31"/>
    </row>
    <row r="312">
      <c r="H312" s="31"/>
    </row>
    <row r="313">
      <c r="H313" s="31"/>
    </row>
    <row r="314">
      <c r="H314" s="31"/>
    </row>
    <row r="315">
      <c r="H315" s="31"/>
    </row>
    <row r="316">
      <c r="H316" s="31"/>
    </row>
    <row r="317">
      <c r="H317" s="31"/>
    </row>
    <row r="318">
      <c r="H318" s="31"/>
    </row>
    <row r="319">
      <c r="H319" s="31"/>
    </row>
    <row r="320">
      <c r="H320" s="31"/>
    </row>
    <row r="321">
      <c r="H321" s="31"/>
    </row>
    <row r="322">
      <c r="H322" s="31"/>
    </row>
    <row r="323">
      <c r="H323" s="31"/>
    </row>
    <row r="324">
      <c r="H324" s="31"/>
    </row>
    <row r="325">
      <c r="H325" s="31"/>
    </row>
    <row r="326">
      <c r="H326" s="31"/>
    </row>
    <row r="327">
      <c r="H327" s="31"/>
    </row>
    <row r="328">
      <c r="H328" s="31"/>
    </row>
    <row r="329">
      <c r="H329" s="31"/>
    </row>
    <row r="330">
      <c r="H330" s="31"/>
    </row>
    <row r="331">
      <c r="H331" s="31"/>
    </row>
    <row r="332">
      <c r="H332" s="31"/>
    </row>
    <row r="333">
      <c r="H333" s="31"/>
    </row>
    <row r="334">
      <c r="H334" s="31"/>
    </row>
    <row r="335">
      <c r="H335" s="31"/>
    </row>
    <row r="336">
      <c r="H336" s="31"/>
    </row>
    <row r="337">
      <c r="H337" s="31"/>
    </row>
    <row r="338">
      <c r="H338" s="31"/>
    </row>
    <row r="339">
      <c r="H339" s="31"/>
    </row>
    <row r="340">
      <c r="H340" s="31"/>
    </row>
    <row r="341">
      <c r="H341" s="31"/>
    </row>
    <row r="342">
      <c r="H342" s="31"/>
    </row>
    <row r="343">
      <c r="H343" s="31"/>
    </row>
    <row r="344">
      <c r="H344" s="31"/>
    </row>
    <row r="345">
      <c r="H345" s="31"/>
    </row>
    <row r="346">
      <c r="H346" s="31"/>
    </row>
    <row r="347">
      <c r="H347" s="31"/>
    </row>
    <row r="348">
      <c r="H348" s="31"/>
    </row>
    <row r="349">
      <c r="H349" s="31"/>
    </row>
    <row r="350">
      <c r="H350" s="31"/>
    </row>
    <row r="351">
      <c r="H351" s="31"/>
    </row>
    <row r="352">
      <c r="H352" s="31"/>
    </row>
    <row r="353">
      <c r="H353" s="31"/>
    </row>
    <row r="354">
      <c r="H354" s="31"/>
    </row>
    <row r="355">
      <c r="H355" s="31"/>
    </row>
    <row r="356">
      <c r="H356" s="31"/>
    </row>
    <row r="357">
      <c r="H357" s="31"/>
    </row>
    <row r="358">
      <c r="H358" s="31"/>
    </row>
    <row r="359">
      <c r="H359" s="31"/>
    </row>
    <row r="360">
      <c r="H360" s="31"/>
    </row>
    <row r="361">
      <c r="H361" s="31"/>
    </row>
    <row r="362">
      <c r="H362" s="31"/>
    </row>
    <row r="363">
      <c r="H363" s="31"/>
    </row>
    <row r="364">
      <c r="H364" s="31"/>
    </row>
    <row r="365">
      <c r="H365" s="31"/>
    </row>
    <row r="366">
      <c r="H366" s="31"/>
    </row>
    <row r="367">
      <c r="H367" s="31"/>
    </row>
    <row r="368">
      <c r="H368" s="31"/>
    </row>
    <row r="369">
      <c r="H369" s="31"/>
    </row>
    <row r="370">
      <c r="H370" s="31"/>
    </row>
    <row r="371">
      <c r="H371" s="31"/>
    </row>
    <row r="372">
      <c r="H372" s="31"/>
    </row>
    <row r="373">
      <c r="H373" s="31"/>
    </row>
    <row r="374">
      <c r="H374" s="31"/>
    </row>
    <row r="375">
      <c r="H375" s="31"/>
    </row>
    <row r="376">
      <c r="H376" s="31"/>
    </row>
    <row r="377">
      <c r="H377" s="31"/>
    </row>
    <row r="378">
      <c r="H378" s="31"/>
    </row>
    <row r="379">
      <c r="H379" s="31"/>
    </row>
    <row r="380">
      <c r="H380" s="31"/>
    </row>
    <row r="381">
      <c r="H381" s="31"/>
    </row>
    <row r="382">
      <c r="H382" s="31"/>
    </row>
    <row r="383">
      <c r="H383" s="31"/>
    </row>
    <row r="384">
      <c r="H384" s="31"/>
    </row>
    <row r="385">
      <c r="H385" s="31"/>
    </row>
    <row r="386">
      <c r="H386" s="31"/>
    </row>
    <row r="387">
      <c r="H387" s="31"/>
    </row>
    <row r="388">
      <c r="H388" s="31"/>
    </row>
    <row r="389">
      <c r="H389" s="31"/>
    </row>
    <row r="390">
      <c r="H390" s="31"/>
    </row>
    <row r="391">
      <c r="H391" s="31"/>
    </row>
    <row r="392">
      <c r="H392" s="31"/>
    </row>
    <row r="393">
      <c r="H393" s="31"/>
    </row>
    <row r="394">
      <c r="H394" s="31"/>
    </row>
    <row r="395">
      <c r="H395" s="31"/>
    </row>
    <row r="396">
      <c r="H396" s="31"/>
    </row>
    <row r="397">
      <c r="H397" s="31"/>
    </row>
    <row r="398">
      <c r="H398" s="31"/>
    </row>
    <row r="399">
      <c r="H399" s="31"/>
    </row>
    <row r="400">
      <c r="H400" s="31"/>
    </row>
    <row r="401">
      <c r="H401" s="31"/>
    </row>
    <row r="402">
      <c r="H402" s="31"/>
    </row>
    <row r="403">
      <c r="H403" s="31"/>
    </row>
    <row r="404">
      <c r="H404" s="31"/>
    </row>
    <row r="405">
      <c r="H405" s="31"/>
    </row>
    <row r="406">
      <c r="H406" s="31"/>
    </row>
    <row r="407">
      <c r="H407" s="31"/>
    </row>
    <row r="408">
      <c r="H408" s="31"/>
    </row>
    <row r="409">
      <c r="H409" s="31"/>
    </row>
    <row r="410">
      <c r="H410" s="31"/>
    </row>
    <row r="411">
      <c r="H411" s="31"/>
    </row>
    <row r="412">
      <c r="H412" s="31"/>
    </row>
    <row r="413">
      <c r="H413" s="31"/>
    </row>
    <row r="414">
      <c r="H414" s="31"/>
    </row>
    <row r="415">
      <c r="H415" s="31"/>
    </row>
    <row r="416">
      <c r="H416" s="31"/>
    </row>
    <row r="417">
      <c r="H417" s="31"/>
    </row>
    <row r="418">
      <c r="H418" s="31"/>
    </row>
    <row r="419">
      <c r="H419" s="31"/>
    </row>
    <row r="420">
      <c r="H420" s="31"/>
    </row>
    <row r="421">
      <c r="H421" s="31"/>
    </row>
    <row r="422">
      <c r="H422" s="31"/>
    </row>
    <row r="423">
      <c r="H423" s="31"/>
    </row>
    <row r="424">
      <c r="H424" s="31"/>
    </row>
    <row r="425">
      <c r="H425" s="31"/>
    </row>
    <row r="426">
      <c r="H426" s="31"/>
    </row>
    <row r="427">
      <c r="H427" s="31"/>
    </row>
    <row r="428">
      <c r="H428" s="31"/>
    </row>
    <row r="429">
      <c r="H429" s="31"/>
    </row>
    <row r="430">
      <c r="H430" s="31"/>
    </row>
    <row r="431">
      <c r="H431" s="31"/>
    </row>
    <row r="432">
      <c r="H432" s="31"/>
    </row>
    <row r="433">
      <c r="H433" s="31"/>
    </row>
    <row r="434">
      <c r="H434" s="31"/>
    </row>
    <row r="435">
      <c r="H435" s="31"/>
    </row>
    <row r="436">
      <c r="H436" s="31"/>
    </row>
    <row r="437">
      <c r="H437" s="31"/>
    </row>
    <row r="438">
      <c r="H438" s="31"/>
    </row>
    <row r="439">
      <c r="H439" s="31"/>
    </row>
    <row r="440">
      <c r="H440" s="31"/>
    </row>
    <row r="441">
      <c r="H441" s="31"/>
    </row>
    <row r="442">
      <c r="H442" s="31"/>
    </row>
    <row r="443">
      <c r="H443" s="31"/>
    </row>
    <row r="444">
      <c r="H444" s="31"/>
    </row>
    <row r="445">
      <c r="H445" s="31"/>
    </row>
    <row r="446">
      <c r="H446" s="31"/>
    </row>
    <row r="447">
      <c r="H447" s="31"/>
    </row>
    <row r="448">
      <c r="H448" s="31"/>
    </row>
    <row r="449">
      <c r="H449" s="31"/>
    </row>
    <row r="450">
      <c r="H450" s="31"/>
    </row>
    <row r="451">
      <c r="H451" s="31"/>
    </row>
    <row r="452">
      <c r="H452" s="31"/>
    </row>
    <row r="453">
      <c r="H453" s="31"/>
    </row>
    <row r="454">
      <c r="H454" s="31"/>
    </row>
    <row r="455">
      <c r="H455" s="31"/>
    </row>
    <row r="456">
      <c r="H456" s="31"/>
    </row>
    <row r="457">
      <c r="H457" s="31"/>
    </row>
    <row r="458">
      <c r="H458" s="31"/>
    </row>
    <row r="459">
      <c r="H459" s="31"/>
    </row>
    <row r="460">
      <c r="H460" s="31"/>
    </row>
    <row r="461">
      <c r="H461" s="31"/>
    </row>
    <row r="462">
      <c r="H462" s="31"/>
    </row>
    <row r="463">
      <c r="H463" s="31"/>
    </row>
    <row r="464">
      <c r="H464" s="31"/>
    </row>
    <row r="465">
      <c r="H465" s="31"/>
    </row>
    <row r="466">
      <c r="H466" s="31"/>
    </row>
    <row r="467">
      <c r="H467" s="31"/>
    </row>
    <row r="468">
      <c r="H468" s="31"/>
    </row>
    <row r="469">
      <c r="H469" s="31"/>
    </row>
    <row r="470">
      <c r="H470" s="31"/>
    </row>
    <row r="471">
      <c r="H471" s="31"/>
    </row>
    <row r="472">
      <c r="H472" s="31"/>
    </row>
    <row r="473">
      <c r="H473" s="31"/>
    </row>
    <row r="474">
      <c r="H474" s="31"/>
    </row>
    <row r="475">
      <c r="H475" s="31"/>
    </row>
    <row r="476">
      <c r="H476" s="31"/>
    </row>
    <row r="477">
      <c r="H477" s="31"/>
    </row>
    <row r="478">
      <c r="H478" s="31"/>
    </row>
    <row r="479">
      <c r="H479" s="31"/>
    </row>
    <row r="480">
      <c r="H480" s="31"/>
    </row>
    <row r="481">
      <c r="H481" s="31"/>
    </row>
    <row r="482">
      <c r="H482" s="31"/>
    </row>
    <row r="483">
      <c r="H483" s="31"/>
    </row>
    <row r="484">
      <c r="H484" s="31"/>
    </row>
    <row r="485">
      <c r="H485" s="31"/>
    </row>
    <row r="486">
      <c r="H486" s="31"/>
    </row>
    <row r="487">
      <c r="H487" s="31"/>
    </row>
    <row r="488">
      <c r="H488" s="31"/>
    </row>
    <row r="489">
      <c r="H489" s="31"/>
    </row>
    <row r="490">
      <c r="H490" s="31"/>
    </row>
    <row r="491">
      <c r="H491" s="31"/>
    </row>
    <row r="492">
      <c r="H492" s="31"/>
    </row>
    <row r="493">
      <c r="H493" s="31"/>
    </row>
    <row r="494">
      <c r="H494" s="31"/>
    </row>
    <row r="495">
      <c r="H495" s="31"/>
    </row>
    <row r="496">
      <c r="H496" s="31"/>
    </row>
    <row r="497">
      <c r="H497" s="31"/>
    </row>
    <row r="498">
      <c r="H498" s="31"/>
    </row>
    <row r="499">
      <c r="H499" s="31"/>
    </row>
    <row r="500">
      <c r="H500" s="31"/>
    </row>
    <row r="501">
      <c r="H501" s="31"/>
    </row>
    <row r="502">
      <c r="H502" s="31"/>
    </row>
    <row r="503">
      <c r="H503" s="31"/>
    </row>
    <row r="504">
      <c r="H504" s="31"/>
    </row>
    <row r="505">
      <c r="H505" s="31"/>
    </row>
    <row r="506">
      <c r="H506" s="31"/>
    </row>
    <row r="507">
      <c r="H507" s="31"/>
    </row>
    <row r="508">
      <c r="H508" s="31"/>
    </row>
    <row r="509">
      <c r="H509" s="31"/>
    </row>
    <row r="510">
      <c r="H510" s="31"/>
    </row>
    <row r="511">
      <c r="H511" s="31"/>
    </row>
    <row r="512">
      <c r="H512" s="31"/>
    </row>
    <row r="513">
      <c r="H513" s="31"/>
    </row>
    <row r="514">
      <c r="H514" s="31"/>
    </row>
    <row r="515">
      <c r="H515" s="31"/>
    </row>
    <row r="516">
      <c r="H516" s="31"/>
    </row>
    <row r="517">
      <c r="H517" s="31"/>
    </row>
    <row r="518">
      <c r="H518" s="31"/>
    </row>
    <row r="519">
      <c r="H519" s="31"/>
    </row>
    <row r="520">
      <c r="H520" s="31"/>
    </row>
    <row r="521">
      <c r="H521" s="31"/>
    </row>
    <row r="522">
      <c r="H522" s="31"/>
    </row>
    <row r="523">
      <c r="H523" s="31"/>
    </row>
    <row r="524">
      <c r="H524" s="31"/>
    </row>
    <row r="525">
      <c r="H525" s="31"/>
    </row>
    <row r="526">
      <c r="H526" s="31"/>
    </row>
    <row r="527">
      <c r="H527" s="31"/>
    </row>
    <row r="528">
      <c r="H528" s="31"/>
    </row>
    <row r="529">
      <c r="H529" s="31"/>
    </row>
    <row r="530">
      <c r="H530" s="31"/>
    </row>
    <row r="531">
      <c r="H531" s="31"/>
    </row>
    <row r="532">
      <c r="H532" s="31"/>
    </row>
    <row r="533">
      <c r="H533" s="31"/>
    </row>
    <row r="534">
      <c r="H534" s="31"/>
    </row>
    <row r="535">
      <c r="H535" s="31"/>
    </row>
    <row r="536">
      <c r="H536" s="31"/>
    </row>
    <row r="537">
      <c r="H537" s="31"/>
    </row>
    <row r="538">
      <c r="H538" s="31"/>
    </row>
    <row r="539">
      <c r="H539" s="31"/>
    </row>
    <row r="540">
      <c r="H540" s="31"/>
    </row>
    <row r="541">
      <c r="H541" s="31"/>
    </row>
    <row r="542">
      <c r="H542" s="31"/>
    </row>
    <row r="543">
      <c r="H543" s="31"/>
    </row>
    <row r="544">
      <c r="H544" s="31"/>
    </row>
    <row r="545">
      <c r="H545" s="31"/>
    </row>
    <row r="546">
      <c r="H546" s="31"/>
    </row>
    <row r="547">
      <c r="H547" s="31"/>
    </row>
    <row r="548">
      <c r="H548" s="31"/>
    </row>
    <row r="549">
      <c r="H549" s="31"/>
    </row>
    <row r="550">
      <c r="H550" s="31"/>
    </row>
    <row r="551">
      <c r="H551" s="31"/>
    </row>
    <row r="552">
      <c r="H552" s="31"/>
    </row>
    <row r="553">
      <c r="H553" s="31"/>
    </row>
    <row r="554">
      <c r="H554" s="31"/>
    </row>
    <row r="555">
      <c r="H555" s="31"/>
    </row>
    <row r="556">
      <c r="H556" s="31"/>
    </row>
    <row r="557">
      <c r="H557" s="31"/>
    </row>
    <row r="558">
      <c r="H558" s="31"/>
    </row>
    <row r="559">
      <c r="H559" s="31"/>
    </row>
    <row r="560">
      <c r="H560" s="31"/>
    </row>
    <row r="561">
      <c r="H561" s="31"/>
    </row>
    <row r="562">
      <c r="H562" s="31"/>
    </row>
    <row r="563">
      <c r="H563" s="31"/>
    </row>
    <row r="564">
      <c r="H564" s="31"/>
    </row>
    <row r="565">
      <c r="H565" s="31"/>
    </row>
    <row r="566">
      <c r="H566" s="31"/>
    </row>
    <row r="567">
      <c r="H567" s="31"/>
    </row>
    <row r="568">
      <c r="H568" s="31"/>
    </row>
    <row r="569">
      <c r="H569" s="31"/>
    </row>
    <row r="570">
      <c r="H570" s="31"/>
    </row>
    <row r="571">
      <c r="H571" s="31"/>
    </row>
    <row r="572">
      <c r="H572" s="31"/>
    </row>
    <row r="573">
      <c r="H573" s="31"/>
    </row>
    <row r="574">
      <c r="H574" s="31"/>
    </row>
    <row r="575">
      <c r="H575" s="31"/>
    </row>
    <row r="576">
      <c r="H576" s="31"/>
    </row>
    <row r="577">
      <c r="H577" s="31"/>
    </row>
    <row r="578">
      <c r="H578" s="31"/>
    </row>
    <row r="579">
      <c r="H579" s="31"/>
    </row>
    <row r="580">
      <c r="H580" s="31"/>
    </row>
    <row r="581">
      <c r="H581" s="31"/>
    </row>
    <row r="582">
      <c r="H582" s="31"/>
    </row>
    <row r="583">
      <c r="H583" s="31"/>
    </row>
    <row r="584">
      <c r="H584" s="31"/>
    </row>
    <row r="585">
      <c r="H585" s="31"/>
    </row>
    <row r="586">
      <c r="H586" s="31"/>
    </row>
    <row r="587">
      <c r="H587" s="31"/>
    </row>
    <row r="588">
      <c r="H588" s="31"/>
    </row>
    <row r="589">
      <c r="H589" s="31"/>
    </row>
    <row r="590">
      <c r="H590" s="31"/>
    </row>
    <row r="591">
      <c r="H591" s="31"/>
    </row>
    <row r="592">
      <c r="H592" s="31"/>
    </row>
    <row r="593">
      <c r="H593" s="31"/>
    </row>
    <row r="594">
      <c r="H594" s="31"/>
    </row>
    <row r="595">
      <c r="H595" s="31"/>
    </row>
    <row r="596">
      <c r="H596" s="31"/>
    </row>
    <row r="597">
      <c r="H597" s="31"/>
    </row>
    <row r="598">
      <c r="H598" s="31"/>
    </row>
    <row r="599">
      <c r="H599" s="31"/>
    </row>
    <row r="600">
      <c r="H600" s="31"/>
    </row>
    <row r="601">
      <c r="H601" s="31"/>
    </row>
    <row r="602">
      <c r="H602" s="31"/>
    </row>
    <row r="603">
      <c r="H603" s="31"/>
    </row>
    <row r="604">
      <c r="H604" s="31"/>
    </row>
    <row r="605">
      <c r="H605" s="31"/>
    </row>
    <row r="606">
      <c r="H606" s="31"/>
    </row>
    <row r="607">
      <c r="H607" s="31"/>
    </row>
    <row r="608">
      <c r="H608" s="31"/>
    </row>
    <row r="609">
      <c r="H609" s="31"/>
    </row>
    <row r="610">
      <c r="H610" s="31"/>
    </row>
    <row r="611">
      <c r="H611" s="31"/>
    </row>
    <row r="612">
      <c r="H612" s="31"/>
    </row>
    <row r="613">
      <c r="H613" s="31"/>
    </row>
    <row r="614">
      <c r="H614" s="31"/>
    </row>
    <row r="615">
      <c r="H615" s="31"/>
    </row>
    <row r="616">
      <c r="H616" s="31"/>
    </row>
    <row r="617">
      <c r="H617" s="31"/>
    </row>
    <row r="618">
      <c r="H618" s="31"/>
    </row>
    <row r="619">
      <c r="H619" s="31"/>
    </row>
    <row r="620">
      <c r="H620" s="31"/>
    </row>
    <row r="621">
      <c r="H621" s="31"/>
    </row>
    <row r="622">
      <c r="H622" s="31"/>
    </row>
    <row r="623">
      <c r="H623" s="31"/>
    </row>
    <row r="624">
      <c r="H624" s="31"/>
    </row>
    <row r="625">
      <c r="H625" s="31"/>
    </row>
    <row r="626">
      <c r="H626" s="31"/>
    </row>
    <row r="627">
      <c r="H627" s="31"/>
    </row>
    <row r="628">
      <c r="H628" s="31"/>
    </row>
    <row r="629">
      <c r="H629" s="31"/>
    </row>
    <row r="630">
      <c r="H630" s="31"/>
    </row>
    <row r="631">
      <c r="H631" s="31"/>
    </row>
    <row r="632">
      <c r="H632" s="31"/>
    </row>
    <row r="633">
      <c r="H633" s="31"/>
    </row>
    <row r="634">
      <c r="H634" s="31"/>
    </row>
    <row r="635">
      <c r="H635" s="31"/>
    </row>
    <row r="636">
      <c r="H636" s="31"/>
    </row>
    <row r="637">
      <c r="H637" s="31"/>
    </row>
    <row r="638">
      <c r="H638" s="31"/>
    </row>
    <row r="639">
      <c r="H639" s="31"/>
    </row>
    <row r="640">
      <c r="H640" s="31"/>
    </row>
    <row r="641">
      <c r="H641" s="31"/>
    </row>
    <row r="642">
      <c r="H642" s="31"/>
    </row>
    <row r="643">
      <c r="H643" s="31"/>
    </row>
    <row r="644">
      <c r="H644" s="31"/>
    </row>
    <row r="645">
      <c r="H645" s="31"/>
    </row>
    <row r="646">
      <c r="H646" s="31"/>
    </row>
    <row r="647">
      <c r="H647" s="31"/>
    </row>
    <row r="648">
      <c r="H648" s="31"/>
    </row>
    <row r="649">
      <c r="H649" s="31"/>
    </row>
    <row r="650">
      <c r="H650" s="31"/>
    </row>
    <row r="651">
      <c r="H651" s="31"/>
    </row>
    <row r="652">
      <c r="H652" s="31"/>
    </row>
    <row r="653">
      <c r="H653" s="31"/>
    </row>
    <row r="654">
      <c r="H654" s="31"/>
    </row>
    <row r="655">
      <c r="H655" s="31"/>
    </row>
    <row r="656">
      <c r="H656" s="31"/>
    </row>
    <row r="657">
      <c r="H657" s="31"/>
    </row>
    <row r="658">
      <c r="H658" s="31"/>
    </row>
    <row r="659">
      <c r="H659" s="31"/>
    </row>
    <row r="660">
      <c r="H660" s="31"/>
    </row>
    <row r="661">
      <c r="H661" s="31"/>
    </row>
    <row r="662">
      <c r="H662" s="31"/>
    </row>
    <row r="663">
      <c r="H663" s="31"/>
    </row>
    <row r="664">
      <c r="H664" s="31"/>
    </row>
    <row r="665">
      <c r="H665" s="31"/>
    </row>
    <row r="666">
      <c r="H666" s="31"/>
    </row>
    <row r="667">
      <c r="H667" s="31"/>
    </row>
    <row r="668">
      <c r="H668" s="31"/>
    </row>
    <row r="669">
      <c r="H669" s="31"/>
    </row>
    <row r="670">
      <c r="H670" s="31"/>
    </row>
    <row r="671">
      <c r="H671" s="31"/>
    </row>
    <row r="672">
      <c r="H672" s="31"/>
    </row>
    <row r="673">
      <c r="H673" s="31"/>
    </row>
    <row r="674">
      <c r="H674" s="31"/>
    </row>
    <row r="675">
      <c r="H675" s="31"/>
    </row>
    <row r="676">
      <c r="H676" s="31"/>
    </row>
    <row r="677">
      <c r="H677" s="31"/>
    </row>
    <row r="678">
      <c r="H678" s="31"/>
    </row>
    <row r="679">
      <c r="H679" s="31"/>
    </row>
    <row r="680">
      <c r="H680" s="31"/>
    </row>
    <row r="681">
      <c r="H681" s="31"/>
    </row>
    <row r="682">
      <c r="H682" s="31"/>
    </row>
    <row r="683">
      <c r="H683" s="31"/>
    </row>
    <row r="684">
      <c r="H684" s="31"/>
    </row>
    <row r="685">
      <c r="H685" s="31"/>
    </row>
    <row r="686">
      <c r="H686" s="31"/>
    </row>
    <row r="687">
      <c r="H687" s="31"/>
    </row>
    <row r="688">
      <c r="H688" s="31"/>
    </row>
    <row r="689">
      <c r="H689" s="31"/>
    </row>
    <row r="690">
      <c r="H690" s="31"/>
    </row>
    <row r="691">
      <c r="H691" s="31"/>
    </row>
    <row r="692">
      <c r="H692" s="31"/>
    </row>
    <row r="693">
      <c r="H693" s="31"/>
    </row>
    <row r="694">
      <c r="H694" s="31"/>
    </row>
    <row r="695">
      <c r="H695" s="31"/>
    </row>
    <row r="696">
      <c r="H696" s="31"/>
    </row>
    <row r="697">
      <c r="H697" s="31"/>
    </row>
    <row r="698">
      <c r="H698" s="31"/>
    </row>
    <row r="699">
      <c r="H699" s="31"/>
    </row>
    <row r="700">
      <c r="H700" s="31"/>
    </row>
    <row r="701">
      <c r="H701" s="31"/>
    </row>
    <row r="702">
      <c r="H702" s="31"/>
    </row>
    <row r="703">
      <c r="H703" s="31"/>
    </row>
    <row r="704">
      <c r="H704" s="31"/>
    </row>
    <row r="705">
      <c r="H705" s="31"/>
    </row>
    <row r="706">
      <c r="H706" s="31"/>
    </row>
    <row r="707">
      <c r="H707" s="31"/>
    </row>
    <row r="708">
      <c r="H708" s="31"/>
    </row>
    <row r="709">
      <c r="H709" s="31"/>
    </row>
    <row r="710">
      <c r="H710" s="31"/>
    </row>
    <row r="711">
      <c r="H711" s="31"/>
    </row>
    <row r="712">
      <c r="H712" s="31"/>
    </row>
    <row r="713">
      <c r="H713" s="31"/>
    </row>
    <row r="714">
      <c r="H714" s="31"/>
    </row>
    <row r="715">
      <c r="H715" s="31"/>
    </row>
    <row r="716">
      <c r="H716" s="31"/>
    </row>
    <row r="717">
      <c r="H717" s="31"/>
    </row>
    <row r="718">
      <c r="H718" s="31"/>
    </row>
    <row r="719">
      <c r="H719" s="31"/>
    </row>
    <row r="720">
      <c r="H720" s="31"/>
    </row>
    <row r="721">
      <c r="H721" s="31"/>
    </row>
    <row r="722">
      <c r="H722" s="31"/>
    </row>
    <row r="723">
      <c r="H723" s="31"/>
    </row>
    <row r="724">
      <c r="H724" s="31"/>
    </row>
    <row r="725">
      <c r="H725" s="31"/>
    </row>
    <row r="726">
      <c r="H726" s="31"/>
    </row>
    <row r="727">
      <c r="H727" s="31"/>
    </row>
    <row r="728">
      <c r="H728" s="31"/>
    </row>
    <row r="729">
      <c r="H729" s="31"/>
    </row>
    <row r="730">
      <c r="H730" s="31"/>
    </row>
    <row r="731">
      <c r="H731" s="31"/>
    </row>
    <row r="732">
      <c r="H732" s="31"/>
    </row>
    <row r="733">
      <c r="H733" s="31"/>
    </row>
    <row r="734">
      <c r="H734" s="31"/>
    </row>
    <row r="735">
      <c r="H735" s="31"/>
    </row>
    <row r="736">
      <c r="H736" s="31"/>
    </row>
    <row r="737">
      <c r="H737" s="31"/>
    </row>
    <row r="738">
      <c r="H738" s="31"/>
    </row>
    <row r="739">
      <c r="H739" s="31"/>
    </row>
    <row r="740">
      <c r="H740" s="31"/>
    </row>
    <row r="741">
      <c r="H741" s="31"/>
    </row>
    <row r="742">
      <c r="H742" s="31"/>
    </row>
    <row r="743">
      <c r="H743" s="31"/>
    </row>
    <row r="744">
      <c r="H744" s="31"/>
    </row>
    <row r="745">
      <c r="H745" s="31"/>
    </row>
    <row r="746">
      <c r="H746" s="31"/>
    </row>
    <row r="747">
      <c r="H747" s="31"/>
    </row>
    <row r="748">
      <c r="H748" s="31"/>
    </row>
    <row r="749">
      <c r="H749" s="31"/>
    </row>
    <row r="750">
      <c r="H750" s="31"/>
    </row>
    <row r="751">
      <c r="H751" s="31"/>
    </row>
    <row r="752">
      <c r="H752" s="31"/>
    </row>
    <row r="753">
      <c r="H753" s="31"/>
    </row>
    <row r="754">
      <c r="H754" s="31"/>
    </row>
    <row r="755">
      <c r="H755" s="31"/>
    </row>
    <row r="756">
      <c r="H756" s="31"/>
    </row>
    <row r="757">
      <c r="H757" s="31"/>
    </row>
    <row r="758">
      <c r="H758" s="31"/>
    </row>
    <row r="759">
      <c r="H759" s="31"/>
    </row>
    <row r="760">
      <c r="H760" s="31"/>
    </row>
    <row r="761">
      <c r="H761" s="31"/>
    </row>
    <row r="762">
      <c r="H762" s="31"/>
    </row>
    <row r="763">
      <c r="H763" s="31"/>
    </row>
    <row r="764">
      <c r="H764" s="31"/>
    </row>
    <row r="765">
      <c r="H765" s="31"/>
    </row>
    <row r="766">
      <c r="H766" s="31"/>
    </row>
    <row r="767">
      <c r="H767" s="31"/>
    </row>
    <row r="768">
      <c r="H768" s="31"/>
    </row>
    <row r="769">
      <c r="H769" s="31"/>
    </row>
    <row r="770">
      <c r="H770" s="31"/>
    </row>
    <row r="771">
      <c r="H771" s="31"/>
    </row>
    <row r="772">
      <c r="H772" s="31"/>
    </row>
    <row r="773">
      <c r="H773" s="31"/>
    </row>
    <row r="774">
      <c r="H774" s="31"/>
    </row>
    <row r="775">
      <c r="H775" s="31"/>
    </row>
    <row r="776">
      <c r="H776" s="31"/>
    </row>
    <row r="777">
      <c r="H777" s="31"/>
    </row>
    <row r="778">
      <c r="H778" s="31"/>
    </row>
    <row r="779">
      <c r="H779" s="31"/>
    </row>
    <row r="780">
      <c r="H780" s="31"/>
    </row>
    <row r="781">
      <c r="H781" s="31"/>
    </row>
    <row r="782">
      <c r="H782" s="31"/>
    </row>
    <row r="783">
      <c r="H783" s="31"/>
    </row>
    <row r="784">
      <c r="H784" s="31"/>
    </row>
    <row r="785">
      <c r="H785" s="31"/>
    </row>
    <row r="786">
      <c r="H786" s="31"/>
    </row>
    <row r="787">
      <c r="H787" s="31"/>
    </row>
    <row r="788">
      <c r="H788" s="31"/>
    </row>
    <row r="789">
      <c r="H789" s="31"/>
    </row>
    <row r="790">
      <c r="H790" s="31"/>
    </row>
    <row r="791">
      <c r="H791" s="31"/>
    </row>
    <row r="792">
      <c r="H792" s="31"/>
    </row>
    <row r="793">
      <c r="H793" s="31"/>
    </row>
    <row r="794">
      <c r="H794" s="31"/>
    </row>
    <row r="795">
      <c r="H795" s="31"/>
    </row>
    <row r="796">
      <c r="H796" s="31"/>
    </row>
    <row r="797">
      <c r="H797" s="31"/>
    </row>
    <row r="798">
      <c r="H798" s="31"/>
    </row>
    <row r="799">
      <c r="H799" s="31"/>
    </row>
    <row r="800">
      <c r="H800" s="31"/>
    </row>
    <row r="801">
      <c r="H801" s="31"/>
    </row>
    <row r="802">
      <c r="H802" s="31"/>
    </row>
    <row r="803">
      <c r="H803" s="31"/>
    </row>
    <row r="804">
      <c r="H804" s="31"/>
    </row>
    <row r="805">
      <c r="H805" s="31"/>
    </row>
    <row r="806">
      <c r="H806" s="31"/>
    </row>
    <row r="807">
      <c r="H807" s="31"/>
    </row>
    <row r="808">
      <c r="H808" s="31"/>
    </row>
    <row r="809">
      <c r="H809" s="31"/>
    </row>
    <row r="810">
      <c r="H810" s="31"/>
    </row>
    <row r="811">
      <c r="H811" s="31"/>
    </row>
    <row r="812">
      <c r="H812" s="31"/>
    </row>
    <row r="813">
      <c r="H813" s="31"/>
    </row>
    <row r="814">
      <c r="H814" s="31"/>
    </row>
    <row r="815">
      <c r="H815" s="31"/>
    </row>
    <row r="816">
      <c r="H816" s="31"/>
    </row>
    <row r="817">
      <c r="H817" s="31"/>
    </row>
    <row r="818">
      <c r="H818" s="31"/>
    </row>
    <row r="819">
      <c r="H819" s="31"/>
    </row>
    <row r="820">
      <c r="H820" s="31"/>
    </row>
    <row r="821">
      <c r="H821" s="31"/>
    </row>
    <row r="822">
      <c r="H822" s="31"/>
    </row>
    <row r="823">
      <c r="H823" s="31"/>
    </row>
    <row r="824">
      <c r="H824" s="31"/>
    </row>
    <row r="825">
      <c r="H825" s="31"/>
    </row>
    <row r="826">
      <c r="H826" s="31"/>
    </row>
    <row r="827">
      <c r="H827" s="31"/>
    </row>
    <row r="828">
      <c r="H828" s="31"/>
    </row>
    <row r="829">
      <c r="H829" s="31"/>
    </row>
    <row r="830">
      <c r="H830" s="31"/>
    </row>
    <row r="831">
      <c r="H831" s="31"/>
    </row>
    <row r="832">
      <c r="H832" s="31"/>
    </row>
    <row r="833">
      <c r="H833" s="31"/>
    </row>
    <row r="834">
      <c r="H834" s="31"/>
    </row>
    <row r="835">
      <c r="H835" s="31"/>
    </row>
    <row r="836">
      <c r="H836" s="31"/>
    </row>
    <row r="837">
      <c r="H837" s="31"/>
    </row>
    <row r="838">
      <c r="H838" s="31"/>
    </row>
    <row r="839">
      <c r="H839" s="31"/>
    </row>
    <row r="840">
      <c r="H840" s="31"/>
    </row>
    <row r="841">
      <c r="H841" s="31"/>
    </row>
    <row r="842">
      <c r="H842" s="31"/>
    </row>
    <row r="843">
      <c r="H843" s="31"/>
    </row>
    <row r="844">
      <c r="H844" s="31"/>
    </row>
    <row r="845">
      <c r="H845" s="31"/>
    </row>
    <row r="846">
      <c r="H846" s="31"/>
    </row>
    <row r="847">
      <c r="H847" s="31"/>
    </row>
    <row r="848">
      <c r="H848" s="31"/>
    </row>
    <row r="849">
      <c r="H849" s="31"/>
    </row>
    <row r="850">
      <c r="H850" s="31"/>
    </row>
    <row r="851">
      <c r="H851" s="31"/>
    </row>
    <row r="852">
      <c r="H852" s="31"/>
    </row>
    <row r="853">
      <c r="H853" s="31"/>
    </row>
    <row r="854">
      <c r="H854" s="31"/>
    </row>
    <row r="855">
      <c r="H855" s="31"/>
    </row>
    <row r="856">
      <c r="H856" s="31"/>
    </row>
    <row r="857">
      <c r="H857" s="31"/>
    </row>
    <row r="858">
      <c r="H858" s="31"/>
    </row>
    <row r="859">
      <c r="H859" s="31"/>
    </row>
    <row r="860">
      <c r="H860" s="31"/>
    </row>
    <row r="861">
      <c r="H861" s="31"/>
    </row>
    <row r="862">
      <c r="H862" s="31"/>
    </row>
    <row r="863">
      <c r="H863" s="31"/>
    </row>
    <row r="864">
      <c r="H864" s="31"/>
    </row>
    <row r="865">
      <c r="H865" s="31"/>
    </row>
    <row r="866">
      <c r="H866" s="31"/>
    </row>
    <row r="867">
      <c r="H867" s="31"/>
    </row>
    <row r="868">
      <c r="H868" s="31"/>
    </row>
    <row r="869">
      <c r="H869" s="31"/>
    </row>
    <row r="870">
      <c r="H870" s="31"/>
    </row>
    <row r="871">
      <c r="H871" s="31"/>
    </row>
    <row r="872">
      <c r="H872" s="31"/>
    </row>
    <row r="873">
      <c r="H873" s="31"/>
    </row>
    <row r="874">
      <c r="H874" s="31"/>
    </row>
    <row r="875">
      <c r="H875" s="31"/>
    </row>
    <row r="876">
      <c r="H876" s="31"/>
    </row>
    <row r="877">
      <c r="H877" s="31"/>
    </row>
    <row r="878">
      <c r="H878" s="31"/>
    </row>
    <row r="879">
      <c r="H879" s="31"/>
    </row>
    <row r="880">
      <c r="H880" s="31"/>
    </row>
    <row r="881">
      <c r="H881" s="31"/>
    </row>
    <row r="882">
      <c r="H882" s="31"/>
    </row>
    <row r="883">
      <c r="H883" s="31"/>
    </row>
    <row r="884">
      <c r="H884" s="31"/>
    </row>
    <row r="885">
      <c r="H885" s="31"/>
    </row>
    <row r="886">
      <c r="H886" s="31"/>
    </row>
    <row r="887">
      <c r="H887" s="31"/>
    </row>
    <row r="888">
      <c r="H888" s="31"/>
    </row>
    <row r="889">
      <c r="H889" s="31"/>
    </row>
    <row r="890">
      <c r="H890" s="31"/>
    </row>
    <row r="891">
      <c r="H891" s="31"/>
    </row>
    <row r="892">
      <c r="H892" s="31"/>
    </row>
    <row r="893">
      <c r="H893" s="31"/>
    </row>
    <row r="894">
      <c r="H894" s="31"/>
    </row>
    <row r="895">
      <c r="H895" s="31"/>
    </row>
    <row r="896">
      <c r="H896" s="31"/>
    </row>
    <row r="897">
      <c r="H897" s="31"/>
    </row>
    <row r="898">
      <c r="H898" s="31"/>
    </row>
    <row r="899">
      <c r="H899" s="31"/>
    </row>
    <row r="900">
      <c r="H900" s="31"/>
    </row>
    <row r="901">
      <c r="H901" s="31"/>
    </row>
    <row r="902">
      <c r="H902" s="31"/>
    </row>
    <row r="903">
      <c r="H903" s="31"/>
    </row>
    <row r="904">
      <c r="H904" s="31"/>
    </row>
    <row r="905">
      <c r="H905" s="31"/>
    </row>
    <row r="906">
      <c r="H906" s="31"/>
    </row>
    <row r="907">
      <c r="H907" s="31"/>
    </row>
    <row r="908">
      <c r="H908" s="31"/>
    </row>
    <row r="909">
      <c r="H909" s="31"/>
    </row>
    <row r="910">
      <c r="H910" s="31"/>
    </row>
    <row r="911">
      <c r="H911" s="31"/>
    </row>
    <row r="912">
      <c r="H912" s="31"/>
    </row>
    <row r="913">
      <c r="H913" s="31"/>
    </row>
    <row r="914">
      <c r="H914" s="31"/>
    </row>
    <row r="915">
      <c r="H915" s="31"/>
    </row>
    <row r="916">
      <c r="H916" s="31"/>
    </row>
    <row r="917">
      <c r="H917" s="31"/>
    </row>
    <row r="918">
      <c r="H918" s="31"/>
    </row>
    <row r="919">
      <c r="H919" s="31"/>
    </row>
    <row r="920">
      <c r="H920" s="31"/>
    </row>
    <row r="921">
      <c r="H921" s="31"/>
    </row>
    <row r="922">
      <c r="H922" s="31"/>
    </row>
    <row r="923">
      <c r="H923" s="31"/>
    </row>
    <row r="924">
      <c r="H924" s="31"/>
    </row>
    <row r="925">
      <c r="H925" s="31"/>
    </row>
    <row r="926">
      <c r="H926" s="31"/>
    </row>
    <row r="927">
      <c r="H927" s="31"/>
    </row>
    <row r="928">
      <c r="H928" s="31"/>
    </row>
    <row r="929">
      <c r="H929" s="31"/>
    </row>
    <row r="930">
      <c r="H930" s="31"/>
    </row>
    <row r="931">
      <c r="H931" s="31"/>
    </row>
    <row r="932">
      <c r="H932" s="31"/>
    </row>
    <row r="933">
      <c r="H933" s="31"/>
    </row>
    <row r="934">
      <c r="H934" s="31"/>
    </row>
    <row r="935">
      <c r="H935" s="31"/>
    </row>
    <row r="936">
      <c r="H936" s="31"/>
    </row>
    <row r="937">
      <c r="H937" s="31"/>
    </row>
    <row r="938">
      <c r="H938" s="31"/>
    </row>
    <row r="939">
      <c r="H939" s="31"/>
    </row>
    <row r="940">
      <c r="H940" s="31"/>
    </row>
    <row r="941">
      <c r="H941" s="31"/>
    </row>
    <row r="942">
      <c r="H942" s="31"/>
    </row>
    <row r="943">
      <c r="H943" s="31"/>
    </row>
    <row r="944">
      <c r="H944" s="31"/>
    </row>
    <row r="945">
      <c r="H945" s="31"/>
    </row>
    <row r="946">
      <c r="H946" s="31"/>
    </row>
    <row r="947">
      <c r="H947" s="31"/>
    </row>
    <row r="948">
      <c r="H948" s="31"/>
    </row>
    <row r="949">
      <c r="H949" s="31"/>
    </row>
    <row r="950">
      <c r="H950" s="31"/>
    </row>
    <row r="951">
      <c r="H951" s="31"/>
    </row>
    <row r="952">
      <c r="H952" s="31"/>
    </row>
    <row r="953">
      <c r="H953" s="31"/>
    </row>
    <row r="954">
      <c r="H954" s="31"/>
    </row>
    <row r="955">
      <c r="H955" s="31"/>
    </row>
    <row r="956">
      <c r="H956" s="31"/>
    </row>
    <row r="957">
      <c r="H957" s="31"/>
    </row>
    <row r="958">
      <c r="H958" s="31"/>
    </row>
    <row r="959">
      <c r="H959" s="31"/>
    </row>
    <row r="960">
      <c r="H960" s="31"/>
    </row>
    <row r="961">
      <c r="H961" s="31"/>
    </row>
    <row r="962">
      <c r="H962" s="31"/>
    </row>
    <row r="963">
      <c r="H963" s="31"/>
    </row>
    <row r="964">
      <c r="H964" s="31"/>
    </row>
    <row r="965">
      <c r="H965" s="31"/>
    </row>
    <row r="966">
      <c r="H966" s="31"/>
    </row>
    <row r="967">
      <c r="H967" s="31"/>
    </row>
    <row r="968">
      <c r="H968" s="31"/>
    </row>
    <row r="969">
      <c r="H969" s="31"/>
    </row>
    <row r="970">
      <c r="H970" s="31"/>
    </row>
    <row r="971">
      <c r="H971" s="31"/>
    </row>
    <row r="972">
      <c r="H972" s="31"/>
    </row>
    <row r="973">
      <c r="H973" s="31"/>
    </row>
    <row r="974">
      <c r="H974" s="31"/>
    </row>
    <row r="975">
      <c r="H975" s="31"/>
    </row>
    <row r="976">
      <c r="H976" s="31"/>
    </row>
    <row r="977">
      <c r="H977" s="31"/>
    </row>
    <row r="978">
      <c r="H978" s="31"/>
    </row>
    <row r="979">
      <c r="H979" s="31"/>
    </row>
    <row r="980">
      <c r="H980" s="31"/>
    </row>
    <row r="981">
      <c r="H981" s="31"/>
    </row>
    <row r="982">
      <c r="H982" s="31"/>
    </row>
    <row r="983">
      <c r="H983" s="31"/>
    </row>
    <row r="984">
      <c r="H984" s="31"/>
    </row>
    <row r="985">
      <c r="H985" s="31"/>
    </row>
    <row r="986">
      <c r="H986" s="31"/>
    </row>
    <row r="987">
      <c r="H987" s="31"/>
    </row>
    <row r="988">
      <c r="H988" s="31"/>
    </row>
    <row r="989">
      <c r="H989" s="31"/>
    </row>
    <row r="990">
      <c r="H990" s="31"/>
    </row>
    <row r="991">
      <c r="H991" s="31"/>
    </row>
    <row r="992">
      <c r="H992" s="31"/>
    </row>
    <row r="993">
      <c r="H993" s="31"/>
    </row>
    <row r="994">
      <c r="H994" s="31"/>
    </row>
    <row r="995">
      <c r="H995" s="31"/>
    </row>
  </sheetData>
  <mergeCells count="5">
    <mergeCell ref="A1:A2"/>
    <mergeCell ref="B1:B2"/>
    <mergeCell ref="C1:C2"/>
    <mergeCell ref="D1:D2"/>
    <mergeCell ref="E1:E2"/>
  </mergeCells>
  <conditionalFormatting sqref="F3:AO34 AP3:AY28">
    <cfRule type="cellIs" dxfId="3" priority="1" operator="equal">
      <formula>1</formula>
    </cfRule>
  </conditionalFormatting>
  <conditionalFormatting sqref="F3:AO34 AP33:AY33">
    <cfRule type="cellIs" dxfId="4" priority="2" operator="equal">
      <formula>"R"</formula>
    </cfRule>
  </conditionalFormatting>
  <conditionalFormatting sqref="B3:B28 C3:C34 B33">
    <cfRule type="cellIs" dxfId="5" priority="3" operator="greaterThanOrEqual">
      <formula>3</formula>
    </cfRule>
  </conditionalFormatting>
  <conditionalFormatting sqref="B3:B28 B33">
    <cfRule type="cellIs" dxfId="6" priority="4" operator="lessThan">
      <formula>1</formula>
    </cfRule>
  </conditionalFormatting>
  <conditionalFormatting sqref="B3:B29 C3:C37 B33">
    <cfRule type="cellIs" dxfId="7" priority="5" operator="equal">
      <formula>0</formula>
    </cfRule>
  </conditionalFormatting>
  <conditionalFormatting sqref="B3:B28 C3:C34 B33">
    <cfRule type="cellIs" dxfId="8" priority="6" operator="lessThan">
      <formula>2</formula>
    </cfRule>
  </conditionalFormatting>
  <conditionalFormatting sqref="B3:B28 C3:C34 B33">
    <cfRule type="cellIs" dxfId="9" priority="7" operator="lessThan">
      <formula>3</formula>
    </cfRule>
  </conditionalFormatting>
  <conditionalFormatting sqref="B3:B29 C3:C37 B33">
    <cfRule type="containsBlanks" dxfId="6" priority="8">
      <formula>LEN(TRIM(B3))=0</formula>
    </cfRule>
  </conditionalFormatting>
  <conditionalFormatting sqref="F3:AO34 AP33:AY33">
    <cfRule type="cellIs" dxfId="10" priority="9" operator="equal">
      <formula>"R2"</formula>
    </cfRule>
  </conditionalFormatting>
  <conditionalFormatting sqref="AP29:AY29 F35:AO35">
    <cfRule type="cellIs" dxfId="7" priority="10" operator="lessThan">
      <formula>1</formula>
    </cfRule>
  </conditionalFormatting>
  <conditionalFormatting sqref="AP29:AY29 F35:AO35">
    <cfRule type="cellIs" dxfId="3" priority="11" operator="equal">
      <formula>1</formula>
    </cfRule>
  </conditionalFormatting>
  <conditionalFormatting sqref="AP29:AY29 F35:AO35">
    <cfRule type="cellIs" dxfId="11" priority="12" operator="greaterThan">
      <formula>1</formula>
    </cfRule>
  </conditionalFormatting>
  <conditionalFormatting sqref="D3:E37">
    <cfRule type="cellIs" dxfId="9" priority="13" operator="equal">
      <formula>1</formula>
    </cfRule>
  </conditionalFormatting>
  <conditionalFormatting sqref="F30:AY32 F34:AY37">
    <cfRule type="cellIs" dxfId="7" priority="14" operator="lessThan">
      <formula>1</formula>
    </cfRule>
  </conditionalFormatting>
  <conditionalFormatting sqref="F30:AY32 F34:AY37">
    <cfRule type="cellIs" dxfId="12" priority="15" operator="equal">
      <formula>1</formula>
    </cfRule>
  </conditionalFormatting>
  <conditionalFormatting sqref="F30:AY32 F34:AY37">
    <cfRule type="cellIs" dxfId="11" priority="16" operator="greaterThan">
      <formula>1</formula>
    </cfRule>
  </conditionalFormatting>
  <conditionalFormatting sqref="D3:D37">
    <cfRule type="cellIs" dxfId="7" priority="17" operator="equal">
      <formula>0</formula>
    </cfRule>
  </conditionalFormatting>
  <conditionalFormatting sqref="D3:D37">
    <cfRule type="cellIs" dxfId="4" priority="18" operator="equal">
      <formula>2</formula>
    </cfRule>
  </conditionalFormatting>
  <conditionalFormatting sqref="E3:E37">
    <cfRule type="cellIs" dxfId="7" priority="19" operator="equal">
      <formula>0</formula>
    </cfRule>
  </conditionalFormatting>
  <conditionalFormatting sqref="E3:E37">
    <cfRule type="cellIs" dxfId="4" priority="20" operator="greaterThanOrEqual">
      <formula>2</formula>
    </cfRule>
  </conditionalFormatting>
  <conditionalFormatting sqref="C40">
    <cfRule type="notContainsBlanks" dxfId="3" priority="21">
      <formula>LEN(TRIM(C40))&gt;0</formula>
    </cfRule>
  </conditionalFormatting>
  <conditionalFormatting sqref="AS2:AY2">
    <cfRule type="containsText" dxfId="13" priority="22" operator="containsText" text="(PAM)">
      <formula>NOT(ISERROR(SEARCH(("(PAM)"),(AS2))))</formula>
    </cfRule>
  </conditionalFormatting>
  <conditionalFormatting sqref="AS2:AY2">
    <cfRule type="containsText" dxfId="13" priority="23" operator="containsText" text="(PPM)">
      <formula>NOT(ISERROR(SEARCH(("(PPM)"),(AS2))))</formula>
    </cfRule>
  </conditionalFormatting>
  <conditionalFormatting sqref="F2:AY2">
    <cfRule type="containsText" dxfId="13" priority="24" operator="containsText" text="PAM">
      <formula>NOT(ISERROR(SEARCH(("PAM"),(F2))))</formula>
    </cfRule>
  </conditionalFormatting>
  <conditionalFormatting sqref="F2:AY2">
    <cfRule type="containsText" dxfId="13" priority="25" operator="containsText" text="PPM">
      <formula>NOT(ISERROR(SEARCH(("PPM"),(F2))))</formula>
    </cfRule>
  </conditionalFormatting>
  <conditionalFormatting sqref="F2:AY2">
    <cfRule type="containsText" dxfId="11" priority="26" operator="containsText" text="(AM)">
      <formula>NOT(ISERROR(SEARCH(("(AM)"),(F2))))</formula>
    </cfRule>
  </conditionalFormatting>
  <conditionalFormatting sqref="F2:AY2">
    <cfRule type="containsText" dxfId="7" priority="27" operator="containsText" text="(PM)">
      <formula>NOT(ISERROR(SEARCH(("(PM)"),(F2))))</formula>
    </cfRule>
  </conditionalFormatting>
  <conditionalFormatting sqref="F2:AY2">
    <cfRule type="notContainsText" dxfId="15" priority="28" operator="notContains" text="(AM)">
      <formula>ISERROR(SEARCH(("(AM)"),(F2)))</formula>
    </cfRule>
  </conditionalFormatting>
  <conditionalFormatting sqref="F2:AY2">
    <cfRule type="notContainsText" dxfId="15" priority="29" operator="notContains" text="(PM)">
      <formula>ISERROR(SEARCH(("(PM)"),(F2)))</formula>
    </cfRule>
  </conditionalFormatting>
  <conditionalFormatting sqref="F2:AY2">
    <cfRule type="notContainsText" dxfId="15" priority="30" operator="notContains" text="(PM)">
      <formula>ISERROR(SEARCH(("(PM)"),(F2)))</formula>
    </cfRule>
  </conditionalFormatting>
  <dataValidations>
    <dataValidation type="list" allowBlank="1" showErrorMessage="1" sqref="A3:A28 A33">
      <formula1>'Personnel List'!$D$2:$D$31</formula1>
    </dataValidation>
  </dataValidations>
  <drawing r:id="rId2"/>
  <legacy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14.63"/>
    <col customWidth="1" hidden="1" min="2" max="2" width="11.38"/>
    <col customWidth="1" min="4" max="4" width="14.13"/>
    <col customWidth="1" min="6" max="9" width="8.63"/>
    <col customWidth="1" min="10" max="10" width="8.38"/>
    <col customWidth="1" min="11" max="11" width="8.25"/>
    <col customWidth="1" min="12" max="44" width="8.63"/>
    <col customWidth="1" min="45" max="47" width="9.5"/>
    <col customWidth="1" hidden="1" min="48" max="51" width="9.5"/>
  </cols>
  <sheetData>
    <row r="1">
      <c r="A1" s="1" t="s">
        <v>0</v>
      </c>
      <c r="B1" s="1" t="s">
        <v>1</v>
      </c>
      <c r="C1" s="1" t="s">
        <v>2</v>
      </c>
      <c r="D1" s="1" t="s">
        <v>3</v>
      </c>
      <c r="E1" s="1" t="s">
        <v>4</v>
      </c>
      <c r="F1" s="2" t="s">
        <v>235</v>
      </c>
      <c r="G1" s="2" t="s">
        <v>6</v>
      </c>
      <c r="H1" s="54" t="s">
        <v>7</v>
      </c>
      <c r="I1" s="54" t="s">
        <v>8</v>
      </c>
      <c r="J1" s="74" t="s">
        <v>9</v>
      </c>
      <c r="K1" s="74" t="s">
        <v>10</v>
      </c>
      <c r="L1" s="54" t="s">
        <v>11</v>
      </c>
      <c r="M1" s="54" t="s">
        <v>12</v>
      </c>
      <c r="N1" s="55" t="s">
        <v>13</v>
      </c>
      <c r="O1" s="55" t="s">
        <v>5</v>
      </c>
      <c r="P1" s="54" t="s">
        <v>6</v>
      </c>
      <c r="Q1" s="55" t="s">
        <v>7</v>
      </c>
      <c r="R1" s="55" t="s">
        <v>8</v>
      </c>
      <c r="S1" s="55" t="s">
        <v>9</v>
      </c>
      <c r="T1" s="55" t="s">
        <v>10</v>
      </c>
      <c r="U1" s="54" t="s">
        <v>11</v>
      </c>
      <c r="V1" s="54" t="s">
        <v>12</v>
      </c>
      <c r="W1" s="55" t="s">
        <v>13</v>
      </c>
      <c r="X1" s="55" t="s">
        <v>5</v>
      </c>
      <c r="Y1" s="55" t="s">
        <v>6</v>
      </c>
      <c r="Z1" s="55" t="s">
        <v>7</v>
      </c>
      <c r="AA1" s="55" t="s">
        <v>8</v>
      </c>
      <c r="AB1" s="55" t="s">
        <v>9</v>
      </c>
      <c r="AC1" s="55" t="s">
        <v>10</v>
      </c>
      <c r="AD1" s="55" t="s">
        <v>11</v>
      </c>
      <c r="AE1" s="55" t="s">
        <v>12</v>
      </c>
      <c r="AF1" s="55" t="s">
        <v>13</v>
      </c>
      <c r="AG1" s="55" t="s">
        <v>5</v>
      </c>
      <c r="AH1" s="55" t="s">
        <v>6</v>
      </c>
      <c r="AI1" s="55" t="s">
        <v>7</v>
      </c>
      <c r="AJ1" s="55" t="s">
        <v>8</v>
      </c>
      <c r="AK1" s="55" t="s">
        <v>9</v>
      </c>
      <c r="AL1" s="55" t="s">
        <v>10</v>
      </c>
      <c r="AM1" s="55" t="s">
        <v>11</v>
      </c>
      <c r="AN1" s="55" t="s">
        <v>12</v>
      </c>
      <c r="AO1" s="55" t="s">
        <v>13</v>
      </c>
      <c r="AP1" s="55" t="s">
        <v>5</v>
      </c>
      <c r="AQ1" s="55" t="s">
        <v>6</v>
      </c>
      <c r="AR1" s="55" t="s">
        <v>7</v>
      </c>
      <c r="AS1" s="55" t="s">
        <v>8</v>
      </c>
      <c r="AT1" s="4" t="s">
        <v>293</v>
      </c>
      <c r="AU1" s="4" t="s">
        <v>294</v>
      </c>
      <c r="AV1" s="55" t="s">
        <v>5</v>
      </c>
      <c r="AW1" s="55" t="s">
        <v>6</v>
      </c>
      <c r="AX1" s="55" t="s">
        <v>7</v>
      </c>
      <c r="AY1" s="55" t="s">
        <v>8</v>
      </c>
    </row>
    <row r="2">
      <c r="F2" s="65" t="s">
        <v>295</v>
      </c>
      <c r="G2" s="65" t="s">
        <v>296</v>
      </c>
      <c r="H2" s="65" t="s">
        <v>297</v>
      </c>
      <c r="I2" s="65" t="s">
        <v>298</v>
      </c>
      <c r="J2" s="56">
        <v>45719.0</v>
      </c>
      <c r="K2" s="56">
        <v>45720.0</v>
      </c>
      <c r="L2" s="56">
        <v>45721.0</v>
      </c>
      <c r="M2" s="56">
        <v>45722.0</v>
      </c>
      <c r="N2" s="81">
        <v>45723.0</v>
      </c>
      <c r="O2" s="82" t="s">
        <v>299</v>
      </c>
      <c r="P2" s="82" t="s">
        <v>300</v>
      </c>
      <c r="Q2" s="82" t="s">
        <v>301</v>
      </c>
      <c r="R2" s="82" t="s">
        <v>302</v>
      </c>
      <c r="S2" s="38">
        <v>45726.0</v>
      </c>
      <c r="T2" s="38">
        <v>45727.0</v>
      </c>
      <c r="U2" s="38">
        <v>45728.0</v>
      </c>
      <c r="V2" s="38">
        <v>45729.0</v>
      </c>
      <c r="W2" s="38">
        <v>45730.0</v>
      </c>
      <c r="X2" s="51" t="s">
        <v>303</v>
      </c>
      <c r="Y2" s="51" t="s">
        <v>304</v>
      </c>
      <c r="Z2" s="51" t="s">
        <v>305</v>
      </c>
      <c r="AA2" s="51" t="s">
        <v>306</v>
      </c>
      <c r="AB2" s="38">
        <v>45733.0</v>
      </c>
      <c r="AC2" s="38">
        <v>45734.0</v>
      </c>
      <c r="AD2" s="38">
        <v>45735.0</v>
      </c>
      <c r="AE2" s="38">
        <v>45736.0</v>
      </c>
      <c r="AF2" s="38">
        <v>45737.0</v>
      </c>
      <c r="AG2" s="51" t="s">
        <v>307</v>
      </c>
      <c r="AH2" s="51" t="s">
        <v>308</v>
      </c>
      <c r="AI2" s="51" t="s">
        <v>309</v>
      </c>
      <c r="AJ2" s="51" t="s">
        <v>310</v>
      </c>
      <c r="AK2" s="38">
        <v>45740.0</v>
      </c>
      <c r="AL2" s="38">
        <v>45741.0</v>
      </c>
      <c r="AM2" s="38">
        <v>45742.0</v>
      </c>
      <c r="AN2" s="38">
        <v>45743.0</v>
      </c>
      <c r="AO2" s="38">
        <v>45744.0</v>
      </c>
      <c r="AP2" s="51" t="s">
        <v>311</v>
      </c>
      <c r="AQ2" s="51" t="s">
        <v>312</v>
      </c>
      <c r="AR2" s="51" t="s">
        <v>313</v>
      </c>
      <c r="AS2" s="51" t="s">
        <v>314</v>
      </c>
      <c r="AT2" s="51" t="s">
        <v>315</v>
      </c>
      <c r="AU2" s="51" t="s">
        <v>316</v>
      </c>
      <c r="AV2" s="51" t="s">
        <v>250</v>
      </c>
      <c r="AW2" s="51" t="s">
        <v>251</v>
      </c>
      <c r="AX2" s="51" t="s">
        <v>252</v>
      </c>
      <c r="AY2" s="51" t="s">
        <v>253</v>
      </c>
    </row>
    <row r="3">
      <c r="A3" s="39" t="s">
        <v>226</v>
      </c>
      <c r="B3" s="40">
        <f t="shared" ref="B3:B5" si="1">SUM(C3:D3)</f>
        <v>3</v>
      </c>
      <c r="C3" s="10">
        <f t="shared" ref="C3:C37" si="2">SUM(F3:AU3)</f>
        <v>2</v>
      </c>
      <c r="D3" s="11">
        <f t="array" ref="D3">SUM(IF(F3:AU3="R",1,0))</f>
        <v>1</v>
      </c>
      <c r="E3" s="11">
        <f t="array" ref="E3">SUM(IF(F3:AU3="R2",1,0))</f>
        <v>2</v>
      </c>
      <c r="F3" s="59"/>
      <c r="G3" s="59"/>
      <c r="I3" s="17" t="s">
        <v>40</v>
      </c>
      <c r="K3" s="16"/>
      <c r="L3" s="16"/>
      <c r="M3" s="17" t="s">
        <v>40</v>
      </c>
      <c r="N3" s="16"/>
      <c r="O3" s="16"/>
      <c r="P3" s="16"/>
      <c r="Q3" s="83"/>
      <c r="R3" s="83"/>
      <c r="S3" s="67"/>
      <c r="T3" s="17" t="s">
        <v>39</v>
      </c>
      <c r="W3" s="17">
        <v>1.0</v>
      </c>
      <c r="AJ3" s="17">
        <v>1.0</v>
      </c>
    </row>
    <row r="4">
      <c r="A4" s="14" t="s">
        <v>283</v>
      </c>
      <c r="B4" s="10">
        <f t="shared" si="1"/>
        <v>3</v>
      </c>
      <c r="C4" s="10">
        <f t="shared" si="2"/>
        <v>1</v>
      </c>
      <c r="D4" s="11">
        <f t="array" ref="D4">SUM(IF(F4:AU4="R",1,0))</f>
        <v>2</v>
      </c>
      <c r="E4" s="11">
        <f t="array" ref="E4">SUM(IF(F4:AU4="R2",1,0))</f>
        <v>2</v>
      </c>
      <c r="K4" s="16"/>
      <c r="L4" s="16"/>
      <c r="M4" s="16"/>
      <c r="N4" s="60"/>
      <c r="O4" s="16"/>
      <c r="P4" s="16"/>
      <c r="Z4" s="17">
        <v>1.0</v>
      </c>
      <c r="AG4" s="17" t="s">
        <v>39</v>
      </c>
      <c r="AJ4" s="17" t="s">
        <v>39</v>
      </c>
      <c r="AM4" s="17" t="s">
        <v>40</v>
      </c>
      <c r="AQ4" s="17" t="s">
        <v>40</v>
      </c>
    </row>
    <row r="5">
      <c r="A5" s="14" t="s">
        <v>44</v>
      </c>
      <c r="B5" s="10">
        <f t="shared" si="1"/>
        <v>3</v>
      </c>
      <c r="C5" s="10">
        <f t="shared" si="2"/>
        <v>1</v>
      </c>
      <c r="D5" s="11">
        <f t="array" ref="D5">SUM(IF(F5:AU5="R",1,0))</f>
        <v>2</v>
      </c>
      <c r="E5" s="11">
        <f t="array" ref="E5">SUM(IF(F5:AU5="R2",1,0))</f>
        <v>2</v>
      </c>
      <c r="K5" s="16"/>
      <c r="L5" s="16"/>
      <c r="M5" s="16"/>
      <c r="N5" s="16"/>
      <c r="O5" s="60"/>
      <c r="P5" s="16"/>
      <c r="Q5" s="21">
        <v>1.0</v>
      </c>
      <c r="R5" s="78"/>
      <c r="S5" s="17"/>
      <c r="Z5" s="17" t="s">
        <v>40</v>
      </c>
      <c r="AH5" s="17" t="s">
        <v>63</v>
      </c>
      <c r="AK5" s="17" t="s">
        <v>63</v>
      </c>
      <c r="AO5" s="17" t="s">
        <v>62</v>
      </c>
    </row>
    <row r="6" hidden="1">
      <c r="A6" s="14" t="s">
        <v>284</v>
      </c>
      <c r="B6" s="10"/>
      <c r="C6" s="10">
        <f t="shared" si="2"/>
        <v>0</v>
      </c>
      <c r="D6" s="11">
        <f t="array" ref="D6">SUM(IF(F6:AU6="R",1,0))</f>
        <v>0</v>
      </c>
      <c r="E6" s="11">
        <f t="array" ref="E6">SUM(IF(F6:AU6="R2",1,0))</f>
        <v>0</v>
      </c>
    </row>
    <row r="7">
      <c r="A7" s="14" t="s">
        <v>285</v>
      </c>
      <c r="B7" s="10">
        <f t="shared" ref="B7:B9" si="3">SUM(C7:D7)</f>
        <v>4</v>
      </c>
      <c r="C7" s="10">
        <f t="shared" si="2"/>
        <v>2</v>
      </c>
      <c r="D7" s="11">
        <f t="array" ref="D7">SUM(IF(F7:AU7="R",1,0))</f>
        <v>2</v>
      </c>
      <c r="E7" s="11">
        <f t="array" ref="E7">SUM(IF(F7:AU7="R2",1,0))</f>
        <v>2</v>
      </c>
      <c r="J7" s="17">
        <v>1.0</v>
      </c>
      <c r="N7" s="17" t="s">
        <v>39</v>
      </c>
      <c r="S7" s="17" t="s">
        <v>39</v>
      </c>
      <c r="T7" s="72"/>
      <c r="AK7" s="17" t="s">
        <v>62</v>
      </c>
      <c r="AN7" s="17" t="s">
        <v>62</v>
      </c>
      <c r="AS7" s="17">
        <v>1.0</v>
      </c>
    </row>
    <row r="8">
      <c r="A8" s="26" t="s">
        <v>55</v>
      </c>
      <c r="B8" s="10">
        <f t="shared" si="3"/>
        <v>4</v>
      </c>
      <c r="C8" s="10">
        <f t="shared" si="2"/>
        <v>2</v>
      </c>
      <c r="D8" s="11">
        <f t="array" ref="D8">SUM(IF(F8:AU8="R",1,0))</f>
        <v>2</v>
      </c>
      <c r="E8" s="11">
        <f t="array" ref="E8">SUM(IF(F8:AU8="R2",1,0))</f>
        <v>2</v>
      </c>
      <c r="F8" s="17" t="s">
        <v>63</v>
      </c>
      <c r="M8" s="16"/>
      <c r="N8" s="16"/>
      <c r="O8" s="16"/>
      <c r="P8" s="16"/>
      <c r="Q8" s="16"/>
      <c r="R8" s="16"/>
      <c r="X8" s="17">
        <v>1.0</v>
      </c>
      <c r="Y8" s="45"/>
      <c r="Z8" s="47"/>
      <c r="AA8" s="45"/>
      <c r="AF8" s="45"/>
      <c r="AG8" s="17">
        <v>1.0</v>
      </c>
      <c r="AI8" s="17" t="s">
        <v>63</v>
      </c>
      <c r="AP8" s="28" t="s">
        <v>40</v>
      </c>
      <c r="AR8" s="17" t="s">
        <v>62</v>
      </c>
    </row>
    <row r="9">
      <c r="A9" s="22" t="s">
        <v>286</v>
      </c>
      <c r="B9" s="10">
        <f t="shared" si="3"/>
        <v>4</v>
      </c>
      <c r="C9" s="10">
        <f t="shared" si="2"/>
        <v>2</v>
      </c>
      <c r="D9" s="11">
        <f t="array" ref="D9">SUM(IF(F9:AU9="R",1,0))</f>
        <v>2</v>
      </c>
      <c r="E9" s="11">
        <f t="array" ref="E9">SUM(IF(F9:AU9="R2",1,0))</f>
        <v>2</v>
      </c>
      <c r="J9" s="17" t="s">
        <v>40</v>
      </c>
      <c r="L9" s="21"/>
      <c r="N9" s="17">
        <v>1.0</v>
      </c>
      <c r="P9" s="17" t="s">
        <v>39</v>
      </c>
      <c r="R9" s="17">
        <v>1.0</v>
      </c>
      <c r="AA9" s="17" t="s">
        <v>62</v>
      </c>
      <c r="AF9" s="17" t="s">
        <v>39</v>
      </c>
    </row>
    <row r="10">
      <c r="A10" s="20" t="s">
        <v>231</v>
      </c>
      <c r="B10" s="10"/>
      <c r="C10" s="10">
        <f t="shared" si="2"/>
        <v>2</v>
      </c>
      <c r="D10" s="11">
        <f t="array" ref="D10">SUM(IF(F10:AU10="R",1,0))</f>
        <v>2</v>
      </c>
      <c r="E10" s="11">
        <f t="array" ref="E10">SUM(IF(F10:AU10="R2",1,0))</f>
        <v>2</v>
      </c>
      <c r="F10" s="17" t="s">
        <v>40</v>
      </c>
      <c r="H10" s="17" t="s">
        <v>39</v>
      </c>
      <c r="K10" s="17" t="s">
        <v>40</v>
      </c>
      <c r="M10" s="16"/>
      <c r="N10" s="16"/>
      <c r="O10" s="16"/>
      <c r="P10" s="16"/>
      <c r="Q10" s="16"/>
      <c r="R10" s="16"/>
      <c r="AL10" s="16"/>
      <c r="AM10" s="17">
        <v>1.0</v>
      </c>
      <c r="AP10" s="17" t="s">
        <v>39</v>
      </c>
      <c r="AT10" s="16"/>
      <c r="AU10" s="21">
        <v>1.0</v>
      </c>
    </row>
    <row r="11">
      <c r="A11" s="20" t="s">
        <v>202</v>
      </c>
      <c r="B11" s="10"/>
      <c r="C11" s="10">
        <f t="shared" si="2"/>
        <v>2</v>
      </c>
      <c r="D11" s="11">
        <f t="array" ref="D11">SUM(IF(F11:AU11="R",1,0))</f>
        <v>2</v>
      </c>
      <c r="E11" s="11">
        <f t="array" ref="E11">SUM(IF(F11:AU11="R2",1,0))</f>
        <v>2</v>
      </c>
      <c r="I11" s="17" t="s">
        <v>39</v>
      </c>
      <c r="L11" s="17" t="s">
        <v>39</v>
      </c>
      <c r="O11" s="17" t="s">
        <v>62</v>
      </c>
      <c r="S11" s="17" t="s">
        <v>40</v>
      </c>
      <c r="W11" s="78"/>
      <c r="X11" s="78"/>
      <c r="Y11" s="78"/>
      <c r="Z11" s="78"/>
      <c r="AA11" s="84">
        <v>1.0</v>
      </c>
      <c r="AB11" s="78"/>
      <c r="AC11" s="78"/>
      <c r="AD11" s="78"/>
      <c r="AE11" s="78"/>
      <c r="AF11" s="78"/>
      <c r="AG11" s="78"/>
      <c r="AH11" s="78"/>
      <c r="AI11" s="78"/>
      <c r="AJ11" s="78"/>
      <c r="AL11" s="17">
        <v>1.0</v>
      </c>
    </row>
    <row r="12">
      <c r="A12" s="20" t="s">
        <v>179</v>
      </c>
      <c r="B12" s="10">
        <f>SUM(C12:D12)</f>
        <v>3</v>
      </c>
      <c r="C12" s="10">
        <f t="shared" si="2"/>
        <v>2</v>
      </c>
      <c r="D12" s="11">
        <f t="array" ref="D12">SUM(IF(F12:AU12="R",1,0))</f>
        <v>1</v>
      </c>
      <c r="E12" s="11">
        <f t="array" ref="E12">SUM(IF(F12:AU12="R2",1,0))</f>
        <v>2</v>
      </c>
      <c r="H12" s="12"/>
      <c r="J12" s="13"/>
      <c r="K12" s="12"/>
      <c r="L12" s="17" t="s">
        <v>40</v>
      </c>
      <c r="M12" s="16"/>
      <c r="N12" s="21"/>
      <c r="O12" s="21"/>
      <c r="P12" s="21"/>
      <c r="Q12" s="21"/>
      <c r="R12" s="16"/>
      <c r="S12" s="21"/>
      <c r="T12" s="16"/>
      <c r="U12" s="16"/>
      <c r="V12" s="16"/>
      <c r="W12" s="21"/>
      <c r="X12" s="16"/>
      <c r="Y12" s="16"/>
      <c r="Z12" s="21"/>
      <c r="AA12" s="16"/>
      <c r="AB12" s="13"/>
      <c r="AC12" s="12"/>
      <c r="AH12" s="17">
        <v>1.0</v>
      </c>
      <c r="AI12" s="13"/>
      <c r="AK12" s="13"/>
      <c r="AL12" s="12" t="s">
        <v>40</v>
      </c>
      <c r="AM12" s="12"/>
      <c r="AO12" s="12" t="s">
        <v>63</v>
      </c>
      <c r="AP12" s="12"/>
      <c r="AR12" s="12"/>
      <c r="AS12" s="12"/>
      <c r="AT12" s="12">
        <v>1.0</v>
      </c>
      <c r="AU12" s="12"/>
    </row>
    <row r="13">
      <c r="A13" s="20" t="s">
        <v>287</v>
      </c>
      <c r="B13" s="10"/>
      <c r="C13" s="10">
        <f t="shared" si="2"/>
        <v>2</v>
      </c>
      <c r="D13" s="11">
        <f t="array" ref="D13">SUM(IF(F13:AU13="R",1,0))</f>
        <v>2</v>
      </c>
      <c r="E13" s="11">
        <f t="array" ref="E13">SUM(IF(F13:AU13="R2",1,0))</f>
        <v>2</v>
      </c>
      <c r="F13" s="21"/>
      <c r="G13" s="21"/>
      <c r="H13" s="21"/>
      <c r="I13" s="16"/>
      <c r="J13" s="16"/>
      <c r="K13" s="21"/>
      <c r="L13" s="21"/>
      <c r="M13" s="21"/>
      <c r="N13" s="21"/>
      <c r="O13" s="21"/>
      <c r="P13" s="21" t="s">
        <v>40</v>
      </c>
      <c r="Q13" s="16"/>
      <c r="R13" s="16"/>
      <c r="T13" s="17" t="s">
        <v>62</v>
      </c>
      <c r="W13" s="12"/>
      <c r="X13" s="12" t="s">
        <v>63</v>
      </c>
      <c r="Y13" s="12"/>
      <c r="Z13" s="12"/>
      <c r="AB13" s="12"/>
      <c r="AC13" s="12"/>
      <c r="AD13" s="12"/>
      <c r="AE13" s="17">
        <v>1.0</v>
      </c>
      <c r="AF13" s="12"/>
      <c r="AG13" s="21"/>
      <c r="AH13" s="16"/>
      <c r="AI13" s="21"/>
      <c r="AJ13" s="16"/>
      <c r="AK13" s="16"/>
      <c r="AL13" s="16"/>
      <c r="AM13" s="16"/>
      <c r="AN13" s="21">
        <v>1.0</v>
      </c>
      <c r="AO13" s="21"/>
      <c r="AP13" s="21"/>
      <c r="AQ13" s="21"/>
      <c r="AR13" s="21"/>
      <c r="AS13" s="21"/>
      <c r="AT13" s="12"/>
      <c r="AU13" s="12" t="s">
        <v>39</v>
      </c>
    </row>
    <row r="14">
      <c r="A14" s="23" t="s">
        <v>176</v>
      </c>
      <c r="B14" s="10">
        <f>SUM(C14:D14)</f>
        <v>4</v>
      </c>
      <c r="C14" s="10">
        <f t="shared" si="2"/>
        <v>2</v>
      </c>
      <c r="D14" s="11">
        <f t="array" ref="D14">SUM(IF(F14:AU14="R",1,0))</f>
        <v>2</v>
      </c>
      <c r="E14" s="11">
        <f t="array" ref="E14">SUM(IF(F14:AU14="R2",1,0))</f>
        <v>1</v>
      </c>
      <c r="J14" s="16"/>
      <c r="K14" s="16"/>
      <c r="L14" s="16"/>
      <c r="M14" s="16"/>
      <c r="N14" s="16"/>
      <c r="O14" s="16"/>
      <c r="P14" s="16"/>
      <c r="Q14" s="17" t="s">
        <v>40</v>
      </c>
      <c r="W14" s="17" t="s">
        <v>39</v>
      </c>
      <c r="Z14" s="17" t="s">
        <v>63</v>
      </c>
      <c r="AC14" s="17">
        <v>1.0</v>
      </c>
      <c r="AO14" s="17">
        <v>1.0</v>
      </c>
      <c r="AT14" s="16"/>
      <c r="AU14" s="16"/>
    </row>
    <row r="15" hidden="1">
      <c r="A15" s="23" t="s">
        <v>53</v>
      </c>
      <c r="B15" s="10"/>
      <c r="C15" s="10">
        <f t="shared" si="2"/>
        <v>0</v>
      </c>
      <c r="D15" s="11">
        <f t="array" ref="D15">SUM(IF(F15:AU15="R",1,0))</f>
        <v>0</v>
      </c>
      <c r="E15" s="11">
        <f t="array" ref="E15">SUM(IF(F15:AU15="R2",1,0))</f>
        <v>0</v>
      </c>
      <c r="AV15" s="61"/>
      <c r="AW15" s="61"/>
      <c r="AX15" s="61"/>
      <c r="AY15" s="61"/>
    </row>
    <row r="16" hidden="1">
      <c r="A16" s="23" t="s">
        <v>258</v>
      </c>
      <c r="B16" s="10">
        <f t="shared" ref="B16:B17" si="4">SUM(C16:D16)</f>
        <v>0</v>
      </c>
      <c r="C16" s="10">
        <f t="shared" si="2"/>
        <v>0</v>
      </c>
      <c r="D16" s="11">
        <f t="array" ref="D16">SUM(IF(F16:AU16="R",1,0))</f>
        <v>0</v>
      </c>
      <c r="E16" s="11">
        <f t="array" ref="E16">SUM(IF(F16:AU16="R2",1,0))</f>
        <v>0</v>
      </c>
    </row>
    <row r="17" hidden="1">
      <c r="A17" s="9" t="s">
        <v>91</v>
      </c>
      <c r="B17" s="10">
        <f t="shared" si="4"/>
        <v>0</v>
      </c>
      <c r="C17" s="10">
        <f t="shared" si="2"/>
        <v>0</v>
      </c>
      <c r="D17" s="11">
        <f t="array" ref="D17">SUM(IF(F17:AU17="R",1,0))</f>
        <v>0</v>
      </c>
      <c r="E17" s="11">
        <f t="array" ref="E17">SUM(IF(F17:AU17="R2",1,0))</f>
        <v>0</v>
      </c>
    </row>
    <row r="18" hidden="1">
      <c r="A18" s="9" t="s">
        <v>56</v>
      </c>
      <c r="B18" s="10"/>
      <c r="C18" s="10">
        <f t="shared" si="2"/>
        <v>0</v>
      </c>
      <c r="D18" s="11">
        <f t="array" ref="D18">SUM(IF(F18:AU18="R",1,0))</f>
        <v>0</v>
      </c>
      <c r="E18" s="11">
        <f t="array" ref="E18">SUM(IF(F18:AU18="R2",1,0))</f>
        <v>0</v>
      </c>
    </row>
    <row r="19" hidden="1">
      <c r="A19" s="9" t="s">
        <v>227</v>
      </c>
      <c r="B19" s="10">
        <f t="shared" ref="B19:B20" si="5">SUM(C19:D19)</f>
        <v>0</v>
      </c>
      <c r="C19" s="10">
        <f t="shared" si="2"/>
        <v>0</v>
      </c>
      <c r="D19" s="11">
        <f t="array" ref="D19">SUM(IF(F19:AU19="R",1,0))</f>
        <v>0</v>
      </c>
      <c r="E19" s="11">
        <f t="array" ref="E19">SUM(IF(F19:AU19="R2",1,0))</f>
        <v>0</v>
      </c>
    </row>
    <row r="20">
      <c r="A20" s="9" t="s">
        <v>178</v>
      </c>
      <c r="B20" s="10">
        <f t="shared" si="5"/>
        <v>4</v>
      </c>
      <c r="C20" s="10">
        <f t="shared" si="2"/>
        <v>2</v>
      </c>
      <c r="D20" s="11">
        <f t="array" ref="D20">SUM(IF(F20:AU20="R",1,0))</f>
        <v>2</v>
      </c>
      <c r="E20" s="11">
        <f t="array" ref="E20">SUM(IF(F20:AU20="R2",1,0))</f>
        <v>2</v>
      </c>
      <c r="J20" s="78"/>
      <c r="K20" s="84" t="s">
        <v>63</v>
      </c>
      <c r="L20" s="78"/>
      <c r="M20" s="84" t="s">
        <v>63</v>
      </c>
      <c r="N20" s="78"/>
      <c r="O20" s="84">
        <v>1.0</v>
      </c>
      <c r="P20" s="78"/>
      <c r="Q20" s="78"/>
      <c r="R20" s="84" t="s">
        <v>62</v>
      </c>
      <c r="AB20" s="17">
        <v>1.0</v>
      </c>
      <c r="AT20" s="17" t="s">
        <v>40</v>
      </c>
    </row>
    <row r="21">
      <c r="A21" s="62" t="s">
        <v>199</v>
      </c>
      <c r="B21" s="10"/>
      <c r="C21" s="10">
        <f t="shared" si="2"/>
        <v>2</v>
      </c>
      <c r="D21" s="11">
        <f t="array" ref="D21">SUM(IF(F21:AU21="R",1,0))</f>
        <v>2</v>
      </c>
      <c r="E21" s="11">
        <f t="array" ref="E21">SUM(IF(F21:AU21="R2",1,0))</f>
        <v>2</v>
      </c>
      <c r="I21" s="17">
        <v>1.0</v>
      </c>
      <c r="J21" s="16"/>
      <c r="K21" s="16"/>
      <c r="L21" s="16"/>
      <c r="M21" s="16"/>
      <c r="N21" s="16"/>
      <c r="O21" s="16"/>
      <c r="P21" s="16"/>
      <c r="Q21" s="16"/>
      <c r="R21" s="16"/>
      <c r="S21" s="16"/>
      <c r="T21" s="16"/>
      <c r="U21" s="16"/>
      <c r="V21" s="16"/>
      <c r="W21" s="16"/>
      <c r="X21" s="16"/>
      <c r="Y21" s="16"/>
      <c r="Z21" s="16"/>
      <c r="AA21" s="16"/>
      <c r="AE21" s="17" t="s">
        <v>40</v>
      </c>
      <c r="AI21" s="17" t="s">
        <v>40</v>
      </c>
      <c r="AN21" s="17" t="s">
        <v>39</v>
      </c>
      <c r="AQ21" s="17">
        <v>1.0</v>
      </c>
      <c r="AS21" s="17" t="s">
        <v>39</v>
      </c>
      <c r="AU21" s="16"/>
    </row>
    <row r="22">
      <c r="A22" s="62" t="s">
        <v>200</v>
      </c>
      <c r="B22" s="10">
        <f>SUM(C22:D22)</f>
        <v>4</v>
      </c>
      <c r="C22" s="10">
        <f t="shared" si="2"/>
        <v>2</v>
      </c>
      <c r="D22" s="11">
        <f t="array" ref="D22">SUM(IF(F22:AU22="R",1,0))</f>
        <v>2</v>
      </c>
      <c r="E22" s="11">
        <f t="array" ref="E22">SUM(IF(F22:AU22="R2",1,0))</f>
        <v>2</v>
      </c>
      <c r="J22" s="16"/>
      <c r="K22" s="16"/>
      <c r="L22" s="16"/>
      <c r="M22" s="16"/>
      <c r="N22" s="16"/>
      <c r="O22" s="16"/>
      <c r="P22" s="16"/>
      <c r="Q22" s="16"/>
      <c r="R22" s="16"/>
      <c r="S22" s="17">
        <v>1.0</v>
      </c>
      <c r="AD22" s="17">
        <v>1.0</v>
      </c>
      <c r="AL22" s="17" t="s">
        <v>39</v>
      </c>
      <c r="AQ22" s="17" t="s">
        <v>39</v>
      </c>
      <c r="AS22" s="17" t="s">
        <v>40</v>
      </c>
      <c r="AU22" s="17" t="s">
        <v>40</v>
      </c>
      <c r="AV22" s="61"/>
      <c r="AW22" s="61"/>
      <c r="AX22" s="61"/>
      <c r="AY22" s="61"/>
    </row>
    <row r="23">
      <c r="A23" s="62" t="s">
        <v>288</v>
      </c>
      <c r="B23" s="10"/>
      <c r="C23" s="10">
        <f t="shared" si="2"/>
        <v>2</v>
      </c>
      <c r="D23" s="11">
        <f t="array" ref="D23">SUM(IF(F23:AU23="R",1,0))</f>
        <v>2</v>
      </c>
      <c r="E23" s="11">
        <f t="array" ref="E23">SUM(IF(F23:AU23="R2",1,0))</f>
        <v>2</v>
      </c>
      <c r="J23" s="16"/>
      <c r="K23" s="16"/>
      <c r="L23" s="16"/>
      <c r="M23" s="16"/>
      <c r="N23" s="16"/>
      <c r="O23" s="16"/>
      <c r="P23" s="16"/>
      <c r="Q23" s="16"/>
      <c r="R23" s="16"/>
      <c r="U23" s="17">
        <v>1.0</v>
      </c>
      <c r="W23" s="17" t="s">
        <v>40</v>
      </c>
      <c r="Y23" s="17">
        <v>1.0</v>
      </c>
      <c r="AA23" s="17" t="s">
        <v>39</v>
      </c>
      <c r="AD23" s="17" t="s">
        <v>39</v>
      </c>
      <c r="AH23" s="17" t="s">
        <v>40</v>
      </c>
    </row>
    <row r="24">
      <c r="A24" s="62" t="s">
        <v>289</v>
      </c>
      <c r="B24" s="10">
        <f t="shared" ref="B24:B27" si="6">SUM(C24:D24)</f>
        <v>4</v>
      </c>
      <c r="C24" s="10">
        <f t="shared" si="2"/>
        <v>2</v>
      </c>
      <c r="D24" s="11">
        <f t="array" ref="D24">SUM(IF(F24:AU24="R",1,0))</f>
        <v>2</v>
      </c>
      <c r="E24" s="11">
        <f t="array" ref="E24">SUM(IF(F24:AU24="R2",1,0))</f>
        <v>2</v>
      </c>
      <c r="G24" s="17" t="s">
        <v>39</v>
      </c>
      <c r="J24" s="16"/>
      <c r="K24" s="16"/>
      <c r="L24" s="16"/>
      <c r="M24" s="16"/>
      <c r="N24" s="16"/>
      <c r="O24" s="16"/>
      <c r="P24" s="16"/>
      <c r="Q24" s="16"/>
      <c r="R24" s="16"/>
      <c r="V24" s="17">
        <v>1.0</v>
      </c>
      <c r="AC24" s="17" t="s">
        <v>40</v>
      </c>
      <c r="AJ24" s="17" t="s">
        <v>40</v>
      </c>
      <c r="AM24" s="17" t="s">
        <v>39</v>
      </c>
      <c r="AR24" s="17">
        <v>1.0</v>
      </c>
    </row>
    <row r="25">
      <c r="A25" s="62" t="s">
        <v>290</v>
      </c>
      <c r="B25" s="10">
        <f t="shared" si="6"/>
        <v>4</v>
      </c>
      <c r="C25" s="10">
        <f t="shared" si="2"/>
        <v>2</v>
      </c>
      <c r="D25" s="11">
        <f t="array" ref="D25">SUM(IF(F25:AU25="R",1,0))</f>
        <v>2</v>
      </c>
      <c r="E25" s="11">
        <f t="array" ref="E25">SUM(IF(F25:AU25="R2",1,0))</f>
        <v>1</v>
      </c>
      <c r="H25" s="17">
        <v>1.0</v>
      </c>
      <c r="J25" s="16"/>
      <c r="K25" s="16"/>
      <c r="L25" s="16"/>
      <c r="M25" s="16"/>
      <c r="N25" s="16"/>
      <c r="O25" s="16"/>
      <c r="P25" s="16"/>
      <c r="Q25" s="16"/>
      <c r="R25" s="16"/>
      <c r="U25" s="17" t="s">
        <v>63</v>
      </c>
      <c r="X25" s="17" t="s">
        <v>62</v>
      </c>
      <c r="AC25" s="17" t="s">
        <v>39</v>
      </c>
      <c r="AK25" s="17">
        <v>1.0</v>
      </c>
    </row>
    <row r="26" hidden="1">
      <c r="A26" s="20" t="s">
        <v>228</v>
      </c>
      <c r="B26" s="10">
        <f t="shared" si="6"/>
        <v>0</v>
      </c>
      <c r="C26" s="10">
        <f t="shared" si="2"/>
        <v>0</v>
      </c>
      <c r="D26" s="11">
        <f t="array" ref="D26">SUM(IF(F26:AU26="R",1,0))</f>
        <v>0</v>
      </c>
      <c r="E26" s="11">
        <f t="array" ref="E26">SUM(IF(F26:AU26="R2",1,0))</f>
        <v>0</v>
      </c>
    </row>
    <row r="27" hidden="1">
      <c r="A27" s="20" t="s">
        <v>230</v>
      </c>
      <c r="B27" s="10">
        <f t="shared" si="6"/>
        <v>0</v>
      </c>
      <c r="C27" s="10">
        <f t="shared" si="2"/>
        <v>0</v>
      </c>
      <c r="D27" s="11">
        <f t="array" ref="D27">SUM(IF(F27:AU27="R",1,0))</f>
        <v>0</v>
      </c>
      <c r="E27" s="11">
        <f t="array" ref="E27">SUM(IF(F27:AU27="R2",1,0))</f>
        <v>0</v>
      </c>
    </row>
    <row r="28">
      <c r="A28" s="27" t="s">
        <v>259</v>
      </c>
      <c r="B28" s="10"/>
      <c r="C28" s="10">
        <f t="shared" si="2"/>
        <v>2</v>
      </c>
      <c r="D28" s="11">
        <f t="array" ref="D28">SUM(IF(F28:AU28="R",1,0))</f>
        <v>2</v>
      </c>
      <c r="E28" s="11">
        <f t="array" ref="E28">SUM(IF(F28:AU28="R2",1,0))</f>
        <v>2</v>
      </c>
      <c r="M28" s="17">
        <v>1.0</v>
      </c>
      <c r="P28" s="17">
        <v>1.0</v>
      </c>
      <c r="U28" s="17" t="s">
        <v>40</v>
      </c>
      <c r="Y28" s="17" t="s">
        <v>39</v>
      </c>
      <c r="AB28" s="17" t="s">
        <v>40</v>
      </c>
      <c r="AE28" s="17" t="s">
        <v>39</v>
      </c>
    </row>
    <row r="29" hidden="1">
      <c r="A29" s="17" t="s">
        <v>291</v>
      </c>
      <c r="B29" s="10" t="str">
        <f>SUM(B4:B33)</f>
        <v>#REF!</v>
      </c>
      <c r="C29" s="10">
        <f t="shared" si="2"/>
        <v>0</v>
      </c>
      <c r="D29" s="11">
        <f t="array" ref="D29">SUM(IF(F29:AU29="R",1,0))</f>
        <v>0</v>
      </c>
      <c r="E29" s="11">
        <f t="array" ref="E29">SUM(IF(F29:AU29="R2",1,0))</f>
        <v>0</v>
      </c>
    </row>
    <row r="30">
      <c r="A30" s="27" t="s">
        <v>149</v>
      </c>
      <c r="B30" s="28">
        <f t="shared" ref="B30:B31" si="7">SUM(F30:AS30)</f>
        <v>2</v>
      </c>
      <c r="C30" s="10">
        <f t="shared" si="2"/>
        <v>2</v>
      </c>
      <c r="D30" s="11">
        <f t="array" ref="D30">SUM(IF(F30:AU30="R",1,0))</f>
        <v>2</v>
      </c>
      <c r="E30" s="11">
        <f t="array" ref="E30">SUM(IF(F30:AU30="R2",1,0))</f>
        <v>2</v>
      </c>
      <c r="F30" s="43"/>
      <c r="G30" s="43"/>
      <c r="H30" s="43"/>
      <c r="I30" s="43"/>
      <c r="K30" s="17">
        <v>1.0</v>
      </c>
      <c r="L30" s="16"/>
      <c r="M30" s="16"/>
      <c r="N30" s="16"/>
      <c r="O30" s="16"/>
      <c r="P30" s="16"/>
      <c r="Q30" s="16"/>
      <c r="R30" s="16"/>
      <c r="S30" s="16"/>
      <c r="T30" s="17">
        <v>1.0</v>
      </c>
      <c r="V30" s="17" t="s">
        <v>39</v>
      </c>
      <c r="X30" s="16"/>
      <c r="Y30" s="16"/>
      <c r="Z30" s="16"/>
      <c r="AA30" s="16"/>
      <c r="AB30" s="17" t="s">
        <v>39</v>
      </c>
      <c r="AD30" s="17" t="s">
        <v>40</v>
      </c>
      <c r="AF30" s="17" t="s">
        <v>40</v>
      </c>
      <c r="AG30" s="16"/>
      <c r="AH30" s="16"/>
      <c r="AI30" s="16"/>
      <c r="AJ30" s="16"/>
      <c r="AP30" s="16"/>
      <c r="AQ30" s="16"/>
      <c r="AR30" s="16"/>
      <c r="AS30" s="16"/>
      <c r="AV30" s="11"/>
      <c r="AW30" s="11"/>
      <c r="AX30" s="11"/>
      <c r="AY30" s="11"/>
    </row>
    <row r="31">
      <c r="A31" s="27" t="s">
        <v>229</v>
      </c>
      <c r="B31" s="28">
        <f t="shared" si="7"/>
        <v>2</v>
      </c>
      <c r="C31" s="10">
        <f t="shared" si="2"/>
        <v>2</v>
      </c>
      <c r="D31" s="11">
        <f t="array" ref="D31">SUM(IF(F31:AU31="R",1,0))</f>
        <v>1</v>
      </c>
      <c r="E31" s="11">
        <f t="array" ref="E31">SUM(IF(F31:AU31="R2",1,0))</f>
        <v>2</v>
      </c>
      <c r="G31" s="17">
        <v>1.0</v>
      </c>
      <c r="L31" s="21">
        <v>1.0</v>
      </c>
      <c r="M31" s="21"/>
      <c r="N31" s="16"/>
      <c r="O31" s="16"/>
      <c r="P31" s="16"/>
      <c r="Q31" s="17" t="s">
        <v>63</v>
      </c>
      <c r="V31" s="17" t="s">
        <v>40</v>
      </c>
      <c r="Y31" s="17" t="s">
        <v>40</v>
      </c>
      <c r="AV31" s="11"/>
      <c r="AW31" s="11"/>
      <c r="AX31" s="11"/>
      <c r="AY31" s="11"/>
    </row>
    <row r="32">
      <c r="A32" s="44" t="s">
        <v>292</v>
      </c>
      <c r="C32" s="10">
        <f t="shared" si="2"/>
        <v>1</v>
      </c>
      <c r="D32" s="11">
        <f t="array" ref="D32">SUM(IF(F32:AU32="R",1,0))</f>
        <v>2</v>
      </c>
      <c r="E32" s="11">
        <f t="array" ref="E32">SUM(IF(F32:AU32="R2",1,0))</f>
        <v>1</v>
      </c>
      <c r="F32" s="85"/>
      <c r="G32" s="86" t="s">
        <v>62</v>
      </c>
      <c r="H32" s="85"/>
      <c r="I32" s="85"/>
      <c r="J32" s="86" t="s">
        <v>63</v>
      </c>
      <c r="K32" s="85"/>
      <c r="L32" s="79"/>
      <c r="M32" s="79"/>
      <c r="N32" s="79"/>
      <c r="O32" s="79"/>
      <c r="P32" s="79"/>
      <c r="Q32" s="85"/>
      <c r="R32" s="86" t="s">
        <v>63</v>
      </c>
      <c r="S32" s="85"/>
      <c r="T32" s="85"/>
      <c r="U32" s="85"/>
      <c r="V32" s="85"/>
      <c r="W32" s="85"/>
      <c r="X32" s="79"/>
      <c r="Y32" s="79"/>
      <c r="Z32" s="79"/>
      <c r="AA32" s="79"/>
      <c r="AB32" s="85"/>
      <c r="AC32" s="85"/>
      <c r="AD32" s="85"/>
      <c r="AE32" s="86"/>
      <c r="AF32" s="86">
        <v>1.0</v>
      </c>
      <c r="AG32" s="85"/>
      <c r="AH32" s="85"/>
      <c r="AI32" s="85"/>
      <c r="AJ32" s="85"/>
      <c r="AK32" s="85"/>
      <c r="AL32" s="85"/>
      <c r="AM32" s="85"/>
      <c r="AN32" s="86"/>
      <c r="AO32" s="85"/>
      <c r="AP32" s="85"/>
      <c r="AQ32" s="85"/>
      <c r="AR32" s="85"/>
      <c r="AS32" s="85"/>
      <c r="AT32" s="85"/>
      <c r="AU32" s="86"/>
      <c r="AV32" s="11"/>
      <c r="AW32" s="11"/>
      <c r="AX32" s="11"/>
      <c r="AY32" s="11"/>
    </row>
    <row r="33">
      <c r="A33" s="26" t="s">
        <v>46</v>
      </c>
      <c r="B33" s="10">
        <f>SUM(C33:D33)</f>
        <v>4</v>
      </c>
      <c r="C33" s="10">
        <f t="shared" si="2"/>
        <v>2</v>
      </c>
      <c r="D33" s="11">
        <f t="array" ref="D33">SUM(IF(F33:AU33="R",1,0))</f>
        <v>2</v>
      </c>
      <c r="E33" s="11">
        <f t="array" ref="E33">SUM(IF(F33:AU33="R2",1,0))</f>
        <v>0</v>
      </c>
      <c r="O33" s="17" t="s">
        <v>63</v>
      </c>
      <c r="Y33" s="12"/>
      <c r="Z33" s="12"/>
      <c r="AA33" s="12"/>
      <c r="AB33" s="12"/>
      <c r="AC33" s="12"/>
      <c r="AD33" s="12"/>
      <c r="AE33" s="12"/>
      <c r="AF33" s="12"/>
      <c r="AG33" s="12"/>
      <c r="AH33" s="12"/>
      <c r="AI33" s="12">
        <v>1.0</v>
      </c>
      <c r="AJ33" s="12"/>
      <c r="AK33" s="12"/>
      <c r="AL33" s="12"/>
      <c r="AM33" s="12"/>
      <c r="AN33" s="12"/>
      <c r="AO33" s="12"/>
      <c r="AP33" s="12">
        <v>1.0</v>
      </c>
      <c r="AQ33" s="12"/>
      <c r="AR33" s="12" t="s">
        <v>63</v>
      </c>
      <c r="AS33" s="12"/>
      <c r="AT33" s="12"/>
      <c r="AU33" s="12"/>
      <c r="AV33" s="12"/>
      <c r="AW33" s="12"/>
      <c r="AX33" s="12"/>
      <c r="AY33" s="12"/>
    </row>
    <row r="34">
      <c r="A34" s="26" t="s">
        <v>201</v>
      </c>
      <c r="C34" s="10">
        <f t="shared" si="2"/>
        <v>1</v>
      </c>
      <c r="D34" s="11">
        <f t="array" ref="D34">SUM(IF(F34:AU34="R",1,0))</f>
        <v>1</v>
      </c>
      <c r="E34" s="11">
        <f t="array" ref="E34">SUM(IF(F34:AU34="R2",1,0))</f>
        <v>2</v>
      </c>
      <c r="F34" s="86">
        <v>1.0</v>
      </c>
      <c r="G34" s="85"/>
      <c r="H34" s="86" t="s">
        <v>40</v>
      </c>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6" t="s">
        <v>40</v>
      </c>
      <c r="AH34" s="85"/>
      <c r="AI34" s="86"/>
      <c r="AJ34" s="85"/>
      <c r="AK34" s="85"/>
      <c r="AL34" s="85"/>
      <c r="AM34" s="85"/>
      <c r="AN34" s="85"/>
      <c r="AO34" s="86"/>
      <c r="AP34" s="86"/>
      <c r="AQ34" s="86"/>
      <c r="AR34" s="86"/>
      <c r="AS34" s="86"/>
      <c r="AT34" s="86" t="s">
        <v>39</v>
      </c>
      <c r="AU34" s="86"/>
      <c r="AV34" s="11"/>
      <c r="AW34" s="11"/>
      <c r="AX34" s="11"/>
      <c r="AY34" s="11"/>
    </row>
    <row r="35">
      <c r="A35" s="17" t="s">
        <v>68</v>
      </c>
      <c r="C35" s="10">
        <f t="shared" si="2"/>
        <v>42</v>
      </c>
      <c r="D35" s="11"/>
      <c r="E35" s="11"/>
      <c r="F35" s="28">
        <f t="shared" ref="F35:AU35" si="8">SUM(F3:F34)</f>
        <v>1</v>
      </c>
      <c r="G35" s="28">
        <f t="shared" si="8"/>
        <v>1</v>
      </c>
      <c r="H35" s="28">
        <f t="shared" si="8"/>
        <v>1</v>
      </c>
      <c r="I35" s="28">
        <f t="shared" si="8"/>
        <v>1</v>
      </c>
      <c r="J35" s="28">
        <f t="shared" si="8"/>
        <v>1</v>
      </c>
      <c r="K35" s="28">
        <f t="shared" si="8"/>
        <v>1</v>
      </c>
      <c r="L35" s="28">
        <f t="shared" si="8"/>
        <v>1</v>
      </c>
      <c r="M35" s="28">
        <f t="shared" si="8"/>
        <v>1</v>
      </c>
      <c r="N35" s="28">
        <f t="shared" si="8"/>
        <v>1</v>
      </c>
      <c r="O35" s="28">
        <f t="shared" si="8"/>
        <v>1</v>
      </c>
      <c r="P35" s="28">
        <f t="shared" si="8"/>
        <v>1</v>
      </c>
      <c r="Q35" s="28">
        <f t="shared" si="8"/>
        <v>1</v>
      </c>
      <c r="R35" s="28">
        <f t="shared" si="8"/>
        <v>1</v>
      </c>
      <c r="S35" s="28">
        <f t="shared" si="8"/>
        <v>1</v>
      </c>
      <c r="T35" s="28">
        <f t="shared" si="8"/>
        <v>1</v>
      </c>
      <c r="U35" s="28">
        <f t="shared" si="8"/>
        <v>1</v>
      </c>
      <c r="V35" s="28">
        <f t="shared" si="8"/>
        <v>1</v>
      </c>
      <c r="W35" s="28">
        <f t="shared" si="8"/>
        <v>1</v>
      </c>
      <c r="X35" s="28">
        <f t="shared" si="8"/>
        <v>1</v>
      </c>
      <c r="Y35" s="28">
        <f t="shared" si="8"/>
        <v>1</v>
      </c>
      <c r="Z35" s="28">
        <f t="shared" si="8"/>
        <v>1</v>
      </c>
      <c r="AA35" s="28">
        <f t="shared" si="8"/>
        <v>1</v>
      </c>
      <c r="AB35" s="28">
        <f t="shared" si="8"/>
        <v>1</v>
      </c>
      <c r="AC35" s="28">
        <f t="shared" si="8"/>
        <v>1</v>
      </c>
      <c r="AD35" s="28">
        <f t="shared" si="8"/>
        <v>1</v>
      </c>
      <c r="AE35" s="28">
        <f t="shared" si="8"/>
        <v>1</v>
      </c>
      <c r="AF35" s="28">
        <f t="shared" si="8"/>
        <v>1</v>
      </c>
      <c r="AG35" s="28">
        <f t="shared" si="8"/>
        <v>1</v>
      </c>
      <c r="AH35" s="28">
        <f t="shared" si="8"/>
        <v>1</v>
      </c>
      <c r="AI35" s="28">
        <f t="shared" si="8"/>
        <v>1</v>
      </c>
      <c r="AJ35" s="28">
        <f t="shared" si="8"/>
        <v>1</v>
      </c>
      <c r="AK35" s="28">
        <f t="shared" si="8"/>
        <v>1</v>
      </c>
      <c r="AL35" s="28">
        <f t="shared" si="8"/>
        <v>1</v>
      </c>
      <c r="AM35" s="28">
        <f t="shared" si="8"/>
        <v>1</v>
      </c>
      <c r="AN35" s="28">
        <f t="shared" si="8"/>
        <v>1</v>
      </c>
      <c r="AO35" s="28">
        <f t="shared" si="8"/>
        <v>1</v>
      </c>
      <c r="AP35" s="28">
        <f t="shared" si="8"/>
        <v>1</v>
      </c>
      <c r="AQ35" s="28">
        <f t="shared" si="8"/>
        <v>1</v>
      </c>
      <c r="AR35" s="28">
        <f t="shared" si="8"/>
        <v>1</v>
      </c>
      <c r="AS35" s="28">
        <f t="shared" si="8"/>
        <v>1</v>
      </c>
      <c r="AT35" s="28">
        <f t="shared" si="8"/>
        <v>1</v>
      </c>
      <c r="AU35" s="28">
        <f t="shared" si="8"/>
        <v>1</v>
      </c>
      <c r="AV35" s="11"/>
      <c r="AW35" s="11"/>
      <c r="AX35" s="11"/>
      <c r="AY35" s="11"/>
    </row>
    <row r="36">
      <c r="A36" s="17" t="s">
        <v>69</v>
      </c>
      <c r="C36" s="10">
        <f t="shared" si="2"/>
        <v>42</v>
      </c>
      <c r="D36" s="11"/>
      <c r="E36" s="11"/>
      <c r="F36" s="11">
        <f t="array" ref="F36">SUM(IF(F3:F34="R",1,0))</f>
        <v>1</v>
      </c>
      <c r="G36" s="11">
        <f t="array" ref="G36">SUM(IF(G3:G34="R",1,0))</f>
        <v>1</v>
      </c>
      <c r="H36" s="11">
        <f t="array" ref="H36">SUM(IF(H3:H34="R",1,0))</f>
        <v>1</v>
      </c>
      <c r="I36" s="11">
        <f t="array" ref="I36">SUM(IF(I3:I34="R",1,0))</f>
        <v>1</v>
      </c>
      <c r="J36" s="11">
        <f t="array" ref="J36">SUM(IF(J3:J34="R",1,0))</f>
        <v>1</v>
      </c>
      <c r="K36" s="11">
        <f t="array" ref="K36">SUM(IF(K3:K34="R",1,0))</f>
        <v>1</v>
      </c>
      <c r="L36" s="11">
        <f t="array" ref="L36">SUM(IF(L3:L34="R",1,0))</f>
        <v>1</v>
      </c>
      <c r="M36" s="11">
        <f t="array" ref="M36">SUM(IF(M3:M34="R",1,0))</f>
        <v>1</v>
      </c>
      <c r="N36" s="11">
        <f t="array" ref="N36">SUM(IF(N3:N34="R",1,0))</f>
        <v>1</v>
      </c>
      <c r="O36" s="11">
        <f t="array" ref="O36">SUM(IF(O3:O34="R",1,0))</f>
        <v>1</v>
      </c>
      <c r="P36" s="11">
        <f t="array" ref="P36">SUM(IF(P3:P34="R",1,0))</f>
        <v>1</v>
      </c>
      <c r="Q36" s="11">
        <f t="array" ref="Q36">SUM(IF(Q3:Q34="R",1,0))</f>
        <v>1</v>
      </c>
      <c r="R36" s="11">
        <f t="array" ref="R36">SUM(IF(R3:R34="R",1,0))</f>
        <v>1</v>
      </c>
      <c r="S36" s="11">
        <f t="array" ref="S36">SUM(IF(S3:S34="R",1,0))</f>
        <v>1</v>
      </c>
      <c r="T36" s="11">
        <f t="array" ref="T36">SUM(IF(T3:T34="R",1,0))</f>
        <v>1</v>
      </c>
      <c r="U36" s="11">
        <f t="array" ref="U36">SUM(IF(U3:U34="R",1,0))</f>
        <v>1</v>
      </c>
      <c r="V36" s="11">
        <f t="array" ref="V36">SUM(IF(V3:V34="R",1,0))</f>
        <v>1</v>
      </c>
      <c r="W36" s="11">
        <f t="array" ref="W36">SUM(IF(W3:W34="R",1,0))</f>
        <v>1</v>
      </c>
      <c r="X36" s="11">
        <f t="array" ref="X36">SUM(IF(X3:X34="R",1,0))</f>
        <v>1</v>
      </c>
      <c r="Y36" s="11">
        <f t="array" ref="Y36">SUM(IF(Y3:Y34="R",1,0))</f>
        <v>1</v>
      </c>
      <c r="Z36" s="11">
        <f t="array" ref="Z36">SUM(IF(Z3:Z34="R",1,0))</f>
        <v>1</v>
      </c>
      <c r="AA36" s="11">
        <f t="array" ref="AA36">SUM(IF(AA3:AA34="R",1,0))</f>
        <v>1</v>
      </c>
      <c r="AB36" s="11">
        <f t="array" ref="AB36">SUM(IF(AB3:AB34="R",1,0))</f>
        <v>1</v>
      </c>
      <c r="AC36" s="11">
        <f t="array" ref="AC36">SUM(IF(AC3:AC34="R",1,0))</f>
        <v>1</v>
      </c>
      <c r="AD36" s="11">
        <f t="array" ref="AD36">SUM(IF(AD3:AD34="R",1,0))</f>
        <v>1</v>
      </c>
      <c r="AE36" s="11">
        <f t="array" ref="AE36">SUM(IF(AE3:AE34="R",1,0))</f>
        <v>1</v>
      </c>
      <c r="AF36" s="11">
        <f t="array" ref="AF36">SUM(IF(AF3:AF34="R",1,0))</f>
        <v>1</v>
      </c>
      <c r="AG36" s="11">
        <f t="array" ref="AG36">SUM(IF(AG3:AG34="R",1,0))</f>
        <v>1</v>
      </c>
      <c r="AH36" s="11">
        <f t="array" ref="AH36">SUM(IF(AH3:AH34="R",1,0))</f>
        <v>1</v>
      </c>
      <c r="AI36" s="11">
        <f t="array" ref="AI36">SUM(IF(AI3:AI34="R",1,0))</f>
        <v>1</v>
      </c>
      <c r="AJ36" s="11">
        <f t="array" ref="AJ36">SUM(IF(AJ3:AJ34="R",1,0))</f>
        <v>1</v>
      </c>
      <c r="AK36" s="11">
        <f t="array" ref="AK36">SUM(IF(AK3:AK34="R",1,0))</f>
        <v>1</v>
      </c>
      <c r="AL36" s="11">
        <f t="array" ref="AL36">SUM(IF(AL3:AL34="R",1,0))</f>
        <v>1</v>
      </c>
      <c r="AM36" s="11">
        <f t="array" ref="AM36">SUM(IF(AM3:AM34="R",1,0))</f>
        <v>1</v>
      </c>
      <c r="AN36" s="11">
        <f t="array" ref="AN36">SUM(IF(AN3:AN34="R",1,0))</f>
        <v>1</v>
      </c>
      <c r="AO36" s="11">
        <f t="array" ref="AO36">SUM(IF(AO3:AO34="R",1,0))</f>
        <v>1</v>
      </c>
      <c r="AP36" s="11">
        <f t="array" ref="AP36">SUM(IF(AP3:AP34="R",1,0))</f>
        <v>1</v>
      </c>
      <c r="AQ36" s="11">
        <f t="array" ref="AQ36">SUM(IF(AQ3:AQ34="R",1,0))</f>
        <v>1</v>
      </c>
      <c r="AR36" s="11">
        <f t="array" ref="AR36">SUM(IF(AR3:AR34="R",1,0))</f>
        <v>1</v>
      </c>
      <c r="AS36" s="11">
        <f t="array" ref="AS36">SUM(IF(AS3:AS34="R",1,0))</f>
        <v>1</v>
      </c>
      <c r="AT36" s="11">
        <f t="array" ref="AT36">SUM(IF(AT3:AT34="R",1,0))</f>
        <v>1</v>
      </c>
      <c r="AU36" s="11">
        <f t="array" ref="AU36">SUM(IF(AU3:AU34="R",1,0))</f>
        <v>1</v>
      </c>
      <c r="AV36" s="11"/>
      <c r="AW36" s="11"/>
      <c r="AX36" s="11"/>
      <c r="AY36" s="11"/>
    </row>
    <row r="37">
      <c r="A37" s="17" t="s">
        <v>70</v>
      </c>
      <c r="C37" s="10">
        <f t="shared" si="2"/>
        <v>41</v>
      </c>
      <c r="D37" s="11"/>
      <c r="E37" s="11"/>
      <c r="F37" s="11">
        <f t="array" ref="F37">SUM(IF(F3:F34="R2",1,0))</f>
        <v>1</v>
      </c>
      <c r="G37" s="11">
        <f t="array" ref="G37">SUM(IF(G3:G34="R2",1,0))</f>
        <v>1</v>
      </c>
      <c r="H37" s="11">
        <f t="array" ref="H37">SUM(IF(H3:H34="R2",1,0))</f>
        <v>1</v>
      </c>
      <c r="I37" s="11">
        <f t="array" ref="I37">SUM(IF(I3:I34="R2",1,0))</f>
        <v>1</v>
      </c>
      <c r="J37" s="11">
        <f t="array" ref="J37">SUM(IF(J3:J34="R2",1,0))</f>
        <v>1</v>
      </c>
      <c r="K37" s="11">
        <f t="array" ref="K37">SUM(IF(K3:K34="R2",1,0))</f>
        <v>1</v>
      </c>
      <c r="L37" s="11">
        <f t="array" ref="L37">SUM(IF(L3:L34="R2",1,0))</f>
        <v>1</v>
      </c>
      <c r="M37" s="11">
        <f t="array" ref="M37">SUM(IF(M3:M34="R2",1,0))</f>
        <v>1</v>
      </c>
      <c r="N37" s="11">
        <f t="array" ref="N37">SUM(IF(N3:N34="R2",1,0))</f>
        <v>0</v>
      </c>
      <c r="O37" s="11">
        <f t="array" ref="O37">SUM(IF(O3:O34="R2",1,0))</f>
        <v>1</v>
      </c>
      <c r="P37" s="11">
        <f t="array" ref="P37">SUM(IF(P3:P34="R2",1,0))</f>
        <v>1</v>
      </c>
      <c r="Q37" s="11">
        <f t="array" ref="Q37">SUM(IF(Q3:Q34="R2",1,0))</f>
        <v>1</v>
      </c>
      <c r="R37" s="11">
        <f t="array" ref="R37">SUM(IF(R3:R34="R2",1,0))</f>
        <v>1</v>
      </c>
      <c r="S37" s="11">
        <f t="array" ref="S37">SUM(IF(S3:S34="R2",1,0))</f>
        <v>1</v>
      </c>
      <c r="T37" s="11">
        <f t="array" ref="T37">SUM(IF(T3:T34="R2",1,0))</f>
        <v>1</v>
      </c>
      <c r="U37" s="11">
        <f t="array" ref="U37">SUM(IF(U3:U34="R2",1,0))</f>
        <v>1</v>
      </c>
      <c r="V37" s="11">
        <f t="array" ref="V37">SUM(IF(V3:V34="R2",1,0))</f>
        <v>1</v>
      </c>
      <c r="W37" s="11">
        <f t="array" ref="W37">SUM(IF(W3:W34="R2",1,0))</f>
        <v>1</v>
      </c>
      <c r="X37" s="11">
        <f t="array" ref="X37">SUM(IF(X3:X34="R2",1,0))</f>
        <v>1</v>
      </c>
      <c r="Y37" s="11">
        <f t="array" ref="Y37">SUM(IF(Y3:Y34="R2",1,0))</f>
        <v>1</v>
      </c>
      <c r="Z37" s="11">
        <f t="array" ref="Z37">SUM(IF(Z3:Z34="R2",1,0))</f>
        <v>1</v>
      </c>
      <c r="AA37" s="11">
        <f t="array" ref="AA37">SUM(IF(AA3:AA34="R2",1,0))</f>
        <v>1</v>
      </c>
      <c r="AB37" s="11">
        <f t="array" ref="AB37">SUM(IF(AB3:AB34="R2",1,0))</f>
        <v>1</v>
      </c>
      <c r="AC37" s="11">
        <f t="array" ref="AC37">SUM(IF(AC3:AC34="R2",1,0))</f>
        <v>1</v>
      </c>
      <c r="AD37" s="11">
        <f t="array" ref="AD37">SUM(IF(AD3:AD34="R2",1,0))</f>
        <v>1</v>
      </c>
      <c r="AE37" s="11">
        <f t="array" ref="AE37">SUM(IF(AE3:AE34="R2",1,0))</f>
        <v>1</v>
      </c>
      <c r="AF37" s="11">
        <f t="array" ref="AF37">SUM(IF(AF3:AF34="R2",1,0))</f>
        <v>1</v>
      </c>
      <c r="AG37" s="11">
        <f t="array" ref="AG37">SUM(IF(AG3:AG34="R2",1,0))</f>
        <v>1</v>
      </c>
      <c r="AH37" s="11">
        <f t="array" ref="AH37">SUM(IF(AH3:AH34="R2",1,0))</f>
        <v>1</v>
      </c>
      <c r="AI37" s="11">
        <f t="array" ref="AI37">SUM(IF(AI3:AI34="R2",1,0))</f>
        <v>1</v>
      </c>
      <c r="AJ37" s="11">
        <f t="array" ref="AJ37">SUM(IF(AJ3:AJ34="R2",1,0))</f>
        <v>1</v>
      </c>
      <c r="AK37" s="11">
        <f t="array" ref="AK37">SUM(IF(AK3:AK34="R2",1,0))</f>
        <v>1</v>
      </c>
      <c r="AL37" s="11">
        <f t="array" ref="AL37">SUM(IF(AL3:AL34="R2",1,0))</f>
        <v>1</v>
      </c>
      <c r="AM37" s="11">
        <f t="array" ref="AM37">SUM(IF(AM3:AM34="R2",1,0))</f>
        <v>1</v>
      </c>
      <c r="AN37" s="11">
        <f t="array" ref="AN37">SUM(IF(AN3:AN34="R2",1,0))</f>
        <v>1</v>
      </c>
      <c r="AO37" s="11">
        <f t="array" ref="AO37">SUM(IF(AO3:AO34="R2",1,0))</f>
        <v>1</v>
      </c>
      <c r="AP37" s="11">
        <f t="array" ref="AP37">SUM(IF(AP3:AP34="R2",1,0))</f>
        <v>1</v>
      </c>
      <c r="AQ37" s="11">
        <f t="array" ref="AQ37">SUM(IF(AQ3:AQ34="R2",1,0))</f>
        <v>1</v>
      </c>
      <c r="AR37" s="11">
        <f t="array" ref="AR37">SUM(IF(AR3:AR34="R2",1,0))</f>
        <v>1</v>
      </c>
      <c r="AS37" s="11">
        <f t="array" ref="AS37">SUM(IF(AS3:AS34="R2",1,0))</f>
        <v>1</v>
      </c>
      <c r="AT37" s="11">
        <f t="array" ref="AT37">SUM(IF(AT3:AT34="R2",1,0))</f>
        <v>1</v>
      </c>
      <c r="AU37" s="11">
        <f t="array" ref="AU37">SUM(IF(AU3:AU34="R2",1,0))</f>
        <v>1</v>
      </c>
      <c r="AV37" s="11"/>
      <c r="AW37" s="11"/>
      <c r="AX37" s="11"/>
      <c r="AY37" s="11"/>
    </row>
    <row r="38">
      <c r="E38" s="46" t="s">
        <v>71</v>
      </c>
      <c r="F38" s="29" t="str">
        <f t="shared" ref="F38:AU38" si="9">IFERROR(INDEX($A$3:$A$34, MATCH(1, INDEX($F$3:$AU$34, 0, MATCH(F2, $F$2:$AU$2, 0)), 0)), INDEX($A$3:$A$34, MATCH(1, INDEX($F$3:$AU$34, 0, MATCH(F2&amp;" AM", $F$2:$AU$2, 0)), 0)))</f>
        <v>3SG YAOCHEN</v>
      </c>
      <c r="G38" s="29" t="str">
        <f t="shared" si="9"/>
        <v>PTE GABRIEL</v>
      </c>
      <c r="H38" s="29" t="str">
        <f t="shared" si="9"/>
        <v>PTE JERRYL</v>
      </c>
      <c r="I38" s="29" t="str">
        <f t="shared" si="9"/>
        <v>LCP GLADWYN</v>
      </c>
      <c r="J38" s="29" t="str">
        <f t="shared" si="9"/>
        <v>PTE TRISTAN</v>
      </c>
      <c r="K38" s="29" t="str">
        <f t="shared" si="9"/>
        <v>REC ASH</v>
      </c>
      <c r="L38" s="29" t="str">
        <f t="shared" si="9"/>
        <v>PTE GABRIEL</v>
      </c>
      <c r="M38" s="29" t="str">
        <f t="shared" si="9"/>
        <v>PTE RYAN</v>
      </c>
      <c r="N38" s="29" t="str">
        <f t="shared" si="9"/>
        <v>PTE MITCHELL</v>
      </c>
      <c r="O38" s="29" t="str">
        <f t="shared" si="9"/>
        <v>PTE ISAAC</v>
      </c>
      <c r="P38" s="29" t="str">
        <f t="shared" si="9"/>
        <v>PTE RYAN</v>
      </c>
      <c r="Q38" s="29" t="str">
        <f t="shared" si="9"/>
        <v>PTE AFIF</v>
      </c>
      <c r="R38" s="29" t="str">
        <f t="shared" si="9"/>
        <v>PTE MITCHELL</v>
      </c>
      <c r="S38" s="29" t="str">
        <f t="shared" si="9"/>
        <v>LCP ZI XUAN</v>
      </c>
      <c r="T38" s="29" t="str">
        <f t="shared" si="9"/>
        <v>REC ASH</v>
      </c>
      <c r="U38" s="29" t="str">
        <f t="shared" si="9"/>
        <v>PTE SURIA</v>
      </c>
      <c r="V38" s="29" t="str">
        <f t="shared" si="9"/>
        <v>PTE NICO</v>
      </c>
      <c r="W38" s="29" t="str">
        <f t="shared" si="9"/>
        <v>LCP EZRA</v>
      </c>
      <c r="X38" s="29" t="str">
        <f t="shared" si="9"/>
        <v>REC RUI FENG</v>
      </c>
      <c r="Y38" s="29" t="str">
        <f t="shared" si="9"/>
        <v>PTE SURIA</v>
      </c>
      <c r="Z38" s="29" t="str">
        <f t="shared" si="9"/>
        <v>CPL FIRMAN</v>
      </c>
      <c r="AA38" s="29" t="str">
        <f t="shared" si="9"/>
        <v>PTE KRISHAN</v>
      </c>
      <c r="AB38" s="29" t="str">
        <f t="shared" si="9"/>
        <v>PTE ISAAC</v>
      </c>
      <c r="AC38" s="29" t="str">
        <f t="shared" si="9"/>
        <v>PTE AZHARI</v>
      </c>
      <c r="AD38" s="29" t="str">
        <f t="shared" si="9"/>
        <v>LCP ZI XUAN</v>
      </c>
      <c r="AE38" s="29" t="str">
        <f t="shared" si="9"/>
        <v>PTE CLARENCE</v>
      </c>
      <c r="AF38" s="29" t="str">
        <f t="shared" si="9"/>
        <v>CPL JIREH</v>
      </c>
      <c r="AG38" s="29" t="str">
        <f t="shared" si="9"/>
        <v>REC RUI FENG</v>
      </c>
      <c r="AH38" s="29" t="str">
        <f t="shared" si="9"/>
        <v>PTE MICHAEL</v>
      </c>
      <c r="AI38" s="29" t="str">
        <f t="shared" si="9"/>
        <v>PTE REUVEN</v>
      </c>
      <c r="AJ38" s="29" t="str">
        <f t="shared" si="9"/>
        <v>LCP EZRA</v>
      </c>
      <c r="AK38" s="29" t="str">
        <f t="shared" si="9"/>
        <v>PTE JERRYL</v>
      </c>
      <c r="AL38" s="29" t="str">
        <f t="shared" si="9"/>
        <v>PTE KRISHAN</v>
      </c>
      <c r="AM38" s="29" t="str">
        <f t="shared" si="9"/>
        <v>PTE INDRA</v>
      </c>
      <c r="AN38" s="29" t="str">
        <f t="shared" si="9"/>
        <v>PTE CLARENCE</v>
      </c>
      <c r="AO38" s="29" t="str">
        <f t="shared" si="9"/>
        <v>PTE AZHARI</v>
      </c>
      <c r="AP38" s="29" t="str">
        <f t="shared" si="9"/>
        <v>PTE REUVEN</v>
      </c>
      <c r="AQ38" s="29" t="str">
        <f t="shared" si="9"/>
        <v>LCP GLADWYN</v>
      </c>
      <c r="AR38" s="29" t="str">
        <f t="shared" si="9"/>
        <v>PTE NICO</v>
      </c>
      <c r="AS38" s="29" t="str">
        <f t="shared" si="9"/>
        <v>PTE TRISTAN</v>
      </c>
      <c r="AT38" s="29" t="str">
        <f t="shared" si="9"/>
        <v>PTE MICHAEL</v>
      </c>
      <c r="AU38" s="29" t="str">
        <f t="shared" si="9"/>
        <v>PTE INDRA</v>
      </c>
      <c r="AV38" s="29"/>
      <c r="AW38" s="29"/>
      <c r="AX38" s="29"/>
      <c r="AY38" s="29"/>
    </row>
    <row r="39">
      <c r="E39" s="46" t="s">
        <v>72</v>
      </c>
      <c r="F39" s="28" t="str">
        <f t="shared" ref="F39:AU39" si="10">INDEX($A$3:$A$34, MATCH("R", INDEX($F$3:$AU$34, 0, MATCH(F2, $F$2:$AU$2, 0)), 0))</f>
        <v>REC RUI FENG</v>
      </c>
      <c r="G39" s="28" t="str">
        <f t="shared" si="10"/>
        <v>PTE NICO</v>
      </c>
      <c r="H39" s="28" t="str">
        <f t="shared" si="10"/>
        <v>PTE INDRA</v>
      </c>
      <c r="I39" s="28" t="str">
        <f t="shared" si="10"/>
        <v>PTE KRISHAN</v>
      </c>
      <c r="J39" s="28" t="str">
        <f t="shared" si="10"/>
        <v>CPL JIREH</v>
      </c>
      <c r="K39" s="28" t="str">
        <f t="shared" si="10"/>
        <v>PTE ISAAC</v>
      </c>
      <c r="L39" s="28" t="str">
        <f t="shared" si="10"/>
        <v>PTE KRISHAN</v>
      </c>
      <c r="M39" s="28" t="str">
        <f t="shared" si="10"/>
        <v>PTE ISAAC</v>
      </c>
      <c r="N39" s="28" t="str">
        <f t="shared" si="10"/>
        <v>PTE TRISTAN</v>
      </c>
      <c r="O39" s="28" t="str">
        <f t="shared" si="10"/>
        <v>PTE REUVEN</v>
      </c>
      <c r="P39" s="28" t="str">
        <f t="shared" si="10"/>
        <v>PTE MITCHELL</v>
      </c>
      <c r="Q39" s="28" t="str">
        <f t="shared" si="10"/>
        <v>PTE GABRIEL</v>
      </c>
      <c r="R39" s="28" t="str">
        <f t="shared" si="10"/>
        <v>CPL JIREH</v>
      </c>
      <c r="S39" s="28" t="str">
        <f t="shared" si="10"/>
        <v>PTE TRISTAN</v>
      </c>
      <c r="T39" s="28" t="str">
        <f t="shared" si="10"/>
        <v>LCP EZRA</v>
      </c>
      <c r="U39" s="28" t="str">
        <f t="shared" si="10"/>
        <v>PTE JERRYL</v>
      </c>
      <c r="V39" s="28" t="str">
        <f t="shared" si="10"/>
        <v>REC ASH</v>
      </c>
      <c r="W39" s="28" t="str">
        <f t="shared" si="10"/>
        <v>PTE AZHARI</v>
      </c>
      <c r="X39" s="28" t="str">
        <f t="shared" si="10"/>
        <v>PTE CLARENCE</v>
      </c>
      <c r="Y39" s="28" t="str">
        <f t="shared" si="10"/>
        <v>PTE RYAN</v>
      </c>
      <c r="Z39" s="28" t="str">
        <f t="shared" si="10"/>
        <v>PTE AZHARI</v>
      </c>
      <c r="AA39" s="28" t="str">
        <f t="shared" si="10"/>
        <v>PTE SURIA</v>
      </c>
      <c r="AB39" s="28" t="str">
        <f t="shared" si="10"/>
        <v>REC ASH</v>
      </c>
      <c r="AC39" s="28" t="str">
        <f t="shared" si="10"/>
        <v>PTE JERRYL</v>
      </c>
      <c r="AD39" s="28" t="str">
        <f t="shared" si="10"/>
        <v>PTE SURIA</v>
      </c>
      <c r="AE39" s="28" t="str">
        <f t="shared" si="10"/>
        <v>PTE RYAN</v>
      </c>
      <c r="AF39" s="28" t="str">
        <f t="shared" si="10"/>
        <v>PTE MITCHELL</v>
      </c>
      <c r="AG39" s="28" t="str">
        <f t="shared" si="10"/>
        <v>CPL FIRMAN</v>
      </c>
      <c r="AH39" s="28" t="str">
        <f t="shared" si="10"/>
        <v>PTE AFIF</v>
      </c>
      <c r="AI39" s="28" t="str">
        <f t="shared" si="10"/>
        <v>REC RUI FENG</v>
      </c>
      <c r="AJ39" s="28" t="str">
        <f t="shared" si="10"/>
        <v>CPL FIRMAN</v>
      </c>
      <c r="AK39" s="28" t="str">
        <f t="shared" si="10"/>
        <v>PTE AFIF</v>
      </c>
      <c r="AL39" s="28" t="str">
        <f t="shared" si="10"/>
        <v>LCP ZI XUAN</v>
      </c>
      <c r="AM39" s="28" t="str">
        <f t="shared" si="10"/>
        <v>PTE NICO</v>
      </c>
      <c r="AN39" s="28" t="str">
        <f t="shared" si="10"/>
        <v>LCP GLADWYN</v>
      </c>
      <c r="AO39" s="28" t="str">
        <f t="shared" si="10"/>
        <v>PTE MICHAEL</v>
      </c>
      <c r="AP39" s="28" t="str">
        <f t="shared" si="10"/>
        <v>PTE INDRA</v>
      </c>
      <c r="AQ39" s="28" t="str">
        <f t="shared" si="10"/>
        <v>LCP ZI XUAN</v>
      </c>
      <c r="AR39" s="28" t="str">
        <f t="shared" si="10"/>
        <v>PTE REUVEN</v>
      </c>
      <c r="AS39" s="28" t="str">
        <f t="shared" si="10"/>
        <v>LCP GLADWYN</v>
      </c>
      <c r="AT39" s="28" t="str">
        <f t="shared" si="10"/>
        <v>3SG YAOCHEN</v>
      </c>
      <c r="AU39" s="28" t="str">
        <f t="shared" si="10"/>
        <v>PTE CLARENCE</v>
      </c>
    </row>
    <row r="40">
      <c r="A40" s="17" t="s">
        <v>232</v>
      </c>
      <c r="C40" s="49">
        <f>COUNTA($F$1:$AU$1)</f>
        <v>42</v>
      </c>
      <c r="E40" s="46" t="s">
        <v>70</v>
      </c>
      <c r="F40" s="30" t="str">
        <f t="shared" ref="F40:AU40" si="11">INDEX($A$3:$A$34, MATCH("R2", INDEX($F$3:$AU$34, 0, MATCH(F2, $F$2:$AU$2, 0)), 0))</f>
        <v>PTE INDRA</v>
      </c>
      <c r="G40" s="30" t="str">
        <f t="shared" si="11"/>
        <v>CPL JIREH</v>
      </c>
      <c r="H40" s="30" t="str">
        <f t="shared" si="11"/>
        <v>3SG YAOCHEN</v>
      </c>
      <c r="I40" s="30" t="str">
        <f t="shared" si="11"/>
        <v>LCP EZRA</v>
      </c>
      <c r="J40" s="30" t="str">
        <f t="shared" si="11"/>
        <v>PTE MITCHELL</v>
      </c>
      <c r="K40" s="30" t="str">
        <f t="shared" si="11"/>
        <v>PTE INDRA</v>
      </c>
      <c r="L40" s="30" t="str">
        <f t="shared" si="11"/>
        <v>PTE MICHAEL</v>
      </c>
      <c r="M40" s="30" t="str">
        <f t="shared" si="11"/>
        <v>LCP EZRA</v>
      </c>
      <c r="N40" s="30" t="str">
        <f t="shared" si="11"/>
        <v>#N/A</v>
      </c>
      <c r="O40" s="30" t="str">
        <f t="shared" si="11"/>
        <v>PTE KRISHAN</v>
      </c>
      <c r="P40" s="30" t="str">
        <f t="shared" si="11"/>
        <v>PTE CLARENCE</v>
      </c>
      <c r="Q40" s="30" t="str">
        <f t="shared" si="11"/>
        <v>PTE AZHARI</v>
      </c>
      <c r="R40" s="30" t="str">
        <f t="shared" si="11"/>
        <v>PTE ISAAC</v>
      </c>
      <c r="S40" s="30" t="str">
        <f t="shared" si="11"/>
        <v>PTE KRISHAN</v>
      </c>
      <c r="T40" s="30" t="str">
        <f t="shared" si="11"/>
        <v>PTE CLARENCE</v>
      </c>
      <c r="U40" s="30" t="str">
        <f t="shared" si="11"/>
        <v>PTE RYAN</v>
      </c>
      <c r="V40" s="30" t="str">
        <f t="shared" si="11"/>
        <v>PTE GABRIEL</v>
      </c>
      <c r="W40" s="30" t="str">
        <f t="shared" si="11"/>
        <v>PTE SURIA</v>
      </c>
      <c r="X40" s="30" t="str">
        <f t="shared" si="11"/>
        <v>PTE JERRYL</v>
      </c>
      <c r="Y40" s="30" t="str">
        <f t="shared" si="11"/>
        <v>PTE GABRIEL</v>
      </c>
      <c r="Z40" s="30" t="str">
        <f t="shared" si="11"/>
        <v>PTE AFIF</v>
      </c>
      <c r="AA40" s="30" t="str">
        <f t="shared" si="11"/>
        <v>PTE MITCHELL</v>
      </c>
      <c r="AB40" s="30" t="str">
        <f t="shared" si="11"/>
        <v>PTE RYAN</v>
      </c>
      <c r="AC40" s="30" t="str">
        <f t="shared" si="11"/>
        <v>PTE NICO</v>
      </c>
      <c r="AD40" s="30" t="str">
        <f t="shared" si="11"/>
        <v>REC ASH</v>
      </c>
      <c r="AE40" s="30" t="str">
        <f t="shared" si="11"/>
        <v>LCP GLADWYN</v>
      </c>
      <c r="AF40" s="30" t="str">
        <f t="shared" si="11"/>
        <v>REC ASH</v>
      </c>
      <c r="AG40" s="30" t="str">
        <f t="shared" si="11"/>
        <v>3SG YAOCHEN</v>
      </c>
      <c r="AH40" s="30" t="str">
        <f t="shared" si="11"/>
        <v>PTE SURIA</v>
      </c>
      <c r="AI40" s="30" t="str">
        <f t="shared" si="11"/>
        <v>LCP GLADWYN</v>
      </c>
      <c r="AJ40" s="30" t="str">
        <f t="shared" si="11"/>
        <v>PTE NICO</v>
      </c>
      <c r="AK40" s="30" t="str">
        <f t="shared" si="11"/>
        <v>PTE TRISTAN</v>
      </c>
      <c r="AL40" s="30" t="str">
        <f t="shared" si="11"/>
        <v>PTE MICHAEL</v>
      </c>
      <c r="AM40" s="30" t="str">
        <f t="shared" si="11"/>
        <v>CPL FIRMAN</v>
      </c>
      <c r="AN40" s="30" t="str">
        <f t="shared" si="11"/>
        <v>PTE TRISTAN</v>
      </c>
      <c r="AO40" s="30" t="str">
        <f t="shared" si="11"/>
        <v>PTE AFIF</v>
      </c>
      <c r="AP40" s="30" t="str">
        <f t="shared" si="11"/>
        <v>REC RUI FENG</v>
      </c>
      <c r="AQ40" s="30" t="str">
        <f t="shared" si="11"/>
        <v>CPL FIRMAN</v>
      </c>
      <c r="AR40" s="30" t="str">
        <f t="shared" si="11"/>
        <v>REC RUI FENG</v>
      </c>
      <c r="AS40" s="30" t="str">
        <f t="shared" si="11"/>
        <v>LCP ZI XUAN</v>
      </c>
      <c r="AT40" s="30" t="str">
        <f t="shared" si="11"/>
        <v>PTE ISAAC</v>
      </c>
      <c r="AU40" s="30" t="str">
        <f t="shared" si="11"/>
        <v>LCP ZI XUAN</v>
      </c>
      <c r="AV40" s="30"/>
      <c r="AW40" s="30"/>
      <c r="AX40" s="30"/>
      <c r="AY40" s="30"/>
    </row>
    <row r="41">
      <c r="A41" s="17" t="s">
        <v>154</v>
      </c>
      <c r="C41" s="50">
        <f>SUBTOTAL(103, $A$3:$A$34)
</f>
        <v>23</v>
      </c>
      <c r="H41" s="31"/>
    </row>
    <row r="42">
      <c r="H42" s="31"/>
    </row>
    <row r="43">
      <c r="H43" s="31"/>
    </row>
    <row r="44">
      <c r="A44" s="26" t="s">
        <v>118</v>
      </c>
      <c r="H44" s="31"/>
    </row>
    <row r="45">
      <c r="A45" s="25" t="s">
        <v>119</v>
      </c>
      <c r="H45" s="31"/>
    </row>
    <row r="46">
      <c r="A46" s="22" t="s">
        <v>120</v>
      </c>
      <c r="H46" s="31"/>
    </row>
    <row r="47">
      <c r="A47" s="20" t="s">
        <v>121</v>
      </c>
      <c r="H47" s="31"/>
    </row>
    <row r="48">
      <c r="A48" s="23" t="s">
        <v>122</v>
      </c>
      <c r="H48" s="31"/>
    </row>
    <row r="49">
      <c r="A49" s="14" t="s">
        <v>123</v>
      </c>
      <c r="H49" s="31"/>
    </row>
    <row r="50">
      <c r="A50" s="9" t="s">
        <v>125</v>
      </c>
      <c r="H50" s="31"/>
    </row>
    <row r="51">
      <c r="A51" s="44" t="s">
        <v>126</v>
      </c>
      <c r="C51" s="31"/>
      <c r="H51" s="31"/>
    </row>
    <row r="52">
      <c r="A52" s="62" t="s">
        <v>203</v>
      </c>
      <c r="H52" s="31"/>
    </row>
    <row r="53">
      <c r="A53" s="70" t="s">
        <v>233</v>
      </c>
      <c r="H53" s="31"/>
    </row>
    <row r="54">
      <c r="A54" s="69" t="s">
        <v>234</v>
      </c>
      <c r="H54" s="31"/>
    </row>
    <row r="55">
      <c r="A55" s="27" t="s">
        <v>124</v>
      </c>
      <c r="H55" s="31"/>
    </row>
    <row r="56">
      <c r="H56" s="31"/>
    </row>
    <row r="57">
      <c r="H57" s="31"/>
    </row>
    <row r="58">
      <c r="H58" s="31"/>
    </row>
    <row r="59">
      <c r="H59" s="31"/>
    </row>
    <row r="60">
      <c r="H60" s="31"/>
    </row>
    <row r="61">
      <c r="H61" s="31"/>
    </row>
    <row r="62">
      <c r="H62" s="31"/>
    </row>
    <row r="63">
      <c r="H63" s="31"/>
    </row>
    <row r="64">
      <c r="H64" s="31"/>
    </row>
    <row r="65">
      <c r="H65" s="31"/>
    </row>
    <row r="66">
      <c r="H66" s="31"/>
    </row>
    <row r="67">
      <c r="H67" s="31"/>
    </row>
    <row r="68">
      <c r="H68" s="31"/>
    </row>
    <row r="69">
      <c r="H69" s="31"/>
    </row>
    <row r="70">
      <c r="H70" s="31"/>
    </row>
    <row r="71">
      <c r="H71" s="31"/>
    </row>
    <row r="72">
      <c r="H72" s="31"/>
    </row>
    <row r="73">
      <c r="H73" s="31"/>
    </row>
    <row r="74">
      <c r="H74" s="31"/>
    </row>
    <row r="75">
      <c r="H75" s="31"/>
    </row>
    <row r="76">
      <c r="H76" s="31"/>
    </row>
    <row r="77">
      <c r="H77" s="31"/>
    </row>
    <row r="78">
      <c r="H78" s="31"/>
    </row>
    <row r="79">
      <c r="H79" s="31"/>
    </row>
    <row r="80">
      <c r="H80" s="31"/>
    </row>
    <row r="81">
      <c r="H81" s="31"/>
    </row>
    <row r="82">
      <c r="H82" s="31"/>
    </row>
    <row r="83">
      <c r="H83" s="31"/>
    </row>
    <row r="84">
      <c r="H84" s="31"/>
    </row>
    <row r="85">
      <c r="H85" s="31"/>
    </row>
    <row r="86">
      <c r="H86" s="31"/>
    </row>
    <row r="87">
      <c r="H87" s="31"/>
    </row>
    <row r="88">
      <c r="H88" s="31"/>
    </row>
    <row r="89">
      <c r="H89" s="31"/>
    </row>
    <row r="90">
      <c r="H90" s="31"/>
    </row>
    <row r="91">
      <c r="H91" s="31"/>
    </row>
    <row r="92">
      <c r="H92" s="31"/>
    </row>
    <row r="93">
      <c r="H93" s="31"/>
    </row>
    <row r="94">
      <c r="H94" s="31"/>
    </row>
    <row r="95">
      <c r="H95" s="31"/>
    </row>
    <row r="96">
      <c r="H96" s="31"/>
    </row>
    <row r="97">
      <c r="H97" s="31"/>
    </row>
    <row r="98">
      <c r="H98" s="31"/>
    </row>
    <row r="99">
      <c r="H99" s="31"/>
    </row>
    <row r="100">
      <c r="H100" s="31"/>
    </row>
    <row r="101">
      <c r="H101" s="31"/>
    </row>
    <row r="102">
      <c r="H102" s="31"/>
    </row>
    <row r="103">
      <c r="H103" s="31"/>
    </row>
    <row r="104">
      <c r="H104" s="31"/>
    </row>
    <row r="105">
      <c r="H105" s="31"/>
    </row>
    <row r="106">
      <c r="H106" s="31"/>
    </row>
    <row r="107">
      <c r="H107" s="31"/>
    </row>
    <row r="108">
      <c r="H108" s="31"/>
    </row>
    <row r="109">
      <c r="H109" s="31"/>
    </row>
    <row r="110">
      <c r="H110" s="31"/>
    </row>
    <row r="111">
      <c r="H111" s="31"/>
    </row>
    <row r="112">
      <c r="H112" s="31"/>
    </row>
    <row r="113">
      <c r="H113" s="31"/>
    </row>
    <row r="114">
      <c r="H114" s="31"/>
    </row>
    <row r="115">
      <c r="H115" s="31"/>
    </row>
    <row r="116">
      <c r="H116" s="31"/>
    </row>
    <row r="117">
      <c r="H117" s="31"/>
    </row>
    <row r="118">
      <c r="H118" s="31"/>
    </row>
    <row r="119">
      <c r="H119" s="31"/>
    </row>
    <row r="120">
      <c r="H120" s="31"/>
    </row>
    <row r="121">
      <c r="H121" s="31"/>
    </row>
    <row r="122">
      <c r="H122" s="31"/>
    </row>
    <row r="123">
      <c r="H123" s="31"/>
    </row>
    <row r="124">
      <c r="H124" s="31"/>
    </row>
    <row r="125">
      <c r="H125" s="31"/>
    </row>
    <row r="126">
      <c r="H126" s="31"/>
    </row>
    <row r="127">
      <c r="H127" s="31"/>
    </row>
    <row r="128">
      <c r="H128" s="31"/>
    </row>
    <row r="129">
      <c r="H129" s="31"/>
    </row>
    <row r="130">
      <c r="H130" s="31"/>
    </row>
    <row r="131">
      <c r="H131" s="31"/>
    </row>
    <row r="132">
      <c r="H132" s="31"/>
    </row>
    <row r="133">
      <c r="H133" s="31"/>
    </row>
    <row r="134">
      <c r="H134" s="31"/>
    </row>
    <row r="135">
      <c r="H135" s="31"/>
    </row>
    <row r="136">
      <c r="H136" s="31"/>
    </row>
    <row r="137">
      <c r="H137" s="31"/>
    </row>
    <row r="138">
      <c r="H138" s="31"/>
    </row>
    <row r="139">
      <c r="H139" s="31"/>
    </row>
    <row r="140">
      <c r="H140" s="31"/>
    </row>
    <row r="141">
      <c r="H141" s="31"/>
    </row>
    <row r="142">
      <c r="H142" s="31"/>
    </row>
    <row r="143">
      <c r="H143" s="31"/>
    </row>
    <row r="144">
      <c r="H144" s="31"/>
    </row>
    <row r="145">
      <c r="H145" s="31"/>
    </row>
    <row r="146">
      <c r="H146" s="31"/>
    </row>
    <row r="147">
      <c r="H147" s="31"/>
    </row>
    <row r="148">
      <c r="H148" s="31"/>
    </row>
    <row r="149">
      <c r="H149" s="31"/>
    </row>
    <row r="150">
      <c r="H150" s="31"/>
    </row>
    <row r="151">
      <c r="H151" s="31"/>
    </row>
    <row r="152">
      <c r="H152" s="31"/>
    </row>
    <row r="153">
      <c r="H153" s="31"/>
    </row>
    <row r="154">
      <c r="H154" s="31"/>
    </row>
    <row r="155">
      <c r="H155" s="31"/>
    </row>
    <row r="156">
      <c r="H156" s="31"/>
    </row>
    <row r="157">
      <c r="H157" s="31"/>
    </row>
    <row r="158">
      <c r="H158" s="31"/>
    </row>
    <row r="159">
      <c r="H159" s="31"/>
    </row>
    <row r="160">
      <c r="H160" s="31"/>
    </row>
    <row r="161">
      <c r="H161" s="31"/>
    </row>
    <row r="162">
      <c r="H162" s="31"/>
    </row>
    <row r="163">
      <c r="H163" s="31"/>
    </row>
    <row r="164">
      <c r="H164" s="31"/>
    </row>
    <row r="165">
      <c r="H165" s="31"/>
    </row>
    <row r="166">
      <c r="H166" s="31"/>
    </row>
    <row r="167">
      <c r="H167" s="31"/>
    </row>
    <row r="168">
      <c r="H168" s="31"/>
    </row>
    <row r="169">
      <c r="H169" s="31"/>
    </row>
    <row r="170">
      <c r="H170" s="31"/>
    </row>
    <row r="171">
      <c r="H171" s="31"/>
    </row>
    <row r="172">
      <c r="H172" s="31"/>
    </row>
    <row r="173">
      <c r="H173" s="31"/>
    </row>
    <row r="174">
      <c r="H174" s="31"/>
    </row>
    <row r="175">
      <c r="H175" s="31"/>
    </row>
    <row r="176">
      <c r="H176" s="31"/>
    </row>
    <row r="177">
      <c r="H177" s="31"/>
    </row>
    <row r="178">
      <c r="H178" s="31"/>
    </row>
    <row r="179">
      <c r="H179" s="31"/>
    </row>
    <row r="180">
      <c r="H180" s="31"/>
    </row>
    <row r="181">
      <c r="H181" s="31"/>
    </row>
    <row r="182">
      <c r="H182" s="31"/>
    </row>
    <row r="183">
      <c r="H183" s="31"/>
    </row>
    <row r="184">
      <c r="H184" s="31"/>
    </row>
    <row r="185">
      <c r="H185" s="31"/>
    </row>
    <row r="186">
      <c r="H186" s="31"/>
    </row>
    <row r="187">
      <c r="H187" s="31"/>
    </row>
    <row r="188">
      <c r="H188" s="31"/>
    </row>
    <row r="189">
      <c r="H189" s="31"/>
    </row>
    <row r="190">
      <c r="H190" s="31"/>
    </row>
    <row r="191">
      <c r="H191" s="31"/>
    </row>
    <row r="192">
      <c r="H192" s="31"/>
    </row>
    <row r="193">
      <c r="H193" s="31"/>
    </row>
    <row r="194">
      <c r="H194" s="31"/>
    </row>
    <row r="195">
      <c r="H195" s="31"/>
    </row>
    <row r="196">
      <c r="H196" s="31"/>
    </row>
    <row r="197">
      <c r="H197" s="31"/>
    </row>
    <row r="198">
      <c r="H198" s="31"/>
    </row>
    <row r="199">
      <c r="H199" s="31"/>
    </row>
    <row r="200">
      <c r="H200" s="31"/>
    </row>
    <row r="201">
      <c r="H201" s="31"/>
    </row>
    <row r="202">
      <c r="H202" s="31"/>
    </row>
    <row r="203">
      <c r="H203" s="31"/>
    </row>
    <row r="204">
      <c r="H204" s="31"/>
    </row>
    <row r="205">
      <c r="H205" s="31"/>
    </row>
    <row r="206">
      <c r="H206" s="31"/>
    </row>
    <row r="207">
      <c r="H207" s="31"/>
    </row>
    <row r="208">
      <c r="H208" s="31"/>
    </row>
    <row r="209">
      <c r="H209" s="31"/>
    </row>
    <row r="210">
      <c r="H210" s="31"/>
    </row>
    <row r="211">
      <c r="H211" s="31"/>
    </row>
    <row r="212">
      <c r="H212" s="31"/>
    </row>
    <row r="213">
      <c r="H213" s="31"/>
    </row>
    <row r="214">
      <c r="H214" s="31"/>
    </row>
    <row r="215">
      <c r="H215" s="31"/>
    </row>
    <row r="216">
      <c r="H216" s="31"/>
    </row>
    <row r="217">
      <c r="H217" s="31"/>
    </row>
    <row r="218">
      <c r="H218" s="31"/>
    </row>
    <row r="219">
      <c r="H219" s="31"/>
    </row>
    <row r="220">
      <c r="H220" s="31"/>
    </row>
    <row r="221">
      <c r="H221" s="31"/>
    </row>
    <row r="222">
      <c r="H222" s="31"/>
    </row>
    <row r="223">
      <c r="H223" s="31"/>
    </row>
    <row r="224">
      <c r="H224" s="31"/>
    </row>
    <row r="225">
      <c r="H225" s="31"/>
    </row>
    <row r="226">
      <c r="H226" s="31"/>
    </row>
    <row r="227">
      <c r="H227" s="31"/>
    </row>
    <row r="228">
      <c r="H228" s="31"/>
    </row>
    <row r="229">
      <c r="H229" s="31"/>
    </row>
    <row r="230">
      <c r="H230" s="31"/>
    </row>
    <row r="231">
      <c r="H231" s="31"/>
    </row>
    <row r="232">
      <c r="H232" s="31"/>
    </row>
    <row r="233">
      <c r="H233" s="31"/>
    </row>
    <row r="234">
      <c r="H234" s="31"/>
    </row>
    <row r="235">
      <c r="H235" s="31"/>
    </row>
    <row r="236">
      <c r="H236" s="31"/>
    </row>
    <row r="237">
      <c r="H237" s="31"/>
    </row>
    <row r="238">
      <c r="H238" s="31"/>
    </row>
    <row r="239">
      <c r="H239" s="31"/>
    </row>
    <row r="240">
      <c r="H240" s="31"/>
    </row>
    <row r="241">
      <c r="H241" s="31"/>
    </row>
    <row r="242">
      <c r="H242" s="31"/>
    </row>
    <row r="243">
      <c r="H243" s="31"/>
    </row>
    <row r="244">
      <c r="H244" s="31"/>
    </row>
    <row r="245">
      <c r="H245" s="31"/>
    </row>
    <row r="246">
      <c r="H246" s="31"/>
    </row>
    <row r="247">
      <c r="H247" s="31"/>
    </row>
    <row r="248">
      <c r="H248" s="31"/>
    </row>
    <row r="249">
      <c r="H249" s="31"/>
    </row>
    <row r="250">
      <c r="H250" s="31"/>
    </row>
    <row r="251">
      <c r="H251" s="31"/>
    </row>
    <row r="252">
      <c r="H252" s="31"/>
    </row>
    <row r="253">
      <c r="H253" s="31"/>
    </row>
    <row r="254">
      <c r="H254" s="31"/>
    </row>
    <row r="255">
      <c r="H255" s="31"/>
    </row>
    <row r="256">
      <c r="H256" s="31"/>
    </row>
    <row r="257">
      <c r="H257" s="31"/>
    </row>
    <row r="258">
      <c r="H258" s="31"/>
    </row>
    <row r="259">
      <c r="H259" s="31"/>
    </row>
    <row r="260">
      <c r="H260" s="31"/>
    </row>
    <row r="261">
      <c r="H261" s="31"/>
    </row>
    <row r="262">
      <c r="H262" s="31"/>
    </row>
    <row r="263">
      <c r="H263" s="31"/>
    </row>
    <row r="264">
      <c r="H264" s="31"/>
    </row>
    <row r="265">
      <c r="H265" s="31"/>
    </row>
    <row r="266">
      <c r="H266" s="31"/>
    </row>
    <row r="267">
      <c r="H267" s="31"/>
    </row>
    <row r="268">
      <c r="H268" s="31"/>
    </row>
    <row r="269">
      <c r="H269" s="31"/>
    </row>
    <row r="270">
      <c r="H270" s="31"/>
    </row>
    <row r="271">
      <c r="H271" s="31"/>
    </row>
    <row r="272">
      <c r="H272" s="31"/>
    </row>
    <row r="273">
      <c r="H273" s="31"/>
    </row>
    <row r="274">
      <c r="H274" s="31"/>
    </row>
    <row r="275">
      <c r="H275" s="31"/>
    </row>
    <row r="276">
      <c r="H276" s="31"/>
    </row>
    <row r="277">
      <c r="H277" s="31"/>
    </row>
    <row r="278">
      <c r="H278" s="31"/>
    </row>
    <row r="279">
      <c r="H279" s="31"/>
    </row>
    <row r="280">
      <c r="H280" s="31"/>
    </row>
    <row r="281">
      <c r="H281" s="31"/>
    </row>
    <row r="282">
      <c r="H282" s="31"/>
    </row>
    <row r="283">
      <c r="H283" s="31"/>
    </row>
    <row r="284">
      <c r="H284" s="31"/>
    </row>
    <row r="285">
      <c r="H285" s="31"/>
    </row>
    <row r="286">
      <c r="H286" s="31"/>
    </row>
    <row r="287">
      <c r="H287" s="31"/>
    </row>
    <row r="288">
      <c r="H288" s="31"/>
    </row>
    <row r="289">
      <c r="H289" s="31"/>
    </row>
    <row r="290">
      <c r="H290" s="31"/>
    </row>
    <row r="291">
      <c r="H291" s="31"/>
    </row>
    <row r="292">
      <c r="H292" s="31"/>
    </row>
    <row r="293">
      <c r="H293" s="31"/>
    </row>
    <row r="294">
      <c r="H294" s="31"/>
    </row>
    <row r="295">
      <c r="H295" s="31"/>
    </row>
    <row r="296">
      <c r="H296" s="31"/>
    </row>
    <row r="297">
      <c r="H297" s="31"/>
    </row>
    <row r="298">
      <c r="H298" s="31"/>
    </row>
    <row r="299">
      <c r="H299" s="31"/>
    </row>
    <row r="300">
      <c r="H300" s="31"/>
    </row>
    <row r="301">
      <c r="H301" s="31"/>
    </row>
    <row r="302">
      <c r="H302" s="31"/>
    </row>
    <row r="303">
      <c r="H303" s="31"/>
    </row>
    <row r="304">
      <c r="H304" s="31"/>
    </row>
    <row r="305">
      <c r="H305" s="31"/>
    </row>
    <row r="306">
      <c r="H306" s="31"/>
    </row>
    <row r="307">
      <c r="H307" s="31"/>
    </row>
    <row r="308">
      <c r="H308" s="31"/>
    </row>
    <row r="309">
      <c r="H309" s="31"/>
    </row>
    <row r="310">
      <c r="H310" s="31"/>
    </row>
    <row r="311">
      <c r="H311" s="31"/>
    </row>
    <row r="312">
      <c r="H312" s="31"/>
    </row>
    <row r="313">
      <c r="H313" s="31"/>
    </row>
    <row r="314">
      <c r="H314" s="31"/>
    </row>
    <row r="315">
      <c r="H315" s="31"/>
    </row>
    <row r="316">
      <c r="H316" s="31"/>
    </row>
    <row r="317">
      <c r="H317" s="31"/>
    </row>
    <row r="318">
      <c r="H318" s="31"/>
    </row>
    <row r="319">
      <c r="H319" s="31"/>
    </row>
    <row r="320">
      <c r="H320" s="31"/>
    </row>
    <row r="321">
      <c r="H321" s="31"/>
    </row>
    <row r="322">
      <c r="H322" s="31"/>
    </row>
    <row r="323">
      <c r="H323" s="31"/>
    </row>
    <row r="324">
      <c r="H324" s="31"/>
    </row>
    <row r="325">
      <c r="H325" s="31"/>
    </row>
    <row r="326">
      <c r="H326" s="31"/>
    </row>
    <row r="327">
      <c r="H327" s="31"/>
    </row>
    <row r="328">
      <c r="H328" s="31"/>
    </row>
    <row r="329">
      <c r="H329" s="31"/>
    </row>
    <row r="330">
      <c r="H330" s="31"/>
    </row>
    <row r="331">
      <c r="H331" s="31"/>
    </row>
    <row r="332">
      <c r="H332" s="31"/>
    </row>
    <row r="333">
      <c r="H333" s="31"/>
    </row>
    <row r="334">
      <c r="H334" s="31"/>
    </row>
    <row r="335">
      <c r="H335" s="31"/>
    </row>
    <row r="336">
      <c r="H336" s="31"/>
    </row>
    <row r="337">
      <c r="H337" s="31"/>
    </row>
    <row r="338">
      <c r="H338" s="31"/>
    </row>
    <row r="339">
      <c r="H339" s="31"/>
    </row>
    <row r="340">
      <c r="H340" s="31"/>
    </row>
    <row r="341">
      <c r="H341" s="31"/>
    </row>
    <row r="342">
      <c r="H342" s="31"/>
    </row>
    <row r="343">
      <c r="H343" s="31"/>
    </row>
    <row r="344">
      <c r="H344" s="31"/>
    </row>
    <row r="345">
      <c r="H345" s="31"/>
    </row>
    <row r="346">
      <c r="H346" s="31"/>
    </row>
    <row r="347">
      <c r="H347" s="31"/>
    </row>
    <row r="348">
      <c r="H348" s="31"/>
    </row>
    <row r="349">
      <c r="H349" s="31"/>
    </row>
    <row r="350">
      <c r="H350" s="31"/>
    </row>
    <row r="351">
      <c r="H351" s="31"/>
    </row>
    <row r="352">
      <c r="H352" s="31"/>
    </row>
    <row r="353">
      <c r="H353" s="31"/>
    </row>
    <row r="354">
      <c r="H354" s="31"/>
    </row>
    <row r="355">
      <c r="H355" s="31"/>
    </row>
    <row r="356">
      <c r="H356" s="31"/>
    </row>
    <row r="357">
      <c r="H357" s="31"/>
    </row>
    <row r="358">
      <c r="H358" s="31"/>
    </row>
    <row r="359">
      <c r="H359" s="31"/>
    </row>
    <row r="360">
      <c r="H360" s="31"/>
    </row>
    <row r="361">
      <c r="H361" s="31"/>
    </row>
    <row r="362">
      <c r="H362" s="31"/>
    </row>
    <row r="363">
      <c r="H363" s="31"/>
    </row>
    <row r="364">
      <c r="H364" s="31"/>
    </row>
    <row r="365">
      <c r="H365" s="31"/>
    </row>
    <row r="366">
      <c r="H366" s="31"/>
    </row>
    <row r="367">
      <c r="H367" s="31"/>
    </row>
    <row r="368">
      <c r="H368" s="31"/>
    </row>
    <row r="369">
      <c r="H369" s="31"/>
    </row>
    <row r="370">
      <c r="H370" s="31"/>
    </row>
    <row r="371">
      <c r="H371" s="31"/>
    </row>
    <row r="372">
      <c r="H372" s="31"/>
    </row>
    <row r="373">
      <c r="H373" s="31"/>
    </row>
    <row r="374">
      <c r="H374" s="31"/>
    </row>
    <row r="375">
      <c r="H375" s="31"/>
    </row>
    <row r="376">
      <c r="H376" s="31"/>
    </row>
    <row r="377">
      <c r="H377" s="31"/>
    </row>
    <row r="378">
      <c r="H378" s="31"/>
    </row>
    <row r="379">
      <c r="H379" s="31"/>
    </row>
    <row r="380">
      <c r="H380" s="31"/>
    </row>
    <row r="381">
      <c r="H381" s="31"/>
    </row>
    <row r="382">
      <c r="H382" s="31"/>
    </row>
    <row r="383">
      <c r="H383" s="31"/>
    </row>
    <row r="384">
      <c r="H384" s="31"/>
    </row>
    <row r="385">
      <c r="H385" s="31"/>
    </row>
    <row r="386">
      <c r="H386" s="31"/>
    </row>
    <row r="387">
      <c r="H387" s="31"/>
    </row>
    <row r="388">
      <c r="H388" s="31"/>
    </row>
    <row r="389">
      <c r="H389" s="31"/>
    </row>
    <row r="390">
      <c r="H390" s="31"/>
    </row>
    <row r="391">
      <c r="H391" s="31"/>
    </row>
    <row r="392">
      <c r="H392" s="31"/>
    </row>
    <row r="393">
      <c r="H393" s="31"/>
    </row>
    <row r="394">
      <c r="H394" s="31"/>
    </row>
    <row r="395">
      <c r="H395" s="31"/>
    </row>
    <row r="396">
      <c r="H396" s="31"/>
    </row>
    <row r="397">
      <c r="H397" s="31"/>
    </row>
    <row r="398">
      <c r="H398" s="31"/>
    </row>
    <row r="399">
      <c r="H399" s="31"/>
    </row>
    <row r="400">
      <c r="H400" s="31"/>
    </row>
    <row r="401">
      <c r="H401" s="31"/>
    </row>
    <row r="402">
      <c r="H402" s="31"/>
    </row>
    <row r="403">
      <c r="H403" s="31"/>
    </row>
    <row r="404">
      <c r="H404" s="31"/>
    </row>
    <row r="405">
      <c r="H405" s="31"/>
    </row>
    <row r="406">
      <c r="H406" s="31"/>
    </row>
    <row r="407">
      <c r="H407" s="31"/>
    </row>
    <row r="408">
      <c r="H408" s="31"/>
    </row>
    <row r="409">
      <c r="H409" s="31"/>
    </row>
    <row r="410">
      <c r="H410" s="31"/>
    </row>
    <row r="411">
      <c r="H411" s="31"/>
    </row>
    <row r="412">
      <c r="H412" s="31"/>
    </row>
    <row r="413">
      <c r="H413" s="31"/>
    </row>
    <row r="414">
      <c r="H414" s="31"/>
    </row>
    <row r="415">
      <c r="H415" s="31"/>
    </row>
    <row r="416">
      <c r="H416" s="31"/>
    </row>
    <row r="417">
      <c r="H417" s="31"/>
    </row>
    <row r="418">
      <c r="H418" s="31"/>
    </row>
    <row r="419">
      <c r="H419" s="31"/>
    </row>
    <row r="420">
      <c r="H420" s="31"/>
    </row>
    <row r="421">
      <c r="H421" s="31"/>
    </row>
    <row r="422">
      <c r="H422" s="31"/>
    </row>
    <row r="423">
      <c r="H423" s="31"/>
    </row>
    <row r="424">
      <c r="H424" s="31"/>
    </row>
    <row r="425">
      <c r="H425" s="31"/>
    </row>
    <row r="426">
      <c r="H426" s="31"/>
    </row>
    <row r="427">
      <c r="H427" s="31"/>
    </row>
    <row r="428">
      <c r="H428" s="31"/>
    </row>
    <row r="429">
      <c r="H429" s="31"/>
    </row>
    <row r="430">
      <c r="H430" s="31"/>
    </row>
    <row r="431">
      <c r="H431" s="31"/>
    </row>
    <row r="432">
      <c r="H432" s="31"/>
    </row>
    <row r="433">
      <c r="H433" s="31"/>
    </row>
    <row r="434">
      <c r="H434" s="31"/>
    </row>
    <row r="435">
      <c r="H435" s="31"/>
    </row>
    <row r="436">
      <c r="H436" s="31"/>
    </row>
    <row r="437">
      <c r="H437" s="31"/>
    </row>
    <row r="438">
      <c r="H438" s="31"/>
    </row>
    <row r="439">
      <c r="H439" s="31"/>
    </row>
    <row r="440">
      <c r="H440" s="31"/>
    </row>
    <row r="441">
      <c r="H441" s="31"/>
    </row>
    <row r="442">
      <c r="H442" s="31"/>
    </row>
    <row r="443">
      <c r="H443" s="31"/>
    </row>
    <row r="444">
      <c r="H444" s="31"/>
    </row>
    <row r="445">
      <c r="H445" s="31"/>
    </row>
    <row r="446">
      <c r="H446" s="31"/>
    </row>
    <row r="447">
      <c r="H447" s="31"/>
    </row>
    <row r="448">
      <c r="H448" s="31"/>
    </row>
    <row r="449">
      <c r="H449" s="31"/>
    </row>
    <row r="450">
      <c r="H450" s="31"/>
    </row>
    <row r="451">
      <c r="H451" s="31"/>
    </row>
    <row r="452">
      <c r="H452" s="31"/>
    </row>
    <row r="453">
      <c r="H453" s="31"/>
    </row>
    <row r="454">
      <c r="H454" s="31"/>
    </row>
    <row r="455">
      <c r="H455" s="31"/>
    </row>
    <row r="456">
      <c r="H456" s="31"/>
    </row>
    <row r="457">
      <c r="H457" s="31"/>
    </row>
    <row r="458">
      <c r="H458" s="31"/>
    </row>
    <row r="459">
      <c r="H459" s="31"/>
    </row>
    <row r="460">
      <c r="H460" s="31"/>
    </row>
    <row r="461">
      <c r="H461" s="31"/>
    </row>
    <row r="462">
      <c r="H462" s="31"/>
    </row>
    <row r="463">
      <c r="H463" s="31"/>
    </row>
    <row r="464">
      <c r="H464" s="31"/>
    </row>
    <row r="465">
      <c r="H465" s="31"/>
    </row>
    <row r="466">
      <c r="H466" s="31"/>
    </row>
    <row r="467">
      <c r="H467" s="31"/>
    </row>
    <row r="468">
      <c r="H468" s="31"/>
    </row>
    <row r="469">
      <c r="H469" s="31"/>
    </row>
    <row r="470">
      <c r="H470" s="31"/>
    </row>
    <row r="471">
      <c r="H471" s="31"/>
    </row>
    <row r="472">
      <c r="H472" s="31"/>
    </row>
    <row r="473">
      <c r="H473" s="31"/>
    </row>
    <row r="474">
      <c r="H474" s="31"/>
    </row>
    <row r="475">
      <c r="H475" s="31"/>
    </row>
    <row r="476">
      <c r="H476" s="31"/>
    </row>
    <row r="477">
      <c r="H477" s="31"/>
    </row>
    <row r="478">
      <c r="H478" s="31"/>
    </row>
    <row r="479">
      <c r="H479" s="31"/>
    </row>
    <row r="480">
      <c r="H480" s="31"/>
    </row>
    <row r="481">
      <c r="H481" s="31"/>
    </row>
    <row r="482">
      <c r="H482" s="31"/>
    </row>
    <row r="483">
      <c r="H483" s="31"/>
    </row>
    <row r="484">
      <c r="H484" s="31"/>
    </row>
    <row r="485">
      <c r="H485" s="31"/>
    </row>
    <row r="486">
      <c r="H486" s="31"/>
    </row>
    <row r="487">
      <c r="H487" s="31"/>
    </row>
    <row r="488">
      <c r="H488" s="31"/>
    </row>
    <row r="489">
      <c r="H489" s="31"/>
    </row>
    <row r="490">
      <c r="H490" s="31"/>
    </row>
    <row r="491">
      <c r="H491" s="31"/>
    </row>
    <row r="492">
      <c r="H492" s="31"/>
    </row>
    <row r="493">
      <c r="H493" s="31"/>
    </row>
    <row r="494">
      <c r="H494" s="31"/>
    </row>
    <row r="495">
      <c r="H495" s="31"/>
    </row>
    <row r="496">
      <c r="H496" s="31"/>
    </row>
    <row r="497">
      <c r="H497" s="31"/>
    </row>
    <row r="498">
      <c r="H498" s="31"/>
    </row>
    <row r="499">
      <c r="H499" s="31"/>
    </row>
    <row r="500">
      <c r="H500" s="31"/>
    </row>
    <row r="501">
      <c r="H501" s="31"/>
    </row>
    <row r="502">
      <c r="H502" s="31"/>
    </row>
    <row r="503">
      <c r="H503" s="31"/>
    </row>
    <row r="504">
      <c r="H504" s="31"/>
    </row>
    <row r="505">
      <c r="H505" s="31"/>
    </row>
    <row r="506">
      <c r="H506" s="31"/>
    </row>
    <row r="507">
      <c r="H507" s="31"/>
    </row>
    <row r="508">
      <c r="H508" s="31"/>
    </row>
    <row r="509">
      <c r="H509" s="31"/>
    </row>
    <row r="510">
      <c r="H510" s="31"/>
    </row>
    <row r="511">
      <c r="H511" s="31"/>
    </row>
    <row r="512">
      <c r="H512" s="31"/>
    </row>
    <row r="513">
      <c r="H513" s="31"/>
    </row>
    <row r="514">
      <c r="H514" s="31"/>
    </row>
    <row r="515">
      <c r="H515" s="31"/>
    </row>
    <row r="516">
      <c r="H516" s="31"/>
    </row>
    <row r="517">
      <c r="H517" s="31"/>
    </row>
    <row r="518">
      <c r="H518" s="31"/>
    </row>
    <row r="519">
      <c r="H519" s="31"/>
    </row>
    <row r="520">
      <c r="H520" s="31"/>
    </row>
    <row r="521">
      <c r="H521" s="31"/>
    </row>
    <row r="522">
      <c r="H522" s="31"/>
    </row>
    <row r="523">
      <c r="H523" s="31"/>
    </row>
    <row r="524">
      <c r="H524" s="31"/>
    </row>
    <row r="525">
      <c r="H525" s="31"/>
    </row>
    <row r="526">
      <c r="H526" s="31"/>
    </row>
    <row r="527">
      <c r="H527" s="31"/>
    </row>
    <row r="528">
      <c r="H528" s="31"/>
    </row>
    <row r="529">
      <c r="H529" s="31"/>
    </row>
    <row r="530">
      <c r="H530" s="31"/>
    </row>
    <row r="531">
      <c r="H531" s="31"/>
    </row>
    <row r="532">
      <c r="H532" s="31"/>
    </row>
    <row r="533">
      <c r="H533" s="31"/>
    </row>
    <row r="534">
      <c r="H534" s="31"/>
    </row>
    <row r="535">
      <c r="H535" s="31"/>
    </row>
    <row r="536">
      <c r="H536" s="31"/>
    </row>
    <row r="537">
      <c r="H537" s="31"/>
    </row>
    <row r="538">
      <c r="H538" s="31"/>
    </row>
    <row r="539">
      <c r="H539" s="31"/>
    </row>
    <row r="540">
      <c r="H540" s="31"/>
    </row>
    <row r="541">
      <c r="H541" s="31"/>
    </row>
    <row r="542">
      <c r="H542" s="31"/>
    </row>
    <row r="543">
      <c r="H543" s="31"/>
    </row>
    <row r="544">
      <c r="H544" s="31"/>
    </row>
    <row r="545">
      <c r="H545" s="31"/>
    </row>
    <row r="546">
      <c r="H546" s="31"/>
    </row>
    <row r="547">
      <c r="H547" s="31"/>
    </row>
    <row r="548">
      <c r="H548" s="31"/>
    </row>
    <row r="549">
      <c r="H549" s="31"/>
    </row>
    <row r="550">
      <c r="H550" s="31"/>
    </row>
    <row r="551">
      <c r="H551" s="31"/>
    </row>
    <row r="552">
      <c r="H552" s="31"/>
    </row>
    <row r="553">
      <c r="H553" s="31"/>
    </row>
    <row r="554">
      <c r="H554" s="31"/>
    </row>
    <row r="555">
      <c r="H555" s="31"/>
    </row>
    <row r="556">
      <c r="H556" s="31"/>
    </row>
    <row r="557">
      <c r="H557" s="31"/>
    </row>
    <row r="558">
      <c r="H558" s="31"/>
    </row>
    <row r="559">
      <c r="H559" s="31"/>
    </row>
    <row r="560">
      <c r="H560" s="31"/>
    </row>
    <row r="561">
      <c r="H561" s="31"/>
    </row>
    <row r="562">
      <c r="H562" s="31"/>
    </row>
    <row r="563">
      <c r="H563" s="31"/>
    </row>
    <row r="564">
      <c r="H564" s="31"/>
    </row>
    <row r="565">
      <c r="H565" s="31"/>
    </row>
    <row r="566">
      <c r="H566" s="31"/>
    </row>
    <row r="567">
      <c r="H567" s="31"/>
    </row>
    <row r="568">
      <c r="H568" s="31"/>
    </row>
    <row r="569">
      <c r="H569" s="31"/>
    </row>
    <row r="570">
      <c r="H570" s="31"/>
    </row>
    <row r="571">
      <c r="H571" s="31"/>
    </row>
    <row r="572">
      <c r="H572" s="31"/>
    </row>
    <row r="573">
      <c r="H573" s="31"/>
    </row>
    <row r="574">
      <c r="H574" s="31"/>
    </row>
    <row r="575">
      <c r="H575" s="31"/>
    </row>
    <row r="576">
      <c r="H576" s="31"/>
    </row>
    <row r="577">
      <c r="H577" s="31"/>
    </row>
    <row r="578">
      <c r="H578" s="31"/>
    </row>
    <row r="579">
      <c r="H579" s="31"/>
    </row>
    <row r="580">
      <c r="H580" s="31"/>
    </row>
    <row r="581">
      <c r="H581" s="31"/>
    </row>
    <row r="582">
      <c r="H582" s="31"/>
    </row>
    <row r="583">
      <c r="H583" s="31"/>
    </row>
    <row r="584">
      <c r="H584" s="31"/>
    </row>
    <row r="585">
      <c r="H585" s="31"/>
    </row>
    <row r="586">
      <c r="H586" s="31"/>
    </row>
    <row r="587">
      <c r="H587" s="31"/>
    </row>
    <row r="588">
      <c r="H588" s="31"/>
    </row>
    <row r="589">
      <c r="H589" s="31"/>
    </row>
    <row r="590">
      <c r="H590" s="31"/>
    </row>
    <row r="591">
      <c r="H591" s="31"/>
    </row>
    <row r="592">
      <c r="H592" s="31"/>
    </row>
    <row r="593">
      <c r="H593" s="31"/>
    </row>
    <row r="594">
      <c r="H594" s="31"/>
    </row>
    <row r="595">
      <c r="H595" s="31"/>
    </row>
    <row r="596">
      <c r="H596" s="31"/>
    </row>
    <row r="597">
      <c r="H597" s="31"/>
    </row>
    <row r="598">
      <c r="H598" s="31"/>
    </row>
    <row r="599">
      <c r="H599" s="31"/>
    </row>
    <row r="600">
      <c r="H600" s="31"/>
    </row>
    <row r="601">
      <c r="H601" s="31"/>
    </row>
    <row r="602">
      <c r="H602" s="31"/>
    </row>
    <row r="603">
      <c r="H603" s="31"/>
    </row>
    <row r="604">
      <c r="H604" s="31"/>
    </row>
    <row r="605">
      <c r="H605" s="31"/>
    </row>
    <row r="606">
      <c r="H606" s="31"/>
    </row>
    <row r="607">
      <c r="H607" s="31"/>
    </row>
    <row r="608">
      <c r="H608" s="31"/>
    </row>
    <row r="609">
      <c r="H609" s="31"/>
    </row>
    <row r="610">
      <c r="H610" s="31"/>
    </row>
    <row r="611">
      <c r="H611" s="31"/>
    </row>
    <row r="612">
      <c r="H612" s="31"/>
    </row>
    <row r="613">
      <c r="H613" s="31"/>
    </row>
    <row r="614">
      <c r="H614" s="31"/>
    </row>
    <row r="615">
      <c r="H615" s="31"/>
    </row>
    <row r="616">
      <c r="H616" s="31"/>
    </row>
    <row r="617">
      <c r="H617" s="31"/>
    </row>
    <row r="618">
      <c r="H618" s="31"/>
    </row>
    <row r="619">
      <c r="H619" s="31"/>
    </row>
    <row r="620">
      <c r="H620" s="31"/>
    </row>
    <row r="621">
      <c r="H621" s="31"/>
    </row>
    <row r="622">
      <c r="H622" s="31"/>
    </row>
    <row r="623">
      <c r="H623" s="31"/>
    </row>
    <row r="624">
      <c r="H624" s="31"/>
    </row>
    <row r="625">
      <c r="H625" s="31"/>
    </row>
    <row r="626">
      <c r="H626" s="31"/>
    </row>
    <row r="627">
      <c r="H627" s="31"/>
    </row>
    <row r="628">
      <c r="H628" s="31"/>
    </row>
    <row r="629">
      <c r="H629" s="31"/>
    </row>
    <row r="630">
      <c r="H630" s="31"/>
    </row>
    <row r="631">
      <c r="H631" s="31"/>
    </row>
    <row r="632">
      <c r="H632" s="31"/>
    </row>
    <row r="633">
      <c r="H633" s="31"/>
    </row>
    <row r="634">
      <c r="H634" s="31"/>
    </row>
    <row r="635">
      <c r="H635" s="31"/>
    </row>
    <row r="636">
      <c r="H636" s="31"/>
    </row>
    <row r="637">
      <c r="H637" s="31"/>
    </row>
    <row r="638">
      <c r="H638" s="31"/>
    </row>
    <row r="639">
      <c r="H639" s="31"/>
    </row>
    <row r="640">
      <c r="H640" s="31"/>
    </row>
    <row r="641">
      <c r="H641" s="31"/>
    </row>
    <row r="642">
      <c r="H642" s="31"/>
    </row>
    <row r="643">
      <c r="H643" s="31"/>
    </row>
    <row r="644">
      <c r="H644" s="31"/>
    </row>
    <row r="645">
      <c r="H645" s="31"/>
    </row>
    <row r="646">
      <c r="H646" s="31"/>
    </row>
    <row r="647">
      <c r="H647" s="31"/>
    </row>
    <row r="648">
      <c r="H648" s="31"/>
    </row>
    <row r="649">
      <c r="H649" s="31"/>
    </row>
    <row r="650">
      <c r="H650" s="31"/>
    </row>
    <row r="651">
      <c r="H651" s="31"/>
    </row>
    <row r="652">
      <c r="H652" s="31"/>
    </row>
    <row r="653">
      <c r="H653" s="31"/>
    </row>
    <row r="654">
      <c r="H654" s="31"/>
    </row>
    <row r="655">
      <c r="H655" s="31"/>
    </row>
    <row r="656">
      <c r="H656" s="31"/>
    </row>
    <row r="657">
      <c r="H657" s="31"/>
    </row>
    <row r="658">
      <c r="H658" s="31"/>
    </row>
    <row r="659">
      <c r="H659" s="31"/>
    </row>
    <row r="660">
      <c r="H660" s="31"/>
    </row>
    <row r="661">
      <c r="H661" s="31"/>
    </row>
    <row r="662">
      <c r="H662" s="31"/>
    </row>
    <row r="663">
      <c r="H663" s="31"/>
    </row>
    <row r="664">
      <c r="H664" s="31"/>
    </row>
    <row r="665">
      <c r="H665" s="31"/>
    </row>
    <row r="666">
      <c r="H666" s="31"/>
    </row>
    <row r="667">
      <c r="H667" s="31"/>
    </row>
    <row r="668">
      <c r="H668" s="31"/>
    </row>
    <row r="669">
      <c r="H669" s="31"/>
    </row>
    <row r="670">
      <c r="H670" s="31"/>
    </row>
    <row r="671">
      <c r="H671" s="31"/>
    </row>
    <row r="672">
      <c r="H672" s="31"/>
    </row>
    <row r="673">
      <c r="H673" s="31"/>
    </row>
    <row r="674">
      <c r="H674" s="31"/>
    </row>
    <row r="675">
      <c r="H675" s="31"/>
    </row>
    <row r="676">
      <c r="H676" s="31"/>
    </row>
    <row r="677">
      <c r="H677" s="31"/>
    </row>
    <row r="678">
      <c r="H678" s="31"/>
    </row>
    <row r="679">
      <c r="H679" s="31"/>
    </row>
    <row r="680">
      <c r="H680" s="31"/>
    </row>
    <row r="681">
      <c r="H681" s="31"/>
    </row>
    <row r="682">
      <c r="H682" s="31"/>
    </row>
    <row r="683">
      <c r="H683" s="31"/>
    </row>
    <row r="684">
      <c r="H684" s="31"/>
    </row>
    <row r="685">
      <c r="H685" s="31"/>
    </row>
    <row r="686">
      <c r="H686" s="31"/>
    </row>
    <row r="687">
      <c r="H687" s="31"/>
    </row>
    <row r="688">
      <c r="H688" s="31"/>
    </row>
    <row r="689">
      <c r="H689" s="31"/>
    </row>
    <row r="690">
      <c r="H690" s="31"/>
    </row>
    <row r="691">
      <c r="H691" s="31"/>
    </row>
    <row r="692">
      <c r="H692" s="31"/>
    </row>
    <row r="693">
      <c r="H693" s="31"/>
    </row>
    <row r="694">
      <c r="H694" s="31"/>
    </row>
    <row r="695">
      <c r="H695" s="31"/>
    </row>
    <row r="696">
      <c r="H696" s="31"/>
    </row>
    <row r="697">
      <c r="H697" s="31"/>
    </row>
    <row r="698">
      <c r="H698" s="31"/>
    </row>
    <row r="699">
      <c r="H699" s="31"/>
    </row>
    <row r="700">
      <c r="H700" s="31"/>
    </row>
    <row r="701">
      <c r="H701" s="31"/>
    </row>
    <row r="702">
      <c r="H702" s="31"/>
    </row>
    <row r="703">
      <c r="H703" s="31"/>
    </row>
    <row r="704">
      <c r="H704" s="31"/>
    </row>
    <row r="705">
      <c r="H705" s="31"/>
    </row>
    <row r="706">
      <c r="H706" s="31"/>
    </row>
    <row r="707">
      <c r="H707" s="31"/>
    </row>
    <row r="708">
      <c r="H708" s="31"/>
    </row>
    <row r="709">
      <c r="H709" s="31"/>
    </row>
    <row r="710">
      <c r="H710" s="31"/>
    </row>
    <row r="711">
      <c r="H711" s="31"/>
    </row>
    <row r="712">
      <c r="H712" s="31"/>
    </row>
    <row r="713">
      <c r="H713" s="31"/>
    </row>
    <row r="714">
      <c r="H714" s="31"/>
    </row>
    <row r="715">
      <c r="H715" s="31"/>
    </row>
    <row r="716">
      <c r="H716" s="31"/>
    </row>
    <row r="717">
      <c r="H717" s="31"/>
    </row>
    <row r="718">
      <c r="H718" s="31"/>
    </row>
    <row r="719">
      <c r="H719" s="31"/>
    </row>
    <row r="720">
      <c r="H720" s="31"/>
    </row>
    <row r="721">
      <c r="H721" s="31"/>
    </row>
    <row r="722">
      <c r="H722" s="31"/>
    </row>
    <row r="723">
      <c r="H723" s="31"/>
    </row>
    <row r="724">
      <c r="H724" s="31"/>
    </row>
    <row r="725">
      <c r="H725" s="31"/>
    </row>
    <row r="726">
      <c r="H726" s="31"/>
    </row>
    <row r="727">
      <c r="H727" s="31"/>
    </row>
    <row r="728">
      <c r="H728" s="31"/>
    </row>
    <row r="729">
      <c r="H729" s="31"/>
    </row>
    <row r="730">
      <c r="H730" s="31"/>
    </row>
    <row r="731">
      <c r="H731" s="31"/>
    </row>
    <row r="732">
      <c r="H732" s="31"/>
    </row>
    <row r="733">
      <c r="H733" s="31"/>
    </row>
    <row r="734">
      <c r="H734" s="31"/>
    </row>
    <row r="735">
      <c r="H735" s="31"/>
    </row>
    <row r="736">
      <c r="H736" s="31"/>
    </row>
    <row r="737">
      <c r="H737" s="31"/>
    </row>
    <row r="738">
      <c r="H738" s="31"/>
    </row>
    <row r="739">
      <c r="H739" s="31"/>
    </row>
    <row r="740">
      <c r="H740" s="31"/>
    </row>
    <row r="741">
      <c r="H741" s="31"/>
    </row>
    <row r="742">
      <c r="H742" s="31"/>
    </row>
    <row r="743">
      <c r="H743" s="31"/>
    </row>
    <row r="744">
      <c r="H744" s="31"/>
    </row>
    <row r="745">
      <c r="H745" s="31"/>
    </row>
    <row r="746">
      <c r="H746" s="31"/>
    </row>
    <row r="747">
      <c r="H747" s="31"/>
    </row>
    <row r="748">
      <c r="H748" s="31"/>
    </row>
    <row r="749">
      <c r="H749" s="31"/>
    </row>
    <row r="750">
      <c r="H750" s="31"/>
    </row>
    <row r="751">
      <c r="H751" s="31"/>
    </row>
    <row r="752">
      <c r="H752" s="31"/>
    </row>
    <row r="753">
      <c r="H753" s="31"/>
    </row>
    <row r="754">
      <c r="H754" s="31"/>
    </row>
    <row r="755">
      <c r="H755" s="31"/>
    </row>
    <row r="756">
      <c r="H756" s="31"/>
    </row>
    <row r="757">
      <c r="H757" s="31"/>
    </row>
    <row r="758">
      <c r="H758" s="31"/>
    </row>
    <row r="759">
      <c r="H759" s="31"/>
    </row>
    <row r="760">
      <c r="H760" s="31"/>
    </row>
    <row r="761">
      <c r="H761" s="31"/>
    </row>
    <row r="762">
      <c r="H762" s="31"/>
    </row>
    <row r="763">
      <c r="H763" s="31"/>
    </row>
    <row r="764">
      <c r="H764" s="31"/>
    </row>
    <row r="765">
      <c r="H765" s="31"/>
    </row>
    <row r="766">
      <c r="H766" s="31"/>
    </row>
    <row r="767">
      <c r="H767" s="31"/>
    </row>
    <row r="768">
      <c r="H768" s="31"/>
    </row>
    <row r="769">
      <c r="H769" s="31"/>
    </row>
    <row r="770">
      <c r="H770" s="31"/>
    </row>
    <row r="771">
      <c r="H771" s="31"/>
    </row>
    <row r="772">
      <c r="H772" s="31"/>
    </row>
    <row r="773">
      <c r="H773" s="31"/>
    </row>
    <row r="774">
      <c r="H774" s="31"/>
    </row>
    <row r="775">
      <c r="H775" s="31"/>
    </row>
    <row r="776">
      <c r="H776" s="31"/>
    </row>
    <row r="777">
      <c r="H777" s="31"/>
    </row>
    <row r="778">
      <c r="H778" s="31"/>
    </row>
    <row r="779">
      <c r="H779" s="31"/>
    </row>
    <row r="780">
      <c r="H780" s="31"/>
    </row>
    <row r="781">
      <c r="H781" s="31"/>
    </row>
    <row r="782">
      <c r="H782" s="31"/>
    </row>
    <row r="783">
      <c r="H783" s="31"/>
    </row>
    <row r="784">
      <c r="H784" s="31"/>
    </row>
    <row r="785">
      <c r="H785" s="31"/>
    </row>
    <row r="786">
      <c r="H786" s="31"/>
    </row>
    <row r="787">
      <c r="H787" s="31"/>
    </row>
    <row r="788">
      <c r="H788" s="31"/>
    </row>
    <row r="789">
      <c r="H789" s="31"/>
    </row>
    <row r="790">
      <c r="H790" s="31"/>
    </row>
    <row r="791">
      <c r="H791" s="31"/>
    </row>
    <row r="792">
      <c r="H792" s="31"/>
    </row>
    <row r="793">
      <c r="H793" s="31"/>
    </row>
    <row r="794">
      <c r="H794" s="31"/>
    </row>
    <row r="795">
      <c r="H795" s="31"/>
    </row>
    <row r="796">
      <c r="H796" s="31"/>
    </row>
    <row r="797">
      <c r="H797" s="31"/>
    </row>
    <row r="798">
      <c r="H798" s="31"/>
    </row>
    <row r="799">
      <c r="H799" s="31"/>
    </row>
    <row r="800">
      <c r="H800" s="31"/>
    </row>
    <row r="801">
      <c r="H801" s="31"/>
    </row>
    <row r="802">
      <c r="H802" s="31"/>
    </row>
    <row r="803">
      <c r="H803" s="31"/>
    </row>
    <row r="804">
      <c r="H804" s="31"/>
    </row>
    <row r="805">
      <c r="H805" s="31"/>
    </row>
    <row r="806">
      <c r="H806" s="31"/>
    </row>
    <row r="807">
      <c r="H807" s="31"/>
    </row>
    <row r="808">
      <c r="H808" s="31"/>
    </row>
    <row r="809">
      <c r="H809" s="31"/>
    </row>
    <row r="810">
      <c r="H810" s="31"/>
    </row>
    <row r="811">
      <c r="H811" s="31"/>
    </row>
    <row r="812">
      <c r="H812" s="31"/>
    </row>
    <row r="813">
      <c r="H813" s="31"/>
    </row>
    <row r="814">
      <c r="H814" s="31"/>
    </row>
    <row r="815">
      <c r="H815" s="31"/>
    </row>
    <row r="816">
      <c r="H816" s="31"/>
    </row>
    <row r="817">
      <c r="H817" s="31"/>
    </row>
    <row r="818">
      <c r="H818" s="31"/>
    </row>
    <row r="819">
      <c r="H819" s="31"/>
    </row>
    <row r="820">
      <c r="H820" s="31"/>
    </row>
    <row r="821">
      <c r="H821" s="31"/>
    </row>
    <row r="822">
      <c r="H822" s="31"/>
    </row>
    <row r="823">
      <c r="H823" s="31"/>
    </row>
    <row r="824">
      <c r="H824" s="31"/>
    </row>
    <row r="825">
      <c r="H825" s="31"/>
    </row>
    <row r="826">
      <c r="H826" s="31"/>
    </row>
    <row r="827">
      <c r="H827" s="31"/>
    </row>
    <row r="828">
      <c r="H828" s="31"/>
    </row>
    <row r="829">
      <c r="H829" s="31"/>
    </row>
    <row r="830">
      <c r="H830" s="31"/>
    </row>
    <row r="831">
      <c r="H831" s="31"/>
    </row>
    <row r="832">
      <c r="H832" s="31"/>
    </row>
    <row r="833">
      <c r="H833" s="31"/>
    </row>
    <row r="834">
      <c r="H834" s="31"/>
    </row>
    <row r="835">
      <c r="H835" s="31"/>
    </row>
    <row r="836">
      <c r="H836" s="31"/>
    </row>
    <row r="837">
      <c r="H837" s="31"/>
    </row>
    <row r="838">
      <c r="H838" s="31"/>
    </row>
    <row r="839">
      <c r="H839" s="31"/>
    </row>
    <row r="840">
      <c r="H840" s="31"/>
    </row>
    <row r="841">
      <c r="H841" s="31"/>
    </row>
    <row r="842">
      <c r="H842" s="31"/>
    </row>
    <row r="843">
      <c r="H843" s="31"/>
    </row>
    <row r="844">
      <c r="H844" s="31"/>
    </row>
    <row r="845">
      <c r="H845" s="31"/>
    </row>
    <row r="846">
      <c r="H846" s="31"/>
    </row>
    <row r="847">
      <c r="H847" s="31"/>
    </row>
    <row r="848">
      <c r="H848" s="31"/>
    </row>
    <row r="849">
      <c r="H849" s="31"/>
    </row>
    <row r="850">
      <c r="H850" s="31"/>
    </row>
    <row r="851">
      <c r="H851" s="31"/>
    </row>
    <row r="852">
      <c r="H852" s="31"/>
    </row>
    <row r="853">
      <c r="H853" s="31"/>
    </row>
    <row r="854">
      <c r="H854" s="31"/>
    </row>
    <row r="855">
      <c r="H855" s="31"/>
    </row>
    <row r="856">
      <c r="H856" s="31"/>
    </row>
    <row r="857">
      <c r="H857" s="31"/>
    </row>
    <row r="858">
      <c r="H858" s="31"/>
    </row>
    <row r="859">
      <c r="H859" s="31"/>
    </row>
    <row r="860">
      <c r="H860" s="31"/>
    </row>
    <row r="861">
      <c r="H861" s="31"/>
    </row>
    <row r="862">
      <c r="H862" s="31"/>
    </row>
    <row r="863">
      <c r="H863" s="31"/>
    </row>
    <row r="864">
      <c r="H864" s="31"/>
    </row>
    <row r="865">
      <c r="H865" s="31"/>
    </row>
    <row r="866">
      <c r="H866" s="31"/>
    </row>
    <row r="867">
      <c r="H867" s="31"/>
    </row>
    <row r="868">
      <c r="H868" s="31"/>
    </row>
    <row r="869">
      <c r="H869" s="31"/>
    </row>
    <row r="870">
      <c r="H870" s="31"/>
    </row>
    <row r="871">
      <c r="H871" s="31"/>
    </row>
    <row r="872">
      <c r="H872" s="31"/>
    </row>
    <row r="873">
      <c r="H873" s="31"/>
    </row>
    <row r="874">
      <c r="H874" s="31"/>
    </row>
    <row r="875">
      <c r="H875" s="31"/>
    </row>
    <row r="876">
      <c r="H876" s="31"/>
    </row>
    <row r="877">
      <c r="H877" s="31"/>
    </row>
    <row r="878">
      <c r="H878" s="31"/>
    </row>
    <row r="879">
      <c r="H879" s="31"/>
    </row>
    <row r="880">
      <c r="H880" s="31"/>
    </row>
    <row r="881">
      <c r="H881" s="31"/>
    </row>
    <row r="882">
      <c r="H882" s="31"/>
    </row>
    <row r="883">
      <c r="H883" s="31"/>
    </row>
    <row r="884">
      <c r="H884" s="31"/>
    </row>
    <row r="885">
      <c r="H885" s="31"/>
    </row>
    <row r="886">
      <c r="H886" s="31"/>
    </row>
    <row r="887">
      <c r="H887" s="31"/>
    </row>
    <row r="888">
      <c r="H888" s="31"/>
    </row>
    <row r="889">
      <c r="H889" s="31"/>
    </row>
    <row r="890">
      <c r="H890" s="31"/>
    </row>
    <row r="891">
      <c r="H891" s="31"/>
    </row>
    <row r="892">
      <c r="H892" s="31"/>
    </row>
    <row r="893">
      <c r="H893" s="31"/>
    </row>
    <row r="894">
      <c r="H894" s="31"/>
    </row>
    <row r="895">
      <c r="H895" s="31"/>
    </row>
    <row r="896">
      <c r="H896" s="31"/>
    </row>
    <row r="897">
      <c r="H897" s="31"/>
    </row>
    <row r="898">
      <c r="H898" s="31"/>
    </row>
    <row r="899">
      <c r="H899" s="31"/>
    </row>
    <row r="900">
      <c r="H900" s="31"/>
    </row>
    <row r="901">
      <c r="H901" s="31"/>
    </row>
    <row r="902">
      <c r="H902" s="31"/>
    </row>
    <row r="903">
      <c r="H903" s="31"/>
    </row>
    <row r="904">
      <c r="H904" s="31"/>
    </row>
    <row r="905">
      <c r="H905" s="31"/>
    </row>
    <row r="906">
      <c r="H906" s="31"/>
    </row>
    <row r="907">
      <c r="H907" s="31"/>
    </row>
    <row r="908">
      <c r="H908" s="31"/>
    </row>
    <row r="909">
      <c r="H909" s="31"/>
    </row>
    <row r="910">
      <c r="H910" s="31"/>
    </row>
    <row r="911">
      <c r="H911" s="31"/>
    </row>
    <row r="912">
      <c r="H912" s="31"/>
    </row>
    <row r="913">
      <c r="H913" s="31"/>
    </row>
    <row r="914">
      <c r="H914" s="31"/>
    </row>
    <row r="915">
      <c r="H915" s="31"/>
    </row>
    <row r="916">
      <c r="H916" s="31"/>
    </row>
    <row r="917">
      <c r="H917" s="31"/>
    </row>
    <row r="918">
      <c r="H918" s="31"/>
    </row>
    <row r="919">
      <c r="H919" s="31"/>
    </row>
    <row r="920">
      <c r="H920" s="31"/>
    </row>
    <row r="921">
      <c r="H921" s="31"/>
    </row>
    <row r="922">
      <c r="H922" s="31"/>
    </row>
    <row r="923">
      <c r="H923" s="31"/>
    </row>
    <row r="924">
      <c r="H924" s="31"/>
    </row>
    <row r="925">
      <c r="H925" s="31"/>
    </row>
    <row r="926">
      <c r="H926" s="31"/>
    </row>
    <row r="927">
      <c r="H927" s="31"/>
    </row>
    <row r="928">
      <c r="H928" s="31"/>
    </row>
    <row r="929">
      <c r="H929" s="31"/>
    </row>
    <row r="930">
      <c r="H930" s="31"/>
    </row>
    <row r="931">
      <c r="H931" s="31"/>
    </row>
    <row r="932">
      <c r="H932" s="31"/>
    </row>
    <row r="933">
      <c r="H933" s="31"/>
    </row>
    <row r="934">
      <c r="H934" s="31"/>
    </row>
    <row r="935">
      <c r="H935" s="31"/>
    </row>
    <row r="936">
      <c r="H936" s="31"/>
    </row>
    <row r="937">
      <c r="H937" s="31"/>
    </row>
    <row r="938">
      <c r="H938" s="31"/>
    </row>
    <row r="939">
      <c r="H939" s="31"/>
    </row>
    <row r="940">
      <c r="H940" s="31"/>
    </row>
    <row r="941">
      <c r="H941" s="31"/>
    </row>
    <row r="942">
      <c r="H942" s="31"/>
    </row>
    <row r="943">
      <c r="H943" s="31"/>
    </row>
    <row r="944">
      <c r="H944" s="31"/>
    </row>
    <row r="945">
      <c r="H945" s="31"/>
    </row>
    <row r="946">
      <c r="H946" s="31"/>
    </row>
    <row r="947">
      <c r="H947" s="31"/>
    </row>
    <row r="948">
      <c r="H948" s="31"/>
    </row>
    <row r="949">
      <c r="H949" s="31"/>
    </row>
    <row r="950">
      <c r="H950" s="31"/>
    </row>
    <row r="951">
      <c r="H951" s="31"/>
    </row>
    <row r="952">
      <c r="H952" s="31"/>
    </row>
    <row r="953">
      <c r="H953" s="31"/>
    </row>
    <row r="954">
      <c r="H954" s="31"/>
    </row>
    <row r="955">
      <c r="H955" s="31"/>
    </row>
    <row r="956">
      <c r="H956" s="31"/>
    </row>
    <row r="957">
      <c r="H957" s="31"/>
    </row>
    <row r="958">
      <c r="H958" s="31"/>
    </row>
    <row r="959">
      <c r="H959" s="31"/>
    </row>
    <row r="960">
      <c r="H960" s="31"/>
    </row>
    <row r="961">
      <c r="H961" s="31"/>
    </row>
    <row r="962">
      <c r="H962" s="31"/>
    </row>
    <row r="963">
      <c r="H963" s="31"/>
    </row>
    <row r="964">
      <c r="H964" s="31"/>
    </row>
    <row r="965">
      <c r="H965" s="31"/>
    </row>
    <row r="966">
      <c r="H966" s="31"/>
    </row>
    <row r="967">
      <c r="H967" s="31"/>
    </row>
    <row r="968">
      <c r="H968" s="31"/>
    </row>
    <row r="969">
      <c r="H969" s="31"/>
    </row>
    <row r="970">
      <c r="H970" s="31"/>
    </row>
    <row r="971">
      <c r="H971" s="31"/>
    </row>
    <row r="972">
      <c r="H972" s="31"/>
    </row>
    <row r="973">
      <c r="H973" s="31"/>
    </row>
    <row r="974">
      <c r="H974" s="31"/>
    </row>
    <row r="975">
      <c r="H975" s="31"/>
    </row>
    <row r="976">
      <c r="H976" s="31"/>
    </row>
    <row r="977">
      <c r="H977" s="31"/>
    </row>
    <row r="978">
      <c r="H978" s="31"/>
    </row>
    <row r="979">
      <c r="H979" s="31"/>
    </row>
    <row r="980">
      <c r="H980" s="31"/>
    </row>
    <row r="981">
      <c r="H981" s="31"/>
    </row>
    <row r="982">
      <c r="H982" s="31"/>
    </row>
    <row r="983">
      <c r="H983" s="31"/>
    </row>
    <row r="984">
      <c r="H984" s="31"/>
    </row>
    <row r="985">
      <c r="H985" s="31"/>
    </row>
    <row r="986">
      <c r="H986" s="31"/>
    </row>
    <row r="987">
      <c r="H987" s="31"/>
    </row>
    <row r="988">
      <c r="H988" s="31"/>
    </row>
    <row r="989">
      <c r="H989" s="31"/>
    </row>
    <row r="990">
      <c r="H990" s="31"/>
    </row>
    <row r="991">
      <c r="H991" s="31"/>
    </row>
    <row r="992">
      <c r="H992" s="31"/>
    </row>
    <row r="993">
      <c r="H993" s="31"/>
    </row>
    <row r="994">
      <c r="H994" s="31"/>
    </row>
    <row r="995">
      <c r="H995" s="31"/>
    </row>
  </sheetData>
  <mergeCells count="5">
    <mergeCell ref="A1:A2"/>
    <mergeCell ref="B1:B2"/>
    <mergeCell ref="C1:C2"/>
    <mergeCell ref="D1:D2"/>
    <mergeCell ref="E1:E2"/>
  </mergeCells>
  <conditionalFormatting sqref="F3:AU34 AV3:AY28">
    <cfRule type="cellIs" dxfId="3" priority="1" operator="equal">
      <formula>1</formula>
    </cfRule>
  </conditionalFormatting>
  <conditionalFormatting sqref="F3:AU34 AV33:AY33">
    <cfRule type="cellIs" dxfId="4" priority="2" operator="equal">
      <formula>"R"</formula>
    </cfRule>
  </conditionalFormatting>
  <conditionalFormatting sqref="B3:B28 C3:C34 B33">
    <cfRule type="cellIs" dxfId="5" priority="3" operator="greaterThanOrEqual">
      <formula>3</formula>
    </cfRule>
  </conditionalFormatting>
  <conditionalFormatting sqref="B3:B28 B33">
    <cfRule type="cellIs" dxfId="6" priority="4" operator="lessThan">
      <formula>1</formula>
    </cfRule>
  </conditionalFormatting>
  <conditionalFormatting sqref="B3:B29 C3:C37 B33">
    <cfRule type="cellIs" dxfId="7" priority="5" operator="equal">
      <formula>0</formula>
    </cfRule>
  </conditionalFormatting>
  <conditionalFormatting sqref="B3:B28 C3:C34 B33">
    <cfRule type="cellIs" dxfId="8" priority="6" operator="lessThan">
      <formula>2</formula>
    </cfRule>
  </conditionalFormatting>
  <conditionalFormatting sqref="B3:B28 C3:C34 B33">
    <cfRule type="cellIs" dxfId="9" priority="7" operator="lessThan">
      <formula>3</formula>
    </cfRule>
  </conditionalFormatting>
  <conditionalFormatting sqref="B3:B29 C3:C37 B33">
    <cfRule type="containsBlanks" dxfId="6" priority="8">
      <formula>LEN(TRIM(B3))=0</formula>
    </cfRule>
  </conditionalFormatting>
  <conditionalFormatting sqref="F3:AU34 AV33:AY33">
    <cfRule type="cellIs" dxfId="10" priority="9" operator="equal">
      <formula>"R2"</formula>
    </cfRule>
  </conditionalFormatting>
  <conditionalFormatting sqref="AP29:AY29 F35:AU35">
    <cfRule type="cellIs" dxfId="7" priority="10" operator="lessThan">
      <formula>1</formula>
    </cfRule>
  </conditionalFormatting>
  <conditionalFormatting sqref="AP29:AY29 F35:AU35">
    <cfRule type="cellIs" dxfId="3" priority="11" operator="equal">
      <formula>1</formula>
    </cfRule>
  </conditionalFormatting>
  <conditionalFormatting sqref="AP29:AY29 F35:AU35">
    <cfRule type="cellIs" dxfId="11" priority="12" operator="greaterThan">
      <formula>1</formula>
    </cfRule>
  </conditionalFormatting>
  <conditionalFormatting sqref="D3:E37">
    <cfRule type="cellIs" dxfId="9" priority="13" operator="equal">
      <formula>1</formula>
    </cfRule>
  </conditionalFormatting>
  <conditionalFormatting sqref="F30:AY32 F34:AY37">
    <cfRule type="cellIs" dxfId="7" priority="14" operator="lessThan">
      <formula>1</formula>
    </cfRule>
  </conditionalFormatting>
  <conditionalFormatting sqref="F30:AY32 F34:AY37">
    <cfRule type="cellIs" dxfId="12" priority="15" operator="equal">
      <formula>1</formula>
    </cfRule>
  </conditionalFormatting>
  <conditionalFormatting sqref="F30:AY32 F34:AY37">
    <cfRule type="cellIs" dxfId="11" priority="16" operator="greaterThan">
      <formula>1</formula>
    </cfRule>
  </conditionalFormatting>
  <conditionalFormatting sqref="D3:D37 E3:E34">
    <cfRule type="cellIs" dxfId="7" priority="17" operator="equal">
      <formula>0</formula>
    </cfRule>
  </conditionalFormatting>
  <conditionalFormatting sqref="D3:D37 E3:E34">
    <cfRule type="cellIs" dxfId="4" priority="18" operator="equal">
      <formula>2</formula>
    </cfRule>
  </conditionalFormatting>
  <conditionalFormatting sqref="E3:E37">
    <cfRule type="cellIs" dxfId="7" priority="19" operator="equal">
      <formula>0</formula>
    </cfRule>
  </conditionalFormatting>
  <conditionalFormatting sqref="E3:E37">
    <cfRule type="cellIs" dxfId="4" priority="20" operator="greaterThanOrEqual">
      <formula>2</formula>
    </cfRule>
  </conditionalFormatting>
  <conditionalFormatting sqref="C40">
    <cfRule type="notContainsBlanks" dxfId="3" priority="21">
      <formula>LEN(TRIM(C40))&gt;0</formula>
    </cfRule>
  </conditionalFormatting>
  <conditionalFormatting sqref="AS2:AY2">
    <cfRule type="containsText" dxfId="13" priority="22" operator="containsText" text="(PAM)">
      <formula>NOT(ISERROR(SEARCH(("(PAM)"),(AS2))))</formula>
    </cfRule>
  </conditionalFormatting>
  <conditionalFormatting sqref="AS2:AY2">
    <cfRule type="containsText" dxfId="13" priority="23" operator="containsText" text="(PPM)">
      <formula>NOT(ISERROR(SEARCH(("(PPM)"),(AS2))))</formula>
    </cfRule>
  </conditionalFormatting>
  <conditionalFormatting sqref="F2:AY2">
    <cfRule type="containsText" dxfId="13" priority="24" operator="containsText" text="PAM">
      <formula>NOT(ISERROR(SEARCH(("PAM"),(F2))))</formula>
    </cfRule>
  </conditionalFormatting>
  <conditionalFormatting sqref="F2:AY2">
    <cfRule type="containsText" dxfId="13" priority="25" operator="containsText" text="PPM">
      <formula>NOT(ISERROR(SEARCH(("PPM"),(F2))))</formula>
    </cfRule>
  </conditionalFormatting>
  <conditionalFormatting sqref="F2:AY2">
    <cfRule type="containsText" dxfId="11" priority="26" operator="containsText" text="(AM)">
      <formula>NOT(ISERROR(SEARCH(("(AM)"),(F2))))</formula>
    </cfRule>
  </conditionalFormatting>
  <conditionalFormatting sqref="F2:AY2">
    <cfRule type="containsText" dxfId="7" priority="27" operator="containsText" text="(PM)">
      <formula>NOT(ISERROR(SEARCH(("(PM)"),(F2))))</formula>
    </cfRule>
  </conditionalFormatting>
  <conditionalFormatting sqref="F2:AY2">
    <cfRule type="notContainsText" dxfId="15" priority="28" operator="notContains" text="(AM)">
      <formula>ISERROR(SEARCH(("(AM)"),(F2)))</formula>
    </cfRule>
  </conditionalFormatting>
  <conditionalFormatting sqref="F2:AY2">
    <cfRule type="notContainsText" dxfId="15" priority="29" operator="notContains" text="(PM)">
      <formula>ISERROR(SEARCH(("(PM)"),(F2)))</formula>
    </cfRule>
  </conditionalFormatting>
  <conditionalFormatting sqref="F2:AY2">
    <cfRule type="notContainsText" dxfId="15" priority="30" operator="notContains" text="(PM)">
      <formula>ISERROR(SEARCH(("(PM)"),(F2)))</formula>
    </cfRule>
  </conditionalFormatting>
  <dataValidations>
    <dataValidation type="list" allowBlank="1" showErrorMessage="1" sqref="A3:A28 A33">
      <formula1>'Personnel List'!$D$2:$D$31</formula1>
    </dataValidation>
  </dataValidations>
  <drawing r:id="rId2"/>
  <legacyDrawing r:id="rId3"/>
  <tableParts count="1">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14.63"/>
    <col customWidth="1" hidden="1" min="2" max="2" width="11.38"/>
    <col customWidth="1" min="4" max="4" width="14.13"/>
    <col customWidth="1" min="6" max="9" width="8.63"/>
    <col customWidth="1" min="10" max="10" width="8.38"/>
    <col customWidth="1" min="11" max="11" width="8.25"/>
    <col customWidth="1" min="12" max="44" width="8.63"/>
    <col customWidth="1" hidden="1" min="45" max="51" width="9.5"/>
  </cols>
  <sheetData>
    <row r="1">
      <c r="A1" s="1" t="s">
        <v>0</v>
      </c>
      <c r="B1" s="1" t="s">
        <v>1</v>
      </c>
      <c r="C1" s="1" t="s">
        <v>2</v>
      </c>
      <c r="D1" s="1" t="s">
        <v>3</v>
      </c>
      <c r="E1" s="1" t="s">
        <v>4</v>
      </c>
      <c r="F1" s="2" t="s">
        <v>10</v>
      </c>
      <c r="G1" s="2" t="s">
        <v>11</v>
      </c>
      <c r="H1" s="2" t="s">
        <v>12</v>
      </c>
      <c r="I1" s="2" t="s">
        <v>13</v>
      </c>
      <c r="J1" s="2" t="s">
        <v>317</v>
      </c>
      <c r="K1" s="2" t="s">
        <v>317</v>
      </c>
      <c r="L1" s="2" t="s">
        <v>318</v>
      </c>
      <c r="M1" s="2" t="s">
        <v>318</v>
      </c>
      <c r="N1" s="2" t="s">
        <v>9</v>
      </c>
      <c r="O1" s="2" t="s">
        <v>10</v>
      </c>
      <c r="P1" s="2" t="s">
        <v>11</v>
      </c>
      <c r="Q1" s="2" t="s">
        <v>12</v>
      </c>
      <c r="R1" s="2" t="s">
        <v>13</v>
      </c>
      <c r="S1" s="2" t="s">
        <v>317</v>
      </c>
      <c r="T1" s="2" t="s">
        <v>317</v>
      </c>
      <c r="U1" s="2" t="s">
        <v>318</v>
      </c>
      <c r="V1" s="2" t="s">
        <v>318</v>
      </c>
      <c r="W1" s="2" t="s">
        <v>9</v>
      </c>
      <c r="X1" s="2" t="s">
        <v>10</v>
      </c>
      <c r="Y1" s="2" t="s">
        <v>11</v>
      </c>
      <c r="Z1" s="2" t="s">
        <v>12</v>
      </c>
      <c r="AA1" s="2" t="s">
        <v>13</v>
      </c>
      <c r="AB1" s="2" t="s">
        <v>13</v>
      </c>
      <c r="AC1" s="2" t="s">
        <v>317</v>
      </c>
      <c r="AD1" s="2" t="s">
        <v>317</v>
      </c>
      <c r="AE1" s="2" t="s">
        <v>318</v>
      </c>
      <c r="AF1" s="2" t="s">
        <v>318</v>
      </c>
      <c r="AG1" s="2" t="s">
        <v>9</v>
      </c>
      <c r="AH1" s="2" t="s">
        <v>10</v>
      </c>
      <c r="AI1" s="2" t="s">
        <v>11</v>
      </c>
      <c r="AJ1" s="2" t="s">
        <v>12</v>
      </c>
      <c r="AK1" s="2" t="s">
        <v>13</v>
      </c>
      <c r="AL1" s="2" t="s">
        <v>317</v>
      </c>
      <c r="AM1" s="2" t="s">
        <v>317</v>
      </c>
      <c r="AN1" s="2" t="s">
        <v>318</v>
      </c>
      <c r="AO1" s="2" t="s">
        <v>318</v>
      </c>
      <c r="AP1" s="2" t="s">
        <v>9</v>
      </c>
      <c r="AQ1" s="2" t="s">
        <v>10</v>
      </c>
      <c r="AR1" s="2" t="s">
        <v>11</v>
      </c>
      <c r="AS1" s="2"/>
      <c r="AT1" s="2"/>
      <c r="AU1" s="2"/>
      <c r="AV1" s="55" t="s">
        <v>5</v>
      </c>
      <c r="AW1" s="55" t="s">
        <v>6</v>
      </c>
      <c r="AX1" s="55" t="s">
        <v>7</v>
      </c>
      <c r="AY1" s="55" t="s">
        <v>8</v>
      </c>
    </row>
    <row r="2">
      <c r="F2" s="87">
        <v>45748.0</v>
      </c>
      <c r="G2" s="87">
        <v>45749.0</v>
      </c>
      <c r="H2" s="87">
        <v>45750.0</v>
      </c>
      <c r="I2" s="87">
        <v>45751.0</v>
      </c>
      <c r="J2" s="88" t="s">
        <v>319</v>
      </c>
      <c r="K2" s="88" t="s">
        <v>320</v>
      </c>
      <c r="L2" s="88" t="s">
        <v>321</v>
      </c>
      <c r="M2" s="88" t="s">
        <v>322</v>
      </c>
      <c r="N2" s="87">
        <v>45754.0</v>
      </c>
      <c r="O2" s="87">
        <v>45755.0</v>
      </c>
      <c r="P2" s="87">
        <v>45756.0</v>
      </c>
      <c r="Q2" s="87">
        <v>45757.0</v>
      </c>
      <c r="R2" s="87">
        <v>45758.0</v>
      </c>
      <c r="S2" s="88" t="s">
        <v>323</v>
      </c>
      <c r="T2" s="88" t="s">
        <v>324</v>
      </c>
      <c r="U2" s="88" t="s">
        <v>325</v>
      </c>
      <c r="V2" s="88" t="s">
        <v>326</v>
      </c>
      <c r="W2" s="87">
        <v>45761.0</v>
      </c>
      <c r="X2" s="87">
        <v>45762.0</v>
      </c>
      <c r="Y2" s="87">
        <v>45763.0</v>
      </c>
      <c r="Z2" s="87">
        <v>45764.0</v>
      </c>
      <c r="AA2" s="88" t="s">
        <v>327</v>
      </c>
      <c r="AB2" s="88" t="s">
        <v>328</v>
      </c>
      <c r="AC2" s="88" t="s">
        <v>329</v>
      </c>
      <c r="AD2" s="88" t="s">
        <v>330</v>
      </c>
      <c r="AE2" s="88" t="s">
        <v>331</v>
      </c>
      <c r="AF2" s="88" t="s">
        <v>332</v>
      </c>
      <c r="AG2" s="87">
        <v>45768.0</v>
      </c>
      <c r="AH2" s="87">
        <v>45769.0</v>
      </c>
      <c r="AI2" s="87">
        <v>45770.0</v>
      </c>
      <c r="AJ2" s="87">
        <v>45771.0</v>
      </c>
      <c r="AK2" s="87">
        <v>45772.0</v>
      </c>
      <c r="AL2" s="88" t="s">
        <v>333</v>
      </c>
      <c r="AM2" s="88" t="s">
        <v>334</v>
      </c>
      <c r="AN2" s="88" t="s">
        <v>335</v>
      </c>
      <c r="AO2" s="88" t="s">
        <v>336</v>
      </c>
      <c r="AP2" s="87">
        <v>45775.0</v>
      </c>
      <c r="AQ2" s="87">
        <v>45776.0</v>
      </c>
      <c r="AR2" s="87">
        <v>45777.0</v>
      </c>
      <c r="AS2" s="87">
        <v>45787.0</v>
      </c>
      <c r="AT2" s="87">
        <v>45788.0</v>
      </c>
      <c r="AU2" s="87">
        <v>45789.0</v>
      </c>
      <c r="AV2" s="51" t="s">
        <v>250</v>
      </c>
      <c r="AW2" s="51" t="s">
        <v>251</v>
      </c>
      <c r="AX2" s="51" t="s">
        <v>252</v>
      </c>
      <c r="AY2" s="51" t="s">
        <v>253</v>
      </c>
    </row>
    <row r="3">
      <c r="A3" s="39" t="s">
        <v>226</v>
      </c>
      <c r="B3" s="40">
        <f t="shared" ref="B3:B5" si="1">SUM(C3:D3)</f>
        <v>3</v>
      </c>
      <c r="C3" s="10">
        <f t="shared" ref="C3:C40" si="2">SUM(F3:AU3)</f>
        <v>1</v>
      </c>
      <c r="D3" s="11">
        <f t="array" ref="D3">SUM(IF(F3:AU3="R",1,0))</f>
        <v>2</v>
      </c>
      <c r="E3" s="11">
        <f t="array" ref="E3">SUM(IF(F3:AU3="R2",1,0))</f>
        <v>0</v>
      </c>
      <c r="F3" s="89"/>
      <c r="G3" s="89"/>
      <c r="H3" s="16"/>
      <c r="I3" s="16"/>
      <c r="J3" s="90"/>
      <c r="K3" s="91"/>
      <c r="L3" s="90" t="s">
        <v>63</v>
      </c>
      <c r="M3" s="91"/>
      <c r="N3" s="91"/>
      <c r="O3" s="16"/>
      <c r="P3" s="91"/>
      <c r="Q3" s="91"/>
      <c r="R3" s="60"/>
      <c r="S3" s="92"/>
      <c r="T3" s="91"/>
      <c r="U3" s="91"/>
      <c r="V3" s="91"/>
      <c r="W3" s="91"/>
      <c r="X3" s="91"/>
      <c r="Y3" s="91"/>
      <c r="Z3" s="16"/>
      <c r="AA3" s="16"/>
      <c r="AB3" s="90"/>
      <c r="AC3" s="90">
        <v>1.0</v>
      </c>
      <c r="AD3" s="91"/>
      <c r="AE3" s="91"/>
      <c r="AF3" s="91"/>
      <c r="AG3" s="91"/>
      <c r="AH3" s="91"/>
      <c r="AI3" s="91"/>
      <c r="AJ3" s="16"/>
      <c r="AK3" s="91"/>
      <c r="AL3" s="91"/>
      <c r="AM3" s="91"/>
      <c r="AN3" s="91"/>
      <c r="AO3" s="90" t="s">
        <v>63</v>
      </c>
      <c r="AP3" s="91"/>
      <c r="AQ3" s="91"/>
      <c r="AR3" s="91"/>
      <c r="AS3" s="91"/>
      <c r="AT3" s="91"/>
      <c r="AU3" s="91"/>
      <c r="AV3" s="91"/>
      <c r="AW3" s="91"/>
      <c r="AX3" s="91"/>
      <c r="AY3" s="91"/>
    </row>
    <row r="4">
      <c r="A4" s="14" t="s">
        <v>283</v>
      </c>
      <c r="B4" s="10">
        <f t="shared" si="1"/>
        <v>3</v>
      </c>
      <c r="C4" s="10">
        <f t="shared" si="2"/>
        <v>2</v>
      </c>
      <c r="D4" s="11">
        <f t="array" ref="D4">SUM(IF(F4:AU4="R",1,0))</f>
        <v>1</v>
      </c>
      <c r="E4" s="11">
        <f t="array" ref="E4">SUM(IF(F4:AU4="R2",1,0))</f>
        <v>1</v>
      </c>
      <c r="F4" s="16"/>
      <c r="G4" s="43"/>
      <c r="H4" s="43"/>
      <c r="I4" s="43"/>
      <c r="J4" s="91"/>
      <c r="K4" s="90" t="s">
        <v>63</v>
      </c>
      <c r="L4" s="91"/>
      <c r="M4" s="91"/>
      <c r="N4" s="90" t="s">
        <v>62</v>
      </c>
      <c r="O4" s="16"/>
      <c r="P4" s="91"/>
      <c r="Q4" s="16"/>
      <c r="R4" s="91"/>
      <c r="S4" s="16"/>
      <c r="T4" s="16"/>
      <c r="U4" s="16"/>
      <c r="V4" s="16"/>
      <c r="W4" s="91"/>
      <c r="X4" s="91"/>
      <c r="Y4" s="91"/>
      <c r="Z4" s="16"/>
      <c r="AA4" s="90">
        <v>1.0</v>
      </c>
      <c r="AB4" s="91"/>
      <c r="AC4" s="16"/>
      <c r="AD4" s="16"/>
      <c r="AE4" s="91"/>
      <c r="AF4" s="91"/>
      <c r="AG4" s="91"/>
      <c r="AH4" s="91"/>
      <c r="AI4" s="16"/>
      <c r="AJ4" s="91"/>
      <c r="AK4" s="91"/>
      <c r="AL4" s="91"/>
      <c r="AM4" s="91"/>
      <c r="AN4" s="91"/>
      <c r="AO4" s="91"/>
      <c r="AP4" s="91"/>
      <c r="AQ4" s="91"/>
      <c r="AR4" s="90">
        <v>1.0</v>
      </c>
      <c r="AS4" s="91"/>
      <c r="AT4" s="91"/>
      <c r="AU4" s="91"/>
      <c r="AV4" s="91"/>
      <c r="AW4" s="91"/>
      <c r="AX4" s="91"/>
      <c r="AY4" s="91"/>
    </row>
    <row r="5">
      <c r="A5" s="14" t="s">
        <v>44</v>
      </c>
      <c r="B5" s="10">
        <f t="shared" si="1"/>
        <v>4</v>
      </c>
      <c r="C5" s="10">
        <f t="shared" si="2"/>
        <v>2</v>
      </c>
      <c r="D5" s="11">
        <f t="array" ref="D5">SUM(IF(F5:AU5="R",1,0))</f>
        <v>2</v>
      </c>
      <c r="E5" s="11">
        <f t="array" ref="E5">SUM(IF(F5:AU5="R2",1,0))</f>
        <v>1</v>
      </c>
      <c r="F5" s="16"/>
      <c r="G5" s="16"/>
      <c r="H5" s="16"/>
      <c r="I5" s="16"/>
      <c r="J5" s="91"/>
      <c r="K5" s="91"/>
      <c r="L5" s="91"/>
      <c r="M5" s="90" t="s">
        <v>63</v>
      </c>
      <c r="N5" s="16"/>
      <c r="O5" s="60"/>
      <c r="P5" s="16"/>
      <c r="Q5" s="21"/>
      <c r="R5" s="16"/>
      <c r="S5" s="16"/>
      <c r="T5" s="16"/>
      <c r="U5" s="16"/>
      <c r="V5" s="16"/>
      <c r="W5" s="91"/>
      <c r="X5" s="91"/>
      <c r="Y5" s="91"/>
      <c r="Z5" s="16"/>
      <c r="AA5" s="91"/>
      <c r="AB5" s="90">
        <v>1.0</v>
      </c>
      <c r="AC5" s="91"/>
      <c r="AD5" s="91"/>
      <c r="AE5" s="91"/>
      <c r="AF5" s="91"/>
      <c r="AG5" s="91"/>
      <c r="AH5" s="91"/>
      <c r="AI5" s="91"/>
      <c r="AJ5" s="90">
        <v>1.0</v>
      </c>
      <c r="AK5" s="91"/>
      <c r="AL5" s="91"/>
      <c r="AM5" s="91"/>
      <c r="AN5" s="91"/>
      <c r="AO5" s="91"/>
      <c r="AP5" s="90" t="s">
        <v>63</v>
      </c>
      <c r="AQ5" s="91"/>
      <c r="AR5" s="90" t="s">
        <v>62</v>
      </c>
      <c r="AS5" s="91"/>
      <c r="AT5" s="91"/>
      <c r="AU5" s="91"/>
      <c r="AV5" s="91"/>
      <c r="AW5" s="91"/>
      <c r="AX5" s="91"/>
      <c r="AY5" s="91"/>
    </row>
    <row r="6" hidden="1">
      <c r="A6" s="14" t="s">
        <v>284</v>
      </c>
      <c r="B6" s="10"/>
      <c r="C6" s="10">
        <f t="shared" si="2"/>
        <v>0</v>
      </c>
      <c r="D6" s="11">
        <f t="array" ref="D6">SUM(IF(F6:AU6="R",1,0))</f>
        <v>0</v>
      </c>
      <c r="E6" s="11">
        <f t="array" ref="E6">SUM(IF(F6:AU6="R2",1,0))</f>
        <v>0</v>
      </c>
      <c r="F6" s="91"/>
      <c r="G6" s="91"/>
      <c r="H6" s="91"/>
      <c r="I6" s="91"/>
      <c r="J6" s="91"/>
      <c r="K6" s="91"/>
      <c r="L6" s="91"/>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row>
    <row r="7">
      <c r="A7" s="14" t="s">
        <v>285</v>
      </c>
      <c r="B7" s="10">
        <f t="shared" ref="B7:B9" si="3">SUM(C7:D7)</f>
        <v>3</v>
      </c>
      <c r="C7" s="10">
        <f t="shared" si="2"/>
        <v>1</v>
      </c>
      <c r="D7" s="11">
        <f t="array" ref="D7">SUM(IF(F7:AU7="R",1,0))</f>
        <v>2</v>
      </c>
      <c r="E7" s="11">
        <f t="array" ref="E7">SUM(IF(F7:AU7="R2",1,0))</f>
        <v>0</v>
      </c>
      <c r="F7" s="90">
        <v>1.0</v>
      </c>
      <c r="G7" s="16"/>
      <c r="H7" s="16"/>
      <c r="I7" s="16"/>
      <c r="J7" s="91"/>
      <c r="K7" s="91"/>
      <c r="L7" s="16"/>
      <c r="M7" s="16"/>
      <c r="N7" s="91"/>
      <c r="O7" s="16"/>
      <c r="P7" s="90" t="s">
        <v>63</v>
      </c>
      <c r="Q7" s="91"/>
      <c r="R7" s="91"/>
      <c r="S7" s="16"/>
      <c r="T7" s="68"/>
      <c r="U7" s="16"/>
      <c r="V7" s="16"/>
      <c r="W7" s="91"/>
      <c r="X7" s="91"/>
      <c r="Y7" s="91"/>
      <c r="Z7" s="16"/>
      <c r="AA7" s="91"/>
      <c r="AB7" s="91"/>
      <c r="AC7" s="91"/>
      <c r="AD7" s="90" t="s">
        <v>63</v>
      </c>
      <c r="AE7" s="91"/>
      <c r="AF7" s="91"/>
      <c r="AG7" s="91"/>
      <c r="AH7" s="91"/>
      <c r="AI7" s="91"/>
      <c r="AJ7" s="91"/>
      <c r="AK7" s="91"/>
      <c r="AL7" s="91"/>
      <c r="AM7" s="91"/>
      <c r="AN7" s="91"/>
      <c r="AO7" s="91"/>
      <c r="AP7" s="91"/>
      <c r="AQ7" s="91"/>
      <c r="AR7" s="91"/>
      <c r="AS7" s="91"/>
      <c r="AT7" s="91"/>
      <c r="AU7" s="91"/>
      <c r="AV7" s="91"/>
      <c r="AW7" s="91"/>
      <c r="AX7" s="91"/>
      <c r="AY7" s="91"/>
    </row>
    <row r="8">
      <c r="A8" s="26" t="s">
        <v>55</v>
      </c>
      <c r="B8" s="10">
        <f t="shared" si="3"/>
        <v>2</v>
      </c>
      <c r="C8" s="10">
        <f t="shared" si="2"/>
        <v>1</v>
      </c>
      <c r="D8" s="11">
        <f t="array" ref="D8">SUM(IF(F8:AU8="R",1,0))</f>
        <v>1</v>
      </c>
      <c r="E8" s="11">
        <f t="array" ref="E8">SUM(IF(F8:AU8="R2",1,0))</f>
        <v>1</v>
      </c>
      <c r="F8" s="91"/>
      <c r="G8" s="16"/>
      <c r="H8" s="16"/>
      <c r="I8" s="16"/>
      <c r="J8" s="90">
        <v>1.0</v>
      </c>
      <c r="K8" s="91"/>
      <c r="L8" s="90" t="s">
        <v>62</v>
      </c>
      <c r="M8" s="91"/>
      <c r="N8" s="91"/>
      <c r="O8" s="91"/>
      <c r="P8" s="91"/>
      <c r="Q8" s="91"/>
      <c r="R8" s="91"/>
      <c r="S8" s="91"/>
      <c r="T8" s="91"/>
      <c r="U8" s="91"/>
      <c r="V8" s="91"/>
      <c r="W8" s="91"/>
      <c r="X8" s="91"/>
      <c r="Y8" s="93"/>
      <c r="Z8" s="94"/>
      <c r="AA8" s="91"/>
      <c r="AB8" s="91"/>
      <c r="AC8" s="91"/>
      <c r="AD8" s="91"/>
      <c r="AE8" s="90" t="s">
        <v>63</v>
      </c>
      <c r="AF8" s="93"/>
      <c r="AG8" s="91"/>
      <c r="AH8" s="91"/>
      <c r="AI8" s="91"/>
      <c r="AJ8" s="91"/>
      <c r="AK8" s="91"/>
      <c r="AL8" s="91"/>
      <c r="AM8" s="91"/>
      <c r="AN8" s="91"/>
      <c r="AO8" s="91"/>
      <c r="AP8" s="91"/>
      <c r="AQ8" s="91"/>
      <c r="AR8" s="91"/>
      <c r="AS8" s="91"/>
      <c r="AT8" s="91"/>
      <c r="AU8" s="91"/>
      <c r="AV8" s="91"/>
      <c r="AW8" s="91"/>
      <c r="AX8" s="91"/>
      <c r="AY8" s="91"/>
    </row>
    <row r="9">
      <c r="A9" s="22" t="s">
        <v>286</v>
      </c>
      <c r="B9" s="10">
        <f t="shared" si="3"/>
        <v>3</v>
      </c>
      <c r="C9" s="10">
        <f t="shared" si="2"/>
        <v>1</v>
      </c>
      <c r="D9" s="11">
        <f t="array" ref="D9">SUM(IF(F9:AU9="R",1,0))</f>
        <v>2</v>
      </c>
      <c r="E9" s="11">
        <f t="array" ref="E9">SUM(IF(F9:AU9="R2",1,0))</f>
        <v>1</v>
      </c>
      <c r="F9" s="91"/>
      <c r="G9" s="16"/>
      <c r="H9" s="16"/>
      <c r="I9" s="16"/>
      <c r="J9" s="91"/>
      <c r="K9" s="91"/>
      <c r="L9" s="21"/>
      <c r="M9" s="16"/>
      <c r="N9" s="91"/>
      <c r="O9" s="90" t="s">
        <v>63</v>
      </c>
      <c r="P9" s="91"/>
      <c r="Q9" s="91"/>
      <c r="R9" s="91"/>
      <c r="S9" s="91"/>
      <c r="T9" s="91"/>
      <c r="U9" s="90">
        <v>1.0</v>
      </c>
      <c r="V9" s="91"/>
      <c r="W9" s="91"/>
      <c r="X9" s="91"/>
      <c r="Y9" s="91"/>
      <c r="Z9" s="91"/>
      <c r="AA9" s="91"/>
      <c r="AB9" s="91"/>
      <c r="AC9" s="91"/>
      <c r="AD9" s="91"/>
      <c r="AE9" s="91"/>
      <c r="AF9" s="90" t="s">
        <v>63</v>
      </c>
      <c r="AG9" s="91"/>
      <c r="AH9" s="91"/>
      <c r="AI9" s="91"/>
      <c r="AJ9" s="91"/>
      <c r="AK9" s="91"/>
      <c r="AL9" s="91"/>
      <c r="AM9" s="91"/>
      <c r="AN9" s="91"/>
      <c r="AO9" s="91"/>
      <c r="AP9" s="91"/>
      <c r="AQ9" s="90" t="s">
        <v>62</v>
      </c>
      <c r="AR9" s="91"/>
      <c r="AS9" s="91"/>
      <c r="AT9" s="91"/>
      <c r="AU9" s="91"/>
      <c r="AV9" s="91"/>
      <c r="AW9" s="91"/>
      <c r="AX9" s="91"/>
      <c r="AY9" s="91"/>
    </row>
    <row r="10">
      <c r="A10" s="20" t="s">
        <v>231</v>
      </c>
      <c r="B10" s="10"/>
      <c r="C10" s="10">
        <f t="shared" si="2"/>
        <v>1</v>
      </c>
      <c r="D10" s="11">
        <f t="array" ref="D10">SUM(IF(F10:AU10="R",1,0))</f>
        <v>2</v>
      </c>
      <c r="E10" s="11">
        <f t="array" ref="E10">SUM(IF(F10:AU10="R2",1,0))</f>
        <v>1</v>
      </c>
      <c r="F10" s="91"/>
      <c r="G10" s="16"/>
      <c r="H10" s="16"/>
      <c r="I10" s="21"/>
      <c r="J10" s="91"/>
      <c r="K10" s="91"/>
      <c r="L10" s="91"/>
      <c r="M10" s="91"/>
      <c r="N10" s="91"/>
      <c r="O10" s="91"/>
      <c r="P10" s="91"/>
      <c r="Q10" s="90" t="s">
        <v>63</v>
      </c>
      <c r="R10" s="91"/>
      <c r="S10" s="91"/>
      <c r="T10" s="91"/>
      <c r="U10" s="91"/>
      <c r="V10" s="91"/>
      <c r="W10" s="91"/>
      <c r="X10" s="91"/>
      <c r="Y10" s="91"/>
      <c r="Z10" s="90">
        <v>1.0</v>
      </c>
      <c r="AA10" s="91"/>
      <c r="AB10" s="91"/>
      <c r="AC10" s="91"/>
      <c r="AD10" s="91"/>
      <c r="AE10" s="91"/>
      <c r="AF10" s="91"/>
      <c r="AG10" s="91"/>
      <c r="AH10" s="91"/>
      <c r="AI10" s="91"/>
      <c r="AJ10" s="90" t="s">
        <v>63</v>
      </c>
      <c r="AK10" s="91"/>
      <c r="AL10" s="91"/>
      <c r="AM10" s="91"/>
      <c r="AN10" s="90"/>
      <c r="AO10" s="91"/>
      <c r="AP10" s="90" t="s">
        <v>62</v>
      </c>
      <c r="AQ10" s="91"/>
      <c r="AR10" s="91"/>
      <c r="AS10" s="91"/>
      <c r="AT10" s="91"/>
      <c r="AU10" s="90"/>
      <c r="AV10" s="91"/>
      <c r="AW10" s="91"/>
      <c r="AX10" s="91"/>
      <c r="AY10" s="91"/>
    </row>
    <row r="11">
      <c r="A11" s="20" t="s">
        <v>202</v>
      </c>
      <c r="B11" s="10"/>
      <c r="C11" s="10">
        <f t="shared" si="2"/>
        <v>1</v>
      </c>
      <c r="D11" s="11">
        <f t="array" ref="D11">SUM(IF(F11:AU11="R",1,0))</f>
        <v>2</v>
      </c>
      <c r="E11" s="11">
        <f t="array" ref="E11">SUM(IF(F11:AU11="R2",1,0))</f>
        <v>2</v>
      </c>
      <c r="F11" s="91"/>
      <c r="G11" s="43"/>
      <c r="H11" s="43"/>
      <c r="I11" s="95" t="s">
        <v>63</v>
      </c>
      <c r="J11" s="91"/>
      <c r="K11" s="91"/>
      <c r="L11" s="91"/>
      <c r="M11" s="90" t="s">
        <v>62</v>
      </c>
      <c r="N11" s="91"/>
      <c r="O11" s="91"/>
      <c r="P11" s="90"/>
      <c r="Q11" s="91"/>
      <c r="R11" s="91"/>
      <c r="S11" s="91"/>
      <c r="T11" s="91"/>
      <c r="U11" s="91"/>
      <c r="V11" s="91"/>
      <c r="W11" s="91"/>
      <c r="X11" s="90">
        <v>1.0</v>
      </c>
      <c r="Y11" s="91"/>
      <c r="Z11" s="91"/>
      <c r="AA11" s="91"/>
      <c r="AB11" s="91"/>
      <c r="AC11" s="91"/>
      <c r="AD11" s="91"/>
      <c r="AE11" s="91"/>
      <c r="AF11" s="91"/>
      <c r="AG11" s="90" t="s">
        <v>63</v>
      </c>
      <c r="AH11" s="91"/>
      <c r="AI11" s="91"/>
      <c r="AJ11" s="91"/>
      <c r="AK11" s="91"/>
      <c r="AL11" s="91"/>
      <c r="AM11" s="91"/>
      <c r="AN11" s="91"/>
      <c r="AO11" s="90" t="s">
        <v>62</v>
      </c>
      <c r="AP11" s="91"/>
      <c r="AQ11" s="91"/>
      <c r="AR11" s="16"/>
      <c r="AS11" s="91"/>
      <c r="AT11" s="91"/>
      <c r="AU11" s="91"/>
      <c r="AV11" s="91"/>
      <c r="AW11" s="91"/>
      <c r="AX11" s="91"/>
      <c r="AY11" s="91"/>
    </row>
    <row r="12">
      <c r="A12" s="20" t="s">
        <v>179</v>
      </c>
      <c r="B12" s="10">
        <f>SUM(C12:D12)</f>
        <v>3</v>
      </c>
      <c r="C12" s="10">
        <f t="shared" si="2"/>
        <v>1</v>
      </c>
      <c r="D12" s="11">
        <f t="array" ref="D12">SUM(IF(F12:AU12="R",1,0))</f>
        <v>2</v>
      </c>
      <c r="E12" s="11">
        <f t="array" ref="E12">SUM(IF(F12:AU12="R2",1,0))</f>
        <v>1</v>
      </c>
      <c r="F12" s="91"/>
      <c r="G12" s="16"/>
      <c r="H12" s="21"/>
      <c r="I12" s="16"/>
      <c r="J12" s="91"/>
      <c r="K12" s="90"/>
      <c r="L12" s="91"/>
      <c r="M12" s="91"/>
      <c r="N12" s="90"/>
      <c r="O12" s="90" t="s">
        <v>62</v>
      </c>
      <c r="P12" s="90"/>
      <c r="Q12" s="90"/>
      <c r="R12" s="91"/>
      <c r="S12" s="90"/>
      <c r="T12" s="91"/>
      <c r="U12" s="91"/>
      <c r="V12" s="91"/>
      <c r="W12" s="90">
        <v>1.0</v>
      </c>
      <c r="X12" s="91"/>
      <c r="Y12" s="90" t="s">
        <v>63</v>
      </c>
      <c r="Z12" s="90"/>
      <c r="AA12" s="91"/>
      <c r="AB12" s="91"/>
      <c r="AC12" s="90"/>
      <c r="AD12" s="91"/>
      <c r="AE12" s="91"/>
      <c r="AF12" s="91"/>
      <c r="AG12" s="91"/>
      <c r="AH12" s="90" t="s">
        <v>63</v>
      </c>
      <c r="AI12" s="91"/>
      <c r="AJ12" s="91"/>
      <c r="AK12" s="91"/>
      <c r="AL12" s="90"/>
      <c r="AM12" s="90"/>
      <c r="AN12" s="91"/>
      <c r="AO12" s="90"/>
      <c r="AP12" s="90"/>
      <c r="AQ12" s="91"/>
      <c r="AR12" s="90"/>
      <c r="AS12" s="90"/>
      <c r="AT12" s="90"/>
      <c r="AU12" s="90"/>
      <c r="AV12" s="91"/>
      <c r="AW12" s="91"/>
      <c r="AX12" s="91"/>
      <c r="AY12" s="91"/>
    </row>
    <row r="13">
      <c r="A13" s="20" t="s">
        <v>287</v>
      </c>
      <c r="B13" s="10"/>
      <c r="C13" s="10">
        <f t="shared" si="2"/>
        <v>2</v>
      </c>
      <c r="D13" s="11">
        <f t="array" ref="D13">SUM(IF(F13:AU13="R",1,0))</f>
        <v>2</v>
      </c>
      <c r="E13" s="11">
        <f t="array" ref="E13">SUM(IF(F13:AU13="R2",1,0))</f>
        <v>2</v>
      </c>
      <c r="F13" s="90"/>
      <c r="G13" s="21"/>
      <c r="H13" s="21" t="s">
        <v>63</v>
      </c>
      <c r="I13" s="16"/>
      <c r="J13" s="16"/>
      <c r="K13" s="21"/>
      <c r="L13" s="21"/>
      <c r="M13" s="21"/>
      <c r="N13" s="90" t="s">
        <v>63</v>
      </c>
      <c r="O13" s="90"/>
      <c r="P13" s="90"/>
      <c r="Q13" s="90" t="s">
        <v>62</v>
      </c>
      <c r="R13" s="91"/>
      <c r="S13" s="91"/>
      <c r="T13" s="91"/>
      <c r="U13" s="91"/>
      <c r="V13" s="91"/>
      <c r="W13" s="90"/>
      <c r="X13" s="90"/>
      <c r="Y13" s="90">
        <v>1.0</v>
      </c>
      <c r="Z13" s="90"/>
      <c r="AA13" s="21"/>
      <c r="AB13" s="21"/>
      <c r="AC13" s="21"/>
      <c r="AD13" s="21"/>
      <c r="AE13" s="91"/>
      <c r="AF13" s="90"/>
      <c r="AG13" s="90"/>
      <c r="AH13" s="91"/>
      <c r="AI13" s="90"/>
      <c r="AJ13" s="90" t="s">
        <v>62</v>
      </c>
      <c r="AK13" s="91"/>
      <c r="AL13" s="91"/>
      <c r="AM13" s="91"/>
      <c r="AN13" s="90"/>
      <c r="AO13" s="90"/>
      <c r="AP13" s="90"/>
      <c r="AQ13" s="90">
        <v>1.0</v>
      </c>
      <c r="AR13" s="90"/>
      <c r="AS13" s="90"/>
      <c r="AT13" s="90"/>
      <c r="AU13" s="90"/>
      <c r="AV13" s="91"/>
      <c r="AW13" s="91"/>
      <c r="AX13" s="91"/>
      <c r="AY13" s="91"/>
    </row>
    <row r="14" ht="15.0" hidden="1" customHeight="1">
      <c r="A14" s="23" t="s">
        <v>176</v>
      </c>
      <c r="B14" s="10">
        <f>SUM(C14:D14)</f>
        <v>0</v>
      </c>
      <c r="C14" s="10">
        <f t="shared" si="2"/>
        <v>0</v>
      </c>
      <c r="D14" s="11">
        <f t="array" ref="D14">SUM(IF(F14:AU14="R",1,0))</f>
        <v>0</v>
      </c>
      <c r="E14" s="11">
        <f t="array" ref="E14">SUM(IF(F14:AU14="R2",1,0))</f>
        <v>0</v>
      </c>
      <c r="F14" s="91"/>
      <c r="G14" s="43"/>
      <c r="H14" s="95"/>
      <c r="I14" s="43"/>
      <c r="J14" s="91"/>
      <c r="K14" s="91"/>
      <c r="L14" s="91"/>
      <c r="M14" s="91"/>
      <c r="N14" s="91"/>
      <c r="O14" s="91"/>
      <c r="P14" s="91"/>
      <c r="Q14" s="91"/>
      <c r="R14" s="90"/>
      <c r="S14" s="91"/>
      <c r="T14" s="91"/>
      <c r="U14" s="91"/>
      <c r="V14" s="90"/>
      <c r="W14" s="91"/>
      <c r="X14" s="91"/>
      <c r="Y14" s="91"/>
      <c r="Z14" s="91"/>
      <c r="AA14" s="91"/>
      <c r="AB14" s="91"/>
      <c r="AC14" s="90"/>
      <c r="AD14" s="91"/>
      <c r="AE14" s="90"/>
      <c r="AF14" s="91"/>
      <c r="AG14" s="91"/>
      <c r="AH14" s="91"/>
      <c r="AI14" s="90"/>
      <c r="AJ14" s="91"/>
      <c r="AK14" s="91"/>
      <c r="AL14" s="91"/>
      <c r="AM14" s="91"/>
      <c r="AN14" s="91"/>
      <c r="AO14" s="91"/>
      <c r="AP14" s="91"/>
      <c r="AQ14" s="90"/>
      <c r="AR14" s="91"/>
      <c r="AS14" s="91"/>
      <c r="AT14" s="91"/>
      <c r="AU14" s="91"/>
      <c r="AV14" s="91"/>
      <c r="AW14" s="91"/>
      <c r="AX14" s="91"/>
      <c r="AY14" s="91"/>
    </row>
    <row r="15" hidden="1">
      <c r="A15" s="23" t="s">
        <v>53</v>
      </c>
      <c r="B15" s="10"/>
      <c r="C15" s="10">
        <f t="shared" si="2"/>
        <v>0</v>
      </c>
      <c r="D15" s="11">
        <f t="array" ref="D15">SUM(IF(F15:AU15="R",1,0))</f>
        <v>0</v>
      </c>
      <c r="E15" s="11">
        <f t="array" ref="E15">SUM(IF(F15:AU15="R2",1,0))</f>
        <v>0</v>
      </c>
      <c r="F15" s="91"/>
      <c r="G15" s="91"/>
      <c r="H15" s="91"/>
      <c r="I15" s="91"/>
      <c r="J15" s="91"/>
      <c r="K15" s="91"/>
      <c r="L15" s="91"/>
      <c r="M15" s="91"/>
      <c r="N15" s="91"/>
      <c r="O15" s="91"/>
      <c r="P15" s="91"/>
      <c r="Q15" s="91"/>
      <c r="R15" s="91"/>
      <c r="S15" s="91"/>
      <c r="T15" s="91"/>
      <c r="U15" s="91"/>
      <c r="V15" s="91"/>
      <c r="W15" s="91"/>
      <c r="X15" s="91"/>
      <c r="Y15" s="91"/>
      <c r="Z15" s="91"/>
      <c r="AA15" s="91"/>
      <c r="AB15" s="91"/>
      <c r="AC15" s="91"/>
      <c r="AD15" s="91"/>
      <c r="AE15" s="91"/>
      <c r="AF15" s="91"/>
      <c r="AG15" s="91"/>
      <c r="AH15" s="91"/>
      <c r="AI15" s="91"/>
      <c r="AJ15" s="91"/>
      <c r="AK15" s="91"/>
      <c r="AL15" s="91"/>
      <c r="AM15" s="91"/>
      <c r="AN15" s="91"/>
      <c r="AO15" s="91"/>
      <c r="AP15" s="91"/>
      <c r="AQ15" s="91"/>
      <c r="AR15" s="91"/>
      <c r="AS15" s="91"/>
      <c r="AT15" s="91"/>
      <c r="AU15" s="91"/>
      <c r="AV15" s="91"/>
      <c r="AW15" s="91"/>
      <c r="AX15" s="91"/>
      <c r="AY15" s="91"/>
    </row>
    <row r="16" hidden="1">
      <c r="A16" s="23" t="s">
        <v>258</v>
      </c>
      <c r="B16" s="10">
        <f t="shared" ref="B16:B17" si="4">SUM(C16:D16)</f>
        <v>0</v>
      </c>
      <c r="C16" s="10">
        <f t="shared" si="2"/>
        <v>0</v>
      </c>
      <c r="D16" s="11">
        <f t="array" ref="D16">SUM(IF(F16:AU16="R",1,0))</f>
        <v>0</v>
      </c>
      <c r="E16" s="11">
        <f t="array" ref="E16">SUM(IF(F16:AU16="R2",1,0))</f>
        <v>0</v>
      </c>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row>
    <row r="17">
      <c r="A17" s="26" t="s">
        <v>91</v>
      </c>
      <c r="B17" s="10">
        <f t="shared" si="4"/>
        <v>4</v>
      </c>
      <c r="C17" s="10">
        <f t="shared" si="2"/>
        <v>2</v>
      </c>
      <c r="D17" s="11">
        <f t="array" ref="D17">SUM(IF(F17:AU17="R",1,0))</f>
        <v>2</v>
      </c>
      <c r="E17" s="11">
        <f t="array" ref="E17">SUM(IF(F17:AU17="R2",1,0))</f>
        <v>2</v>
      </c>
      <c r="F17" s="91"/>
      <c r="G17" s="91"/>
      <c r="H17" s="91"/>
      <c r="I17" s="91"/>
      <c r="J17" s="90" t="s">
        <v>63</v>
      </c>
      <c r="K17" s="91"/>
      <c r="L17" s="90">
        <v>1.0</v>
      </c>
      <c r="M17" s="91"/>
      <c r="N17" s="91"/>
      <c r="O17" s="91"/>
      <c r="P17" s="91"/>
      <c r="Q17" s="91"/>
      <c r="R17" s="91"/>
      <c r="S17" s="90"/>
      <c r="T17" s="91"/>
      <c r="U17" s="90" t="s">
        <v>63</v>
      </c>
      <c r="V17" s="91"/>
      <c r="W17" s="91"/>
      <c r="X17" s="91"/>
      <c r="Y17" s="91"/>
      <c r="Z17" s="91"/>
      <c r="AA17" s="91"/>
      <c r="AB17" s="91"/>
      <c r="AC17" s="90" t="s">
        <v>62</v>
      </c>
      <c r="AD17" s="91"/>
      <c r="AE17" s="90"/>
      <c r="AF17" s="91"/>
      <c r="AG17" s="91"/>
      <c r="AH17" s="90"/>
      <c r="AI17" s="91"/>
      <c r="AJ17" s="91"/>
      <c r="AK17" s="91"/>
      <c r="AL17" s="90" t="s">
        <v>62</v>
      </c>
      <c r="AM17" s="91"/>
      <c r="AN17" s="90">
        <v>1.0</v>
      </c>
      <c r="AO17" s="91"/>
      <c r="AP17" s="91"/>
      <c r="AQ17" s="91"/>
      <c r="AR17" s="91"/>
      <c r="AS17" s="91"/>
      <c r="AT17" s="91"/>
      <c r="AU17" s="91"/>
      <c r="AV17" s="91"/>
      <c r="AW17" s="91"/>
      <c r="AX17" s="91"/>
      <c r="AY17" s="91"/>
    </row>
    <row r="18" hidden="1">
      <c r="A18" s="9" t="s">
        <v>56</v>
      </c>
      <c r="B18" s="10"/>
      <c r="C18" s="10">
        <f t="shared" si="2"/>
        <v>0</v>
      </c>
      <c r="D18" s="11">
        <f t="array" ref="D18">SUM(IF(F18:AU18="R",1,0))</f>
        <v>0</v>
      </c>
      <c r="E18" s="11">
        <f t="array" ref="E18">SUM(IF(F18:AU18="R2",1,0))</f>
        <v>0</v>
      </c>
      <c r="F18" s="91"/>
      <c r="G18" s="91"/>
      <c r="H18" s="91"/>
      <c r="I18" s="91"/>
      <c r="J18" s="91"/>
      <c r="K18" s="91"/>
      <c r="L18" s="91"/>
      <c r="M18" s="91"/>
      <c r="N18" s="91"/>
      <c r="O18" s="91"/>
      <c r="P18" s="91"/>
      <c r="Q18" s="91"/>
      <c r="R18" s="91"/>
      <c r="S18" s="91"/>
      <c r="T18" s="91"/>
      <c r="U18" s="91"/>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row>
    <row r="19" hidden="1">
      <c r="A19" s="9" t="s">
        <v>227</v>
      </c>
      <c r="B19" s="10">
        <f t="shared" ref="B19:B20" si="5">SUM(C19:D19)</f>
        <v>0</v>
      </c>
      <c r="C19" s="10">
        <f t="shared" si="2"/>
        <v>0</v>
      </c>
      <c r="D19" s="11">
        <f t="array" ref="D19">SUM(IF(F19:AU19="R",1,0))</f>
        <v>0</v>
      </c>
      <c r="E19" s="11">
        <f t="array" ref="E19">SUM(IF(F19:AU19="R2",1,0))</f>
        <v>0</v>
      </c>
      <c r="F19" s="91"/>
      <c r="G19" s="91"/>
      <c r="H19" s="91"/>
      <c r="I19" s="91"/>
      <c r="J19" s="91"/>
      <c r="K19" s="91"/>
      <c r="L19" s="91"/>
      <c r="M19" s="91"/>
      <c r="N19" s="91"/>
      <c r="O19" s="91"/>
      <c r="P19" s="91"/>
      <c r="Q19" s="91"/>
      <c r="R19" s="91"/>
      <c r="S19" s="91"/>
      <c r="T19" s="91"/>
      <c r="U19" s="91"/>
      <c r="V19" s="91"/>
      <c r="W19" s="91"/>
      <c r="X19" s="91"/>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row>
    <row r="20">
      <c r="A20" s="9" t="s">
        <v>178</v>
      </c>
      <c r="B20" s="10">
        <f t="shared" si="5"/>
        <v>3</v>
      </c>
      <c r="C20" s="10">
        <f t="shared" si="2"/>
        <v>2</v>
      </c>
      <c r="D20" s="11">
        <f t="array" ref="D20">SUM(IF(F20:AU20="R",1,0))</f>
        <v>1</v>
      </c>
      <c r="E20" s="11">
        <f t="array" ref="E20">SUM(IF(F20:AU20="R2",1,0))</f>
        <v>2</v>
      </c>
      <c r="F20" s="90" t="s">
        <v>63</v>
      </c>
      <c r="G20" s="90"/>
      <c r="H20" s="90">
        <v>1.0</v>
      </c>
      <c r="I20" s="90"/>
      <c r="J20" s="91"/>
      <c r="K20" s="90" t="s">
        <v>62</v>
      </c>
      <c r="L20" s="91"/>
      <c r="M20" s="90"/>
      <c r="N20" s="91"/>
      <c r="O20" s="90"/>
      <c r="P20" s="91"/>
      <c r="Q20" s="91"/>
      <c r="R20" s="90"/>
      <c r="S20" s="90" t="s">
        <v>62</v>
      </c>
      <c r="T20" s="91"/>
      <c r="U20" s="91"/>
      <c r="V20" s="91"/>
      <c r="W20" s="91"/>
      <c r="X20" s="91"/>
      <c r="Y20" s="91"/>
      <c r="Z20" s="91"/>
      <c r="AA20" s="91"/>
      <c r="AB20" s="91"/>
      <c r="AC20" s="91"/>
      <c r="AD20" s="91"/>
      <c r="AE20" s="91"/>
      <c r="AF20" s="91"/>
      <c r="AG20" s="91"/>
      <c r="AH20" s="91"/>
      <c r="AI20" s="91"/>
      <c r="AJ20" s="91"/>
      <c r="AK20" s="91"/>
      <c r="AL20" s="90">
        <v>1.0</v>
      </c>
      <c r="AM20" s="91"/>
      <c r="AN20" s="91"/>
      <c r="AO20" s="91"/>
      <c r="AP20" s="91"/>
      <c r="AQ20" s="91"/>
      <c r="AR20" s="91"/>
      <c r="AS20" s="91"/>
      <c r="AT20" s="91"/>
      <c r="AU20" s="91"/>
      <c r="AV20" s="91"/>
      <c r="AW20" s="91"/>
      <c r="AX20" s="91"/>
      <c r="AY20" s="91"/>
    </row>
    <row r="21">
      <c r="A21" s="62" t="s">
        <v>199</v>
      </c>
      <c r="B21" s="10"/>
      <c r="C21" s="10">
        <f t="shared" si="2"/>
        <v>1</v>
      </c>
      <c r="D21" s="11">
        <f t="array" ref="D21">SUM(IF(F21:AU21="R",1,0))</f>
        <v>2</v>
      </c>
      <c r="E21" s="11">
        <f t="array" ref="E21">SUM(IF(F21:AU21="R2",1,0))</f>
        <v>2</v>
      </c>
      <c r="F21" s="91"/>
      <c r="G21" s="16"/>
      <c r="H21" s="16"/>
      <c r="I21" s="16"/>
      <c r="J21" s="91"/>
      <c r="K21" s="91"/>
      <c r="L21" s="91"/>
      <c r="M21" s="90">
        <v>1.0</v>
      </c>
      <c r="N21" s="91"/>
      <c r="O21" s="91"/>
      <c r="P21" s="91"/>
      <c r="Q21" s="91"/>
      <c r="R21" s="90" t="s">
        <v>63</v>
      </c>
      <c r="S21" s="91"/>
      <c r="T21" s="90"/>
      <c r="U21" s="90" t="s">
        <v>62</v>
      </c>
      <c r="V21" s="91"/>
      <c r="W21" s="91"/>
      <c r="X21" s="91"/>
      <c r="Y21" s="90" t="s">
        <v>62</v>
      </c>
      <c r="Z21" s="91"/>
      <c r="AA21" s="91"/>
      <c r="AB21" s="91"/>
      <c r="AC21" s="91"/>
      <c r="AD21" s="91"/>
      <c r="AE21" s="90"/>
      <c r="AF21" s="91"/>
      <c r="AG21" s="91"/>
      <c r="AH21" s="91"/>
      <c r="AI21" s="91"/>
      <c r="AJ21" s="91"/>
      <c r="AK21" s="90" t="s">
        <v>63</v>
      </c>
      <c r="AL21" s="91"/>
      <c r="AM21" s="91"/>
      <c r="AN21" s="91"/>
      <c r="AO21" s="91"/>
      <c r="AP21" s="91"/>
      <c r="AQ21" s="91"/>
      <c r="AR21" s="91"/>
      <c r="AS21" s="91"/>
      <c r="AT21" s="91"/>
      <c r="AU21" s="91"/>
      <c r="AV21" s="91"/>
      <c r="AW21" s="91"/>
      <c r="AX21" s="91"/>
      <c r="AY21" s="91"/>
    </row>
    <row r="22">
      <c r="A22" s="62" t="s">
        <v>200</v>
      </c>
      <c r="B22" s="10">
        <f>SUM(C22:D22)</f>
        <v>3</v>
      </c>
      <c r="C22" s="10">
        <f t="shared" si="2"/>
        <v>1</v>
      </c>
      <c r="D22" s="11">
        <f t="array" ref="D22">SUM(IF(F22:AU22="R",1,0))</f>
        <v>2</v>
      </c>
      <c r="E22" s="11">
        <f t="array" ref="E22">SUM(IF(F22:AU22="R2",1,0))</f>
        <v>2</v>
      </c>
      <c r="F22" s="91"/>
      <c r="G22" s="16"/>
      <c r="H22" s="16"/>
      <c r="I22" s="16"/>
      <c r="J22" s="91"/>
      <c r="K22" s="91"/>
      <c r="L22" s="91"/>
      <c r="M22" s="91"/>
      <c r="N22" s="91"/>
      <c r="O22" s="91"/>
      <c r="P22" s="91"/>
      <c r="Q22" s="91"/>
      <c r="R22" s="91"/>
      <c r="S22" s="90" t="s">
        <v>63</v>
      </c>
      <c r="T22" s="91"/>
      <c r="U22" s="91"/>
      <c r="V22" s="91"/>
      <c r="W22" s="91"/>
      <c r="X22" s="90" t="s">
        <v>62</v>
      </c>
      <c r="Y22" s="91"/>
      <c r="Z22" s="91"/>
      <c r="AA22" s="90" t="s">
        <v>62</v>
      </c>
      <c r="AB22" s="91"/>
      <c r="AC22" s="90" t="s">
        <v>63</v>
      </c>
      <c r="AD22" s="91"/>
      <c r="AE22" s="91"/>
      <c r="AF22" s="90">
        <v>1.0</v>
      </c>
      <c r="AG22" s="91"/>
      <c r="AH22" s="91"/>
      <c r="AI22" s="91"/>
      <c r="AJ22" s="91"/>
      <c r="AK22" s="91"/>
      <c r="AL22" s="91"/>
      <c r="AM22" s="91"/>
      <c r="AN22" s="91"/>
      <c r="AO22" s="91"/>
      <c r="AP22" s="91"/>
      <c r="AQ22" s="91"/>
      <c r="AR22" s="91"/>
      <c r="AS22" s="91"/>
      <c r="AT22" s="91"/>
      <c r="AU22" s="91"/>
      <c r="AV22" s="91"/>
      <c r="AW22" s="91"/>
      <c r="AX22" s="91"/>
      <c r="AY22" s="91"/>
    </row>
    <row r="23">
      <c r="A23" s="62" t="s">
        <v>288</v>
      </c>
      <c r="B23" s="10"/>
      <c r="C23" s="10">
        <f t="shared" si="2"/>
        <v>2</v>
      </c>
      <c r="D23" s="11">
        <f t="array" ref="D23">SUM(IF(F23:AU23="R",1,0))</f>
        <v>2</v>
      </c>
      <c r="E23" s="11">
        <f t="array" ref="E23">SUM(IF(F23:AU23="R2",1,0))</f>
        <v>2</v>
      </c>
      <c r="F23" s="91"/>
      <c r="G23" s="16"/>
      <c r="H23" s="16"/>
      <c r="I23" s="16"/>
      <c r="J23" s="91"/>
      <c r="K23" s="91"/>
      <c r="L23" s="91"/>
      <c r="M23" s="91"/>
      <c r="N23" s="91"/>
      <c r="O23" s="91"/>
      <c r="P23" s="91"/>
      <c r="Q23" s="91"/>
      <c r="R23" s="91"/>
      <c r="S23" s="91"/>
      <c r="T23" s="90" t="s">
        <v>63</v>
      </c>
      <c r="U23" s="91"/>
      <c r="V23" s="91"/>
      <c r="W23" s="90" t="s">
        <v>62</v>
      </c>
      <c r="X23" s="91"/>
      <c r="Y23" s="91"/>
      <c r="Z23" s="90" t="s">
        <v>62</v>
      </c>
      <c r="AA23" s="91"/>
      <c r="AB23" s="91"/>
      <c r="AC23" s="91"/>
      <c r="AD23" s="91"/>
      <c r="AE23" s="91"/>
      <c r="AF23" s="91"/>
      <c r="AG23" s="90">
        <v>1.0</v>
      </c>
      <c r="AH23" s="91"/>
      <c r="AI23" s="91"/>
      <c r="AJ23" s="91"/>
      <c r="AK23" s="91"/>
      <c r="AL23" s="91"/>
      <c r="AM23" s="90">
        <v>1.0</v>
      </c>
      <c r="AN23" s="91"/>
      <c r="AO23" s="91"/>
      <c r="AP23" s="91"/>
      <c r="AQ23" s="91"/>
      <c r="AR23" s="90" t="s">
        <v>63</v>
      </c>
      <c r="AS23" s="91"/>
      <c r="AT23" s="91"/>
      <c r="AU23" s="91"/>
      <c r="AV23" s="91"/>
      <c r="AW23" s="91"/>
      <c r="AX23" s="91"/>
      <c r="AY23" s="91"/>
    </row>
    <row r="24">
      <c r="A24" s="62" t="s">
        <v>289</v>
      </c>
      <c r="B24" s="10">
        <f>SUM(C24:D24)</f>
        <v>3</v>
      </c>
      <c r="C24" s="10">
        <f t="shared" si="2"/>
        <v>2</v>
      </c>
      <c r="D24" s="11">
        <f t="array" ref="D24">SUM(IF(F24:AU24="R",1,0))</f>
        <v>1</v>
      </c>
      <c r="E24" s="11">
        <f t="array" ref="E24">SUM(IF(F24:AU24="R2",1,0))</f>
        <v>2</v>
      </c>
      <c r="F24" s="90" t="s">
        <v>62</v>
      </c>
      <c r="G24" s="16"/>
      <c r="H24" s="16"/>
      <c r="I24" s="16"/>
      <c r="J24" s="91"/>
      <c r="K24" s="91"/>
      <c r="L24" s="91"/>
      <c r="M24" s="91"/>
      <c r="N24" s="90">
        <v>1.0</v>
      </c>
      <c r="O24" s="91"/>
      <c r="P24" s="91"/>
      <c r="Q24" s="91"/>
      <c r="R24" s="91"/>
      <c r="S24" s="91"/>
      <c r="T24" s="91"/>
      <c r="U24" s="91"/>
      <c r="V24" s="90" t="s">
        <v>62</v>
      </c>
      <c r="W24" s="91"/>
      <c r="X24" s="91"/>
      <c r="Y24" s="91"/>
      <c r="Z24" s="90" t="s">
        <v>63</v>
      </c>
      <c r="AA24" s="91"/>
      <c r="AB24" s="91"/>
      <c r="AC24" s="91"/>
      <c r="AD24" s="91"/>
      <c r="AE24" s="91"/>
      <c r="AF24" s="91"/>
      <c r="AG24" s="91"/>
      <c r="AH24" s="90">
        <v>1.0</v>
      </c>
      <c r="AI24" s="91"/>
      <c r="AJ24" s="91"/>
      <c r="AK24" s="91"/>
      <c r="AL24" s="91"/>
      <c r="AM24" s="91"/>
      <c r="AN24" s="91"/>
      <c r="AO24" s="91"/>
      <c r="AP24" s="91"/>
      <c r="AQ24" s="91"/>
      <c r="AR24" s="91"/>
      <c r="AS24" s="91"/>
      <c r="AT24" s="91"/>
      <c r="AU24" s="91"/>
      <c r="AV24" s="91"/>
      <c r="AW24" s="91"/>
      <c r="AX24" s="91"/>
      <c r="AY24" s="91"/>
    </row>
    <row r="25">
      <c r="A25" s="62" t="s">
        <v>175</v>
      </c>
      <c r="B25" s="10"/>
      <c r="C25" s="10">
        <f t="shared" si="2"/>
        <v>2</v>
      </c>
      <c r="D25" s="11">
        <f t="array" ref="D25">SUM(IF(F25:AU25="R",1,0))</f>
        <v>2</v>
      </c>
      <c r="E25" s="11">
        <f t="array" ref="E25">SUM(IF(F25:AU25="R2",1,0))</f>
        <v>2</v>
      </c>
      <c r="F25" s="91"/>
      <c r="G25" s="16"/>
      <c r="H25" s="16"/>
      <c r="I25" s="16"/>
      <c r="J25" s="91"/>
      <c r="K25" s="91"/>
      <c r="L25" s="91"/>
      <c r="M25" s="91"/>
      <c r="N25" s="91"/>
      <c r="O25" s="90">
        <v>1.0</v>
      </c>
      <c r="P25" s="91"/>
      <c r="Q25" s="91"/>
      <c r="R25" s="91"/>
      <c r="S25" s="91"/>
      <c r="T25" s="91"/>
      <c r="U25" s="91"/>
      <c r="V25" s="90" t="s">
        <v>63</v>
      </c>
      <c r="W25" s="91"/>
      <c r="X25" s="91"/>
      <c r="Y25" s="91"/>
      <c r="Z25" s="91"/>
      <c r="AA25" s="91"/>
      <c r="AB25" s="90" t="s">
        <v>63</v>
      </c>
      <c r="AC25" s="91"/>
      <c r="AD25" s="91"/>
      <c r="AE25" s="90">
        <v>1.0</v>
      </c>
      <c r="AF25" s="91"/>
      <c r="AG25" s="91"/>
      <c r="AH25" s="90" t="s">
        <v>62</v>
      </c>
      <c r="AI25" s="91"/>
      <c r="AJ25" s="91"/>
      <c r="AK25" s="91"/>
      <c r="AL25" s="91"/>
      <c r="AM25" s="90" t="s">
        <v>62</v>
      </c>
      <c r="AN25" s="91"/>
      <c r="AO25" s="91"/>
      <c r="AP25" s="91"/>
      <c r="AQ25" s="91"/>
      <c r="AR25" s="91"/>
      <c r="AS25" s="91"/>
      <c r="AT25" s="91"/>
      <c r="AU25" s="91"/>
      <c r="AV25" s="91"/>
      <c r="AW25" s="91"/>
      <c r="AX25" s="91"/>
      <c r="AY25" s="91"/>
    </row>
    <row r="26">
      <c r="A26" s="62" t="s">
        <v>290</v>
      </c>
      <c r="B26" s="10">
        <f t="shared" ref="B26:B28" si="6">SUM(C26:D26)</f>
        <v>3</v>
      </c>
      <c r="C26" s="10">
        <f t="shared" si="2"/>
        <v>2</v>
      </c>
      <c r="D26" s="11">
        <f t="array" ref="D26">SUM(IF(F26:AU26="R",1,0))</f>
        <v>1</v>
      </c>
      <c r="E26" s="11">
        <f t="array" ref="E26">SUM(IF(F26:AU26="R2",1,0))</f>
        <v>2</v>
      </c>
      <c r="F26" s="91"/>
      <c r="G26" s="16"/>
      <c r="H26" s="16"/>
      <c r="I26" s="16"/>
      <c r="J26" s="91"/>
      <c r="K26" s="91"/>
      <c r="L26" s="91"/>
      <c r="M26" s="91"/>
      <c r="N26" s="91"/>
      <c r="O26" s="91"/>
      <c r="P26" s="90">
        <v>1.0</v>
      </c>
      <c r="Q26" s="91"/>
      <c r="R26" s="91"/>
      <c r="S26" s="91"/>
      <c r="T26" s="90" t="s">
        <v>62</v>
      </c>
      <c r="U26" s="91"/>
      <c r="V26" s="91"/>
      <c r="W26" s="90" t="s">
        <v>63</v>
      </c>
      <c r="X26" s="91"/>
      <c r="Y26" s="91"/>
      <c r="Z26" s="91"/>
      <c r="AA26" s="91"/>
      <c r="AB26" s="91"/>
      <c r="AC26" s="91"/>
      <c r="AD26" s="91"/>
      <c r="AE26" s="91"/>
      <c r="AF26" s="90" t="s">
        <v>62</v>
      </c>
      <c r="AG26" s="91"/>
      <c r="AH26" s="91"/>
      <c r="AI26" s="90">
        <v>1.0</v>
      </c>
      <c r="AJ26" s="91"/>
      <c r="AK26" s="91"/>
      <c r="AL26" s="91"/>
      <c r="AM26" s="91"/>
      <c r="AN26" s="91"/>
      <c r="AO26" s="91"/>
      <c r="AP26" s="91"/>
      <c r="AQ26" s="91"/>
      <c r="AR26" s="91"/>
      <c r="AS26" s="91"/>
      <c r="AT26" s="91"/>
      <c r="AU26" s="91"/>
      <c r="AV26" s="91"/>
      <c r="AW26" s="91"/>
      <c r="AX26" s="91"/>
      <c r="AY26" s="91"/>
    </row>
    <row r="27" hidden="1">
      <c r="A27" s="20" t="s">
        <v>228</v>
      </c>
      <c r="B27" s="10">
        <f t="shared" si="6"/>
        <v>0</v>
      </c>
      <c r="C27" s="10">
        <f t="shared" si="2"/>
        <v>0</v>
      </c>
      <c r="D27" s="11">
        <f t="array" ref="D27">SUM(IF(F27:AU27="R",1,0))</f>
        <v>0</v>
      </c>
      <c r="E27" s="11">
        <f t="array" ref="E27">SUM(IF(F27:AU27="R2",1,0))</f>
        <v>0</v>
      </c>
      <c r="F27" s="91"/>
      <c r="G27" s="91"/>
      <c r="H27" s="91"/>
      <c r="I27" s="91"/>
      <c r="J27" s="91"/>
      <c r="K27" s="91"/>
      <c r="L27" s="91"/>
      <c r="M27" s="91"/>
      <c r="N27" s="91"/>
      <c r="O27" s="91"/>
      <c r="P27" s="91"/>
      <c r="Q27" s="91"/>
      <c r="R27" s="91"/>
      <c r="S27" s="91"/>
      <c r="T27" s="91"/>
      <c r="U27" s="91"/>
      <c r="V27" s="91"/>
      <c r="W27" s="91"/>
      <c r="X27" s="91"/>
      <c r="Y27" s="91"/>
      <c r="Z27" s="91"/>
      <c r="AA27" s="91"/>
      <c r="AB27" s="91"/>
      <c r="AC27" s="91"/>
      <c r="AD27" s="91"/>
      <c r="AE27" s="91"/>
      <c r="AF27" s="91"/>
      <c r="AG27" s="91"/>
      <c r="AH27" s="91"/>
      <c r="AI27" s="91"/>
      <c r="AJ27" s="91"/>
      <c r="AK27" s="91"/>
      <c r="AL27" s="91"/>
      <c r="AM27" s="91"/>
      <c r="AN27" s="91"/>
      <c r="AO27" s="91"/>
      <c r="AP27" s="91"/>
      <c r="AQ27" s="91"/>
      <c r="AR27" s="91"/>
      <c r="AS27" s="91"/>
      <c r="AT27" s="91"/>
      <c r="AU27" s="91"/>
      <c r="AV27" s="91"/>
      <c r="AW27" s="91"/>
      <c r="AX27" s="91"/>
      <c r="AY27" s="91"/>
    </row>
    <row r="28" hidden="1">
      <c r="A28" s="20" t="s">
        <v>230</v>
      </c>
      <c r="B28" s="10">
        <f t="shared" si="6"/>
        <v>0</v>
      </c>
      <c r="C28" s="10">
        <f t="shared" si="2"/>
        <v>0</v>
      </c>
      <c r="D28" s="11">
        <f t="array" ref="D28">SUM(IF(F28:AU28="R",1,0))</f>
        <v>0</v>
      </c>
      <c r="E28" s="11">
        <f t="array" ref="E28">SUM(IF(F28:AU28="R2",1,0))</f>
        <v>0</v>
      </c>
      <c r="F28" s="91"/>
      <c r="G28" s="91"/>
      <c r="H28" s="91"/>
      <c r="I28" s="91"/>
      <c r="J28" s="91"/>
      <c r="K28" s="91"/>
      <c r="L28" s="91"/>
      <c r="M28" s="91"/>
      <c r="N28" s="91"/>
      <c r="O28" s="91"/>
      <c r="P28" s="91"/>
      <c r="Q28" s="91"/>
      <c r="R28" s="91"/>
      <c r="S28" s="91"/>
      <c r="T28" s="91"/>
      <c r="U28" s="91"/>
      <c r="V28" s="91"/>
      <c r="W28" s="91"/>
      <c r="X28" s="91"/>
      <c r="Y28" s="91"/>
      <c r="Z28" s="91"/>
      <c r="AA28" s="91"/>
      <c r="AB28" s="91"/>
      <c r="AC28" s="91"/>
      <c r="AD28" s="91"/>
      <c r="AE28" s="91"/>
      <c r="AF28" s="91"/>
      <c r="AG28" s="91"/>
      <c r="AH28" s="91"/>
      <c r="AI28" s="91"/>
      <c r="AJ28" s="91"/>
      <c r="AK28" s="91"/>
      <c r="AL28" s="91"/>
      <c r="AM28" s="91"/>
      <c r="AN28" s="91"/>
      <c r="AO28" s="91"/>
      <c r="AP28" s="91"/>
      <c r="AQ28" s="91"/>
      <c r="AR28" s="91"/>
      <c r="AS28" s="91"/>
      <c r="AT28" s="91"/>
      <c r="AU28" s="91"/>
      <c r="AV28" s="91"/>
      <c r="AW28" s="91"/>
      <c r="AX28" s="91"/>
      <c r="AY28" s="91"/>
    </row>
    <row r="29">
      <c r="A29" s="27" t="s">
        <v>259</v>
      </c>
      <c r="B29" s="10"/>
      <c r="C29" s="10">
        <f t="shared" si="2"/>
        <v>2</v>
      </c>
      <c r="D29" s="11">
        <f t="array" ref="D29">SUM(IF(F29:AU29="R",1,0))</f>
        <v>1</v>
      </c>
      <c r="E29" s="11">
        <f t="array" ref="E29">SUM(IF(F29:AU29="R2",1,0))</f>
        <v>0</v>
      </c>
      <c r="F29" s="91"/>
      <c r="G29" s="43"/>
      <c r="H29" s="43"/>
      <c r="I29" s="43"/>
      <c r="J29" s="91"/>
      <c r="K29" s="91"/>
      <c r="L29" s="91"/>
      <c r="M29" s="91"/>
      <c r="N29" s="91"/>
      <c r="O29" s="91"/>
      <c r="P29" s="91"/>
      <c r="Q29" s="91"/>
      <c r="R29" s="90">
        <v>1.0</v>
      </c>
      <c r="S29" s="91"/>
      <c r="T29" s="91"/>
      <c r="U29" s="91"/>
      <c r="V29" s="91"/>
      <c r="W29" s="91"/>
      <c r="X29" s="90" t="s">
        <v>63</v>
      </c>
      <c r="Y29" s="91"/>
      <c r="Z29" s="16"/>
      <c r="AA29" s="91"/>
      <c r="AB29" s="91"/>
      <c r="AC29" s="91"/>
      <c r="AD29" s="91"/>
      <c r="AE29" s="91"/>
      <c r="AF29" s="91"/>
      <c r="AG29" s="16"/>
      <c r="AH29" s="91"/>
      <c r="AI29" s="91"/>
      <c r="AJ29" s="91"/>
      <c r="AK29" s="90">
        <v>1.0</v>
      </c>
      <c r="AL29" s="91"/>
      <c r="AM29" s="91"/>
      <c r="AN29" s="91"/>
      <c r="AO29" s="91"/>
      <c r="AP29" s="16"/>
      <c r="AQ29" s="91"/>
      <c r="AR29" s="91"/>
      <c r="AS29" s="91"/>
      <c r="AT29" s="91"/>
      <c r="AU29" s="91"/>
      <c r="AV29" s="91"/>
      <c r="AW29" s="91"/>
      <c r="AX29" s="91"/>
      <c r="AY29" s="91"/>
    </row>
    <row r="30" hidden="1">
      <c r="A30" s="17" t="s">
        <v>291</v>
      </c>
      <c r="B30" s="10" t="str">
        <f>SUM(B4:B36)</f>
        <v>#REF!</v>
      </c>
      <c r="C30" s="10">
        <f t="shared" si="2"/>
        <v>0</v>
      </c>
      <c r="D30" s="11">
        <f t="array" ref="D30">SUM(IF(F30:AU30="R",1,0))</f>
        <v>0</v>
      </c>
      <c r="E30" s="11">
        <f t="array" ref="E30">SUM(IF(F30:AU30="R2",1,0))</f>
        <v>0</v>
      </c>
      <c r="F30" s="91"/>
      <c r="G30" s="91"/>
      <c r="H30" s="91"/>
      <c r="I30" s="91"/>
      <c r="J30" s="91"/>
      <c r="K30" s="91"/>
      <c r="L30" s="91"/>
      <c r="M30" s="91"/>
      <c r="N30" s="91"/>
      <c r="O30" s="91"/>
      <c r="P30" s="91"/>
      <c r="Q30" s="91"/>
      <c r="R30" s="91"/>
      <c r="S30" s="91"/>
      <c r="T30" s="91"/>
      <c r="U30" s="91"/>
      <c r="V30" s="91"/>
      <c r="W30" s="91"/>
      <c r="X30" s="91"/>
      <c r="Y30" s="91"/>
      <c r="Z30" s="16"/>
      <c r="AA30" s="91"/>
      <c r="AB30" s="91"/>
      <c r="AC30" s="91"/>
      <c r="AD30" s="91"/>
      <c r="AE30" s="91"/>
      <c r="AF30" s="91"/>
      <c r="AG30" s="91"/>
      <c r="AH30" s="91"/>
      <c r="AI30" s="91"/>
      <c r="AJ30" s="91"/>
      <c r="AK30" s="91"/>
      <c r="AL30" s="91"/>
      <c r="AM30" s="91"/>
      <c r="AN30" s="91"/>
      <c r="AO30" s="91"/>
      <c r="AP30" s="91"/>
      <c r="AQ30" s="91"/>
      <c r="AR30" s="91"/>
      <c r="AS30" s="91"/>
      <c r="AT30" s="91"/>
      <c r="AU30" s="91"/>
      <c r="AV30" s="91"/>
      <c r="AW30" s="91"/>
      <c r="AX30" s="91"/>
      <c r="AY30" s="91"/>
    </row>
    <row r="31">
      <c r="A31" s="27" t="s">
        <v>149</v>
      </c>
      <c r="B31" s="28">
        <f t="shared" ref="B31:B32" si="7">SUM(F31:AS31)</f>
        <v>1</v>
      </c>
      <c r="C31" s="10">
        <f t="shared" si="2"/>
        <v>1</v>
      </c>
      <c r="D31" s="11">
        <f t="array" ref="D31">SUM(IF(F31:AU31="R",1,0))</f>
        <v>1</v>
      </c>
      <c r="E31" s="11">
        <f t="array" ref="E31">SUM(IF(F31:AU31="R2",1,0))</f>
        <v>1</v>
      </c>
      <c r="F31" s="91"/>
      <c r="G31" s="16"/>
      <c r="H31" s="16"/>
      <c r="I31" s="16"/>
      <c r="J31" s="91"/>
      <c r="K31" s="91"/>
      <c r="L31" s="91"/>
      <c r="M31" s="91"/>
      <c r="N31" s="91"/>
      <c r="O31" s="90"/>
      <c r="P31" s="91"/>
      <c r="Q31" s="90">
        <v>1.0</v>
      </c>
      <c r="R31" s="91"/>
      <c r="S31" s="91"/>
      <c r="T31" s="91"/>
      <c r="U31" s="91"/>
      <c r="V31" s="91"/>
      <c r="W31" s="91"/>
      <c r="X31" s="90"/>
      <c r="Y31" s="91"/>
      <c r="Z31" s="16"/>
      <c r="AA31" s="90" t="s">
        <v>63</v>
      </c>
      <c r="AB31" s="91"/>
      <c r="AC31" s="91"/>
      <c r="AD31" s="91"/>
      <c r="AE31" s="90" t="s">
        <v>62</v>
      </c>
      <c r="AF31" s="91"/>
      <c r="AG31" s="91"/>
      <c r="AH31" s="16"/>
      <c r="AI31" s="91"/>
      <c r="AJ31" s="91"/>
      <c r="AK31" s="91"/>
      <c r="AL31" s="91"/>
      <c r="AM31" s="91"/>
      <c r="AN31" s="91"/>
      <c r="AO31" s="91"/>
      <c r="AP31" s="91"/>
      <c r="AQ31" s="91"/>
      <c r="AR31" s="91"/>
      <c r="AS31" s="91"/>
      <c r="AT31" s="91"/>
      <c r="AU31" s="91"/>
      <c r="AV31" s="96"/>
      <c r="AW31" s="96"/>
      <c r="AX31" s="96"/>
      <c r="AY31" s="96"/>
    </row>
    <row r="32">
      <c r="A32" s="27" t="s">
        <v>229</v>
      </c>
      <c r="B32" s="28">
        <f t="shared" si="7"/>
        <v>2</v>
      </c>
      <c r="C32" s="10">
        <f t="shared" si="2"/>
        <v>2</v>
      </c>
      <c r="D32" s="11">
        <f t="array" ref="D32">SUM(IF(F32:AU32="R",1,0))</f>
        <v>1</v>
      </c>
      <c r="E32" s="11">
        <f t="array" ref="E32">SUM(IF(F32:AU32="R2",1,0))</f>
        <v>2</v>
      </c>
      <c r="F32" s="91"/>
      <c r="G32" s="16"/>
      <c r="H32" s="16"/>
      <c r="I32" s="16"/>
      <c r="J32" s="91"/>
      <c r="K32" s="91"/>
      <c r="L32" s="90"/>
      <c r="M32" s="90"/>
      <c r="N32" s="91"/>
      <c r="O32" s="91"/>
      <c r="P32" s="90" t="s">
        <v>62</v>
      </c>
      <c r="Q32" s="91"/>
      <c r="R32" s="91"/>
      <c r="S32" s="91"/>
      <c r="T32" s="90">
        <v>1.0</v>
      </c>
      <c r="U32" s="91"/>
      <c r="V32" s="91"/>
      <c r="W32" s="91"/>
      <c r="X32" s="91"/>
      <c r="Y32" s="91"/>
      <c r="Z32" s="43"/>
      <c r="AA32" s="91"/>
      <c r="AB32" s="91"/>
      <c r="AC32" s="91"/>
      <c r="AD32" s="90">
        <v>1.0</v>
      </c>
      <c r="AE32" s="91"/>
      <c r="AF32" s="91"/>
      <c r="AG32" s="90" t="s">
        <v>62</v>
      </c>
      <c r="AH32" s="91"/>
      <c r="AI32" s="91"/>
      <c r="AJ32" s="91"/>
      <c r="AK32" s="91"/>
      <c r="AL32" s="91"/>
      <c r="AM32" s="90" t="s">
        <v>63</v>
      </c>
      <c r="AN32" s="91"/>
      <c r="AO32" s="91"/>
      <c r="AP32" s="91"/>
      <c r="AQ32" s="91"/>
      <c r="AR32" s="91"/>
      <c r="AS32" s="91"/>
      <c r="AT32" s="91"/>
      <c r="AU32" s="91"/>
      <c r="AV32" s="96"/>
      <c r="AW32" s="96"/>
      <c r="AX32" s="96"/>
      <c r="AY32" s="96"/>
    </row>
    <row r="33">
      <c r="A33" s="44" t="s">
        <v>292</v>
      </c>
      <c r="C33" s="10">
        <f t="shared" si="2"/>
        <v>1</v>
      </c>
      <c r="D33" s="11">
        <f t="array" ref="D33">SUM(IF(F33:AU33="R",1,0))</f>
        <v>1</v>
      </c>
      <c r="E33" s="11">
        <f t="array" ref="E33">SUM(IF(F33:AU33="R2",1,0))</f>
        <v>1</v>
      </c>
      <c r="F33" s="96"/>
      <c r="G33" s="97"/>
      <c r="H33" s="97"/>
      <c r="I33" s="97"/>
      <c r="J33" s="97"/>
      <c r="K33" s="96"/>
      <c r="L33" s="96"/>
      <c r="M33" s="96"/>
      <c r="N33" s="96"/>
      <c r="O33" s="96"/>
      <c r="P33" s="96"/>
      <c r="Q33" s="96"/>
      <c r="R33" s="97"/>
      <c r="S33" s="96"/>
      <c r="T33" s="96"/>
      <c r="U33" s="96"/>
      <c r="V33" s="96"/>
      <c r="W33" s="96"/>
      <c r="X33" s="96"/>
      <c r="Y33" s="96"/>
      <c r="Z33" s="96"/>
      <c r="AA33" s="96"/>
      <c r="AB33" s="96"/>
      <c r="AC33" s="96"/>
      <c r="AD33" s="96"/>
      <c r="AE33" s="97"/>
      <c r="AF33" s="97"/>
      <c r="AG33" s="96"/>
      <c r="AH33" s="96"/>
      <c r="AI33" s="97" t="s">
        <v>62</v>
      </c>
      <c r="AJ33" s="96"/>
      <c r="AK33" s="96"/>
      <c r="AL33" s="97" t="s">
        <v>63</v>
      </c>
      <c r="AM33" s="96"/>
      <c r="AN33" s="97"/>
      <c r="AO33" s="97">
        <v>1.0</v>
      </c>
      <c r="AP33" s="96"/>
      <c r="AQ33" s="96"/>
      <c r="AR33" s="96"/>
      <c r="AS33" s="96"/>
      <c r="AT33" s="96"/>
      <c r="AU33" s="97"/>
      <c r="AV33" s="96"/>
      <c r="AW33" s="96"/>
      <c r="AX33" s="96"/>
      <c r="AY33" s="96"/>
    </row>
    <row r="34">
      <c r="A34" s="44" t="s">
        <v>337</v>
      </c>
      <c r="C34" s="10">
        <f t="shared" si="2"/>
        <v>2</v>
      </c>
      <c r="D34" s="11">
        <f t="array" ref="D34">SUM(IF(F34:AU34="R",1,0))</f>
        <v>1</v>
      </c>
      <c r="E34" s="11">
        <f t="array" ref="E34">SUM(IF(G34:AV34="R2",1,0))</f>
        <v>1</v>
      </c>
      <c r="F34" s="96"/>
      <c r="G34" s="97" t="s">
        <v>63</v>
      </c>
      <c r="H34" s="97"/>
      <c r="I34" s="79"/>
      <c r="J34" s="97"/>
      <c r="K34" s="97">
        <v>1.0</v>
      </c>
      <c r="L34" s="96"/>
      <c r="M34" s="96"/>
      <c r="N34" s="96"/>
      <c r="O34" s="96"/>
      <c r="P34" s="96"/>
      <c r="Q34" s="96"/>
      <c r="R34" s="97"/>
      <c r="S34" s="96"/>
      <c r="T34" s="96"/>
      <c r="U34" s="96"/>
      <c r="V34" s="96"/>
      <c r="W34" s="96"/>
      <c r="X34" s="96"/>
      <c r="Y34" s="79"/>
      <c r="Z34" s="79"/>
      <c r="AA34" s="96"/>
      <c r="AB34" s="97" t="s">
        <v>62</v>
      </c>
      <c r="AC34" s="96"/>
      <c r="AD34" s="96"/>
      <c r="AE34" s="97"/>
      <c r="AF34" s="97"/>
      <c r="AG34" s="96"/>
      <c r="AH34" s="96"/>
      <c r="AI34" s="96"/>
      <c r="AJ34" s="96"/>
      <c r="AK34" s="96"/>
      <c r="AL34" s="96"/>
      <c r="AM34" s="96"/>
      <c r="AN34" s="97"/>
      <c r="AO34" s="96"/>
      <c r="AP34" s="97">
        <v>1.0</v>
      </c>
      <c r="AQ34" s="96"/>
      <c r="AR34" s="96"/>
      <c r="AS34" s="96"/>
      <c r="AT34" s="96"/>
      <c r="AU34" s="97"/>
      <c r="AV34" s="96"/>
      <c r="AW34" s="96"/>
      <c r="AX34" s="96"/>
      <c r="AY34" s="96"/>
    </row>
    <row r="35">
      <c r="A35" s="44" t="s">
        <v>338</v>
      </c>
      <c r="C35" s="10">
        <f t="shared" si="2"/>
        <v>2</v>
      </c>
      <c r="D35" s="11">
        <f t="array" ref="D35">SUM(IF(F35:AU35="R",1,0))</f>
        <v>1</v>
      </c>
      <c r="E35" s="11">
        <f t="array" ref="E35">SUM(IF(G35:AV35="R2",1,0))</f>
        <v>2</v>
      </c>
      <c r="F35" s="97"/>
      <c r="G35" s="97">
        <v>1.0</v>
      </c>
      <c r="H35" s="97"/>
      <c r="I35" s="97">
        <v>1.0</v>
      </c>
      <c r="J35" s="97"/>
      <c r="K35" s="96"/>
      <c r="L35" s="96"/>
      <c r="M35" s="96"/>
      <c r="N35" s="96"/>
      <c r="O35" s="96"/>
      <c r="P35" s="96"/>
      <c r="Q35" s="96"/>
      <c r="R35" s="97"/>
      <c r="S35" s="96"/>
      <c r="T35" s="96"/>
      <c r="U35" s="96"/>
      <c r="V35" s="96"/>
      <c r="W35" s="96"/>
      <c r="X35" s="96"/>
      <c r="Y35" s="96"/>
      <c r="Z35" s="96"/>
      <c r="AA35" s="96"/>
      <c r="AB35" s="96"/>
      <c r="AC35" s="96"/>
      <c r="AD35" s="97" t="s">
        <v>62</v>
      </c>
      <c r="AE35" s="97"/>
      <c r="AF35" s="97"/>
      <c r="AG35" s="96"/>
      <c r="AH35" s="96"/>
      <c r="AI35" s="96"/>
      <c r="AJ35" s="96"/>
      <c r="AK35" s="97" t="s">
        <v>62</v>
      </c>
      <c r="AL35" s="96"/>
      <c r="AM35" s="96"/>
      <c r="AN35" s="97" t="s">
        <v>63</v>
      </c>
      <c r="AO35" s="96"/>
      <c r="AP35" s="97"/>
      <c r="AQ35" s="96"/>
      <c r="AR35" s="96"/>
      <c r="AS35" s="96"/>
      <c r="AT35" s="96"/>
      <c r="AU35" s="97"/>
      <c r="AV35" s="96"/>
      <c r="AW35" s="96"/>
      <c r="AX35" s="96"/>
      <c r="AY35" s="96"/>
    </row>
    <row r="36">
      <c r="A36" s="26" t="s">
        <v>46</v>
      </c>
      <c r="B36" s="10">
        <f>SUM(C36:D36)</f>
        <v>1</v>
      </c>
      <c r="C36" s="10">
        <f t="shared" si="2"/>
        <v>1</v>
      </c>
      <c r="D36" s="11">
        <f t="array" ref="D36">SUM(IF(F36:AU36="R",1,0))</f>
        <v>0</v>
      </c>
      <c r="E36" s="11">
        <f t="array" ref="E36">SUM(IF(F36:AU36="R2",1,0))</f>
        <v>2</v>
      </c>
      <c r="F36" s="91"/>
      <c r="G36" s="91"/>
      <c r="H36" s="91"/>
      <c r="I36" s="91"/>
      <c r="J36" s="90" t="s">
        <v>62</v>
      </c>
      <c r="K36" s="91"/>
      <c r="L36" s="91"/>
      <c r="M36" s="91"/>
      <c r="N36" s="91"/>
      <c r="O36" s="91"/>
      <c r="P36" s="91"/>
      <c r="Q36" s="91"/>
      <c r="R36" s="91"/>
      <c r="S36" s="90">
        <v>1.0</v>
      </c>
      <c r="T36" s="91"/>
      <c r="U36" s="90"/>
      <c r="V36" s="91"/>
      <c r="W36" s="91"/>
      <c r="X36" s="91"/>
      <c r="Y36" s="90"/>
      <c r="Z36" s="90"/>
      <c r="AA36" s="90"/>
      <c r="AB36" s="90"/>
      <c r="AC36" s="90"/>
      <c r="AD36" s="90"/>
      <c r="AE36" s="90"/>
      <c r="AF36" s="90"/>
      <c r="AG36" s="90"/>
      <c r="AH36" s="90"/>
      <c r="AI36" s="90"/>
      <c r="AJ36" s="90"/>
      <c r="AK36" s="90"/>
      <c r="AL36" s="90"/>
      <c r="AM36" s="90"/>
      <c r="AN36" s="90" t="s">
        <v>62</v>
      </c>
      <c r="AO36" s="90"/>
      <c r="AP36" s="90"/>
      <c r="AQ36" s="90"/>
      <c r="AR36" s="90"/>
      <c r="AS36" s="90"/>
      <c r="AT36" s="90"/>
      <c r="AU36" s="90"/>
      <c r="AV36" s="90"/>
      <c r="AW36" s="90"/>
      <c r="AX36" s="90"/>
      <c r="AY36" s="90"/>
    </row>
    <row r="37" hidden="1">
      <c r="A37" s="26" t="s">
        <v>201</v>
      </c>
      <c r="C37" s="10">
        <f t="shared" si="2"/>
        <v>0</v>
      </c>
      <c r="D37" s="11">
        <f t="array" ref="D37">SUM(IF(F37:AU37="R",1,0))</f>
        <v>0</v>
      </c>
      <c r="E37" s="11">
        <f t="array" ref="E37">SUM(IF(F37:AU37="R2",1,0))</f>
        <v>0</v>
      </c>
      <c r="F37" s="86"/>
      <c r="G37" s="85"/>
      <c r="H37" s="86"/>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6"/>
      <c r="AH37" s="85"/>
      <c r="AI37" s="86"/>
      <c r="AJ37" s="85"/>
      <c r="AK37" s="85"/>
      <c r="AL37" s="85"/>
      <c r="AM37" s="85"/>
      <c r="AN37" s="85"/>
      <c r="AO37" s="86"/>
      <c r="AP37" s="86"/>
      <c r="AQ37" s="86"/>
      <c r="AR37" s="86"/>
      <c r="AS37" s="86"/>
      <c r="AT37" s="86"/>
      <c r="AU37" s="86"/>
      <c r="AV37" s="11"/>
      <c r="AW37" s="11"/>
      <c r="AX37" s="11"/>
      <c r="AY37" s="11"/>
    </row>
    <row r="38">
      <c r="A38" s="17" t="s">
        <v>68</v>
      </c>
      <c r="C38" s="10">
        <f t="shared" si="2"/>
        <v>38</v>
      </c>
      <c r="D38" s="11"/>
      <c r="E38" s="11"/>
      <c r="F38" s="28">
        <f t="shared" ref="F38:AY38" si="8">SUM(F3:F37)</f>
        <v>1</v>
      </c>
      <c r="G38" s="28">
        <f t="shared" si="8"/>
        <v>1</v>
      </c>
      <c r="H38" s="28">
        <f t="shared" si="8"/>
        <v>1</v>
      </c>
      <c r="I38" s="28">
        <f t="shared" si="8"/>
        <v>1</v>
      </c>
      <c r="J38" s="28">
        <f t="shared" si="8"/>
        <v>1</v>
      </c>
      <c r="K38" s="28">
        <f t="shared" si="8"/>
        <v>1</v>
      </c>
      <c r="L38" s="28">
        <f t="shared" si="8"/>
        <v>1</v>
      </c>
      <c r="M38" s="28">
        <f t="shared" si="8"/>
        <v>1</v>
      </c>
      <c r="N38" s="28">
        <f t="shared" si="8"/>
        <v>1</v>
      </c>
      <c r="O38" s="28">
        <f t="shared" si="8"/>
        <v>1</v>
      </c>
      <c r="P38" s="28">
        <f t="shared" si="8"/>
        <v>1</v>
      </c>
      <c r="Q38" s="28">
        <f t="shared" si="8"/>
        <v>1</v>
      </c>
      <c r="R38" s="28">
        <f t="shared" si="8"/>
        <v>1</v>
      </c>
      <c r="S38" s="28">
        <f t="shared" si="8"/>
        <v>1</v>
      </c>
      <c r="T38" s="28">
        <f t="shared" si="8"/>
        <v>1</v>
      </c>
      <c r="U38" s="28">
        <f t="shared" si="8"/>
        <v>1</v>
      </c>
      <c r="V38" s="28">
        <f t="shared" si="8"/>
        <v>0</v>
      </c>
      <c r="W38" s="28">
        <f t="shared" si="8"/>
        <v>1</v>
      </c>
      <c r="X38" s="28">
        <f t="shared" si="8"/>
        <v>1</v>
      </c>
      <c r="Y38" s="28">
        <f t="shared" si="8"/>
        <v>1</v>
      </c>
      <c r="Z38" s="28">
        <f t="shared" si="8"/>
        <v>1</v>
      </c>
      <c r="AA38" s="28">
        <f t="shared" si="8"/>
        <v>1</v>
      </c>
      <c r="AB38" s="28">
        <f t="shared" si="8"/>
        <v>1</v>
      </c>
      <c r="AC38" s="28">
        <f t="shared" si="8"/>
        <v>1</v>
      </c>
      <c r="AD38" s="28">
        <f t="shared" si="8"/>
        <v>1</v>
      </c>
      <c r="AE38" s="28">
        <f t="shared" si="8"/>
        <v>1</v>
      </c>
      <c r="AF38" s="28">
        <f t="shared" si="8"/>
        <v>1</v>
      </c>
      <c r="AG38" s="28">
        <f t="shared" si="8"/>
        <v>1</v>
      </c>
      <c r="AH38" s="28">
        <f t="shared" si="8"/>
        <v>1</v>
      </c>
      <c r="AI38" s="28">
        <f t="shared" si="8"/>
        <v>1</v>
      </c>
      <c r="AJ38" s="28">
        <f t="shared" si="8"/>
        <v>1</v>
      </c>
      <c r="AK38" s="28">
        <f t="shared" si="8"/>
        <v>1</v>
      </c>
      <c r="AL38" s="28">
        <f t="shared" si="8"/>
        <v>1</v>
      </c>
      <c r="AM38" s="28">
        <f t="shared" si="8"/>
        <v>1</v>
      </c>
      <c r="AN38" s="28">
        <f t="shared" si="8"/>
        <v>1</v>
      </c>
      <c r="AO38" s="28">
        <f t="shared" si="8"/>
        <v>1</v>
      </c>
      <c r="AP38" s="28">
        <f t="shared" si="8"/>
        <v>1</v>
      </c>
      <c r="AQ38" s="28">
        <f t="shared" si="8"/>
        <v>1</v>
      </c>
      <c r="AR38" s="28">
        <f t="shared" si="8"/>
        <v>1</v>
      </c>
      <c r="AS38" s="28">
        <f t="shared" si="8"/>
        <v>0</v>
      </c>
      <c r="AT38" s="28">
        <f t="shared" si="8"/>
        <v>0</v>
      </c>
      <c r="AU38" s="28">
        <f t="shared" si="8"/>
        <v>0</v>
      </c>
      <c r="AV38" s="28">
        <f t="shared" si="8"/>
        <v>0</v>
      </c>
      <c r="AW38" s="28">
        <f t="shared" si="8"/>
        <v>0</v>
      </c>
      <c r="AX38" s="28">
        <f t="shared" si="8"/>
        <v>0</v>
      </c>
      <c r="AY38" s="28">
        <f t="shared" si="8"/>
        <v>0</v>
      </c>
    </row>
    <row r="39">
      <c r="A39" s="17" t="s">
        <v>69</v>
      </c>
      <c r="C39" s="10">
        <f t="shared" si="2"/>
        <v>37</v>
      </c>
      <c r="D39" s="11"/>
      <c r="E39" s="11"/>
      <c r="F39" s="11">
        <f t="array" ref="F39">SUM(IF(F3:F37="R",1,0))</f>
        <v>1</v>
      </c>
      <c r="G39" s="11">
        <f t="array" ref="G39">SUM(IF(G3:G37="R",1,0))</f>
        <v>1</v>
      </c>
      <c r="H39" s="11">
        <f t="array" ref="H39">SUM(IF(H3:H37="R",1,0))</f>
        <v>1</v>
      </c>
      <c r="I39" s="11">
        <f t="array" ref="I39">SUM(IF(I3:I37="R",1,0))</f>
        <v>1</v>
      </c>
      <c r="J39" s="11">
        <f t="array" ref="J39">SUM(IF(J3:J37="R",1,0))</f>
        <v>1</v>
      </c>
      <c r="K39" s="11">
        <f t="array" ref="K39">SUM(IF(K3:K37="R",1,0))</f>
        <v>1</v>
      </c>
      <c r="L39" s="11">
        <f t="array" ref="L39">SUM(IF(L3:L37="R",1,0))</f>
        <v>1</v>
      </c>
      <c r="M39" s="11">
        <f t="array" ref="M39">SUM(IF(M3:M37="R",1,0))</f>
        <v>1</v>
      </c>
      <c r="N39" s="11">
        <f t="array" ref="N39">SUM(IF(N3:N37="R",1,0))</f>
        <v>1</v>
      </c>
      <c r="O39" s="11">
        <f t="array" ref="O39">SUM(IF(O3:O37="R",1,0))</f>
        <v>1</v>
      </c>
      <c r="P39" s="11">
        <f t="array" ref="P39">SUM(IF(P3:P37="R",1,0))</f>
        <v>1</v>
      </c>
      <c r="Q39" s="11">
        <f t="array" ref="Q39">SUM(IF(Q3:Q37="R",1,0))</f>
        <v>1</v>
      </c>
      <c r="R39" s="11">
        <f t="array" ref="R39">SUM(IF(R3:R37="R",1,0))</f>
        <v>1</v>
      </c>
      <c r="S39" s="11">
        <f t="array" ref="S39">SUM(IF(S3:S37="R",1,0))</f>
        <v>1</v>
      </c>
      <c r="T39" s="11">
        <f t="array" ref="T39">SUM(IF(T3:T37="R",1,0))</f>
        <v>1</v>
      </c>
      <c r="U39" s="11">
        <f t="array" ref="U39">SUM(IF(U3:U37="R",1,0))</f>
        <v>1</v>
      </c>
      <c r="V39" s="11">
        <f t="array" ref="V39">SUM(IF(V3:V37="R",1,0))</f>
        <v>1</v>
      </c>
      <c r="W39" s="11">
        <f t="array" ref="W39">SUM(IF(W3:W37="R",1,0))</f>
        <v>1</v>
      </c>
      <c r="X39" s="11">
        <f t="array" ref="X39">SUM(IF(X3:X37="R",1,0))</f>
        <v>1</v>
      </c>
      <c r="Y39" s="11">
        <f t="array" ref="Y39">SUM(IF(Y3:Y37="R",1,0))</f>
        <v>1</v>
      </c>
      <c r="Z39" s="11">
        <f t="array" ref="Z39">SUM(IF(Z3:Z37="R",1,0))</f>
        <v>1</v>
      </c>
      <c r="AA39" s="11">
        <f t="array" ref="AA39">SUM(IF(AA3:AA37="R",1,0))</f>
        <v>1</v>
      </c>
      <c r="AB39" s="11">
        <f t="array" ref="AB39">SUM(IF(AB3:AB37="R",1,0))</f>
        <v>1</v>
      </c>
      <c r="AC39" s="11">
        <f t="array" ref="AC39">SUM(IF(AC3:AC37="R",1,0))</f>
        <v>1</v>
      </c>
      <c r="AD39" s="11">
        <f t="array" ref="AD39">SUM(IF(AD3:AD37="R",1,0))</f>
        <v>1</v>
      </c>
      <c r="AE39" s="11">
        <f t="array" ref="AE39">SUM(IF(AE3:AE37="R",1,0))</f>
        <v>1</v>
      </c>
      <c r="AF39" s="11">
        <f t="array" ref="AF39">SUM(IF(AF3:AF37="R",1,0))</f>
        <v>1</v>
      </c>
      <c r="AG39" s="11">
        <f t="array" ref="AG39">SUM(IF(AG3:AG37="R",1,0))</f>
        <v>1</v>
      </c>
      <c r="AH39" s="11">
        <f t="array" ref="AH39">SUM(IF(AH3:AH37="R",1,0))</f>
        <v>1</v>
      </c>
      <c r="AI39" s="11">
        <f t="array" ref="AI39">SUM(IF(AI3:AI37="R",1,0))</f>
        <v>0</v>
      </c>
      <c r="AJ39" s="11">
        <f t="array" ref="AJ39">SUM(IF(AJ3:AJ37="R",1,0))</f>
        <v>1</v>
      </c>
      <c r="AK39" s="11">
        <f t="array" ref="AK39">SUM(IF(AK3:AK37="R",1,0))</f>
        <v>1</v>
      </c>
      <c r="AL39" s="11">
        <f t="array" ref="AL39">SUM(IF(AL3:AL37="R",1,0))</f>
        <v>1</v>
      </c>
      <c r="AM39" s="11">
        <f t="array" ref="AM39">SUM(IF(AM3:AM37="R",1,0))</f>
        <v>1</v>
      </c>
      <c r="AN39" s="11">
        <f t="array" ref="AN39">SUM(IF(AN3:AN37="R",1,0))</f>
        <v>1</v>
      </c>
      <c r="AO39" s="11">
        <f t="array" ref="AO39">SUM(IF(AO3:AO37="R",1,0))</f>
        <v>1</v>
      </c>
      <c r="AP39" s="11">
        <f t="array" ref="AP39">SUM(IF(AP3:AP37="R",1,0))</f>
        <v>1</v>
      </c>
      <c r="AQ39" s="11">
        <f t="array" ref="AQ39">SUM(IF(AQ3:AQ37="R",1,0))</f>
        <v>0</v>
      </c>
      <c r="AR39" s="11">
        <f t="array" ref="AR39">SUM(IF(AR3:AR37="R",1,0))</f>
        <v>1</v>
      </c>
      <c r="AS39" s="11">
        <f t="array" ref="AS39">SUM(IF(AS3:AS37="R",1,0))</f>
        <v>0</v>
      </c>
      <c r="AT39" s="11">
        <f t="array" ref="AT39">SUM(IF(AT3:AT37="R",1,0))</f>
        <v>0</v>
      </c>
      <c r="AU39" s="11">
        <f t="array" ref="AU39">SUM(IF(AU3:AU37="R",1,0))</f>
        <v>0</v>
      </c>
      <c r="AV39" s="11">
        <f t="array" ref="AV39">SUM(IF(AV3:AV37="R",1,0))</f>
        <v>0</v>
      </c>
      <c r="AW39" s="11">
        <f t="array" ref="AW39">SUM(IF(AW3:AW37="R",1,0))</f>
        <v>0</v>
      </c>
      <c r="AX39" s="11">
        <f t="array" ref="AX39">SUM(IF(AX3:AX37="R",1,0))</f>
        <v>0</v>
      </c>
      <c r="AY39" s="11">
        <f t="array" ref="AY39">SUM(IF(AY3:AY37="R",1,0))</f>
        <v>0</v>
      </c>
    </row>
    <row r="40">
      <c r="A40" s="17" t="s">
        <v>70</v>
      </c>
      <c r="C40" s="10">
        <f t="shared" si="2"/>
        <v>35</v>
      </c>
      <c r="D40" s="11"/>
      <c r="E40" s="11"/>
      <c r="F40" s="11">
        <f t="array" ref="F40">SUM(IF(F3:F37="R2",1,0))</f>
        <v>1</v>
      </c>
      <c r="G40" s="11">
        <f t="array" ref="G40">SUM(IF(G3:G37="R2",1,0))</f>
        <v>0</v>
      </c>
      <c r="H40" s="11">
        <f t="array" ref="H40">SUM(IF(H3:H37="R2",1,0))</f>
        <v>0</v>
      </c>
      <c r="I40" s="11">
        <f t="array" ref="I40">SUM(IF(I3:I37="R2",1,0))</f>
        <v>0</v>
      </c>
      <c r="J40" s="11">
        <f t="array" ref="J40">SUM(IF(J3:J37="R2",1,0))</f>
        <v>1</v>
      </c>
      <c r="K40" s="11">
        <f t="array" ref="K40">SUM(IF(K3:K37="R2",1,0))</f>
        <v>1</v>
      </c>
      <c r="L40" s="11">
        <f t="array" ref="L40">SUM(IF(L3:L37="R2",1,0))</f>
        <v>1</v>
      </c>
      <c r="M40" s="11">
        <f t="array" ref="M40">SUM(IF(M3:M37="R2",1,0))</f>
        <v>1</v>
      </c>
      <c r="N40" s="11">
        <f t="array" ref="N40">SUM(IF(N3:N37="R2",1,0))</f>
        <v>1</v>
      </c>
      <c r="O40" s="11">
        <f t="array" ref="O40">SUM(IF(O3:O37="R2",1,0))</f>
        <v>1</v>
      </c>
      <c r="P40" s="11">
        <f t="array" ref="P40">SUM(IF(P3:P37="R2",1,0))</f>
        <v>1</v>
      </c>
      <c r="Q40" s="11">
        <f t="array" ref="Q40">SUM(IF(Q3:Q37="R2",1,0))</f>
        <v>1</v>
      </c>
      <c r="R40" s="11">
        <f t="array" ref="R40">SUM(IF(R3:R37="R2",1,0))</f>
        <v>0</v>
      </c>
      <c r="S40" s="11">
        <f t="array" ref="S40">SUM(IF(S3:S37="R2",1,0))</f>
        <v>1</v>
      </c>
      <c r="T40" s="11">
        <f t="array" ref="T40">SUM(IF(T3:T37="R2",1,0))</f>
        <v>1</v>
      </c>
      <c r="U40" s="11">
        <f t="array" ref="U40">SUM(IF(U3:U37="R2",1,0))</f>
        <v>1</v>
      </c>
      <c r="V40" s="11">
        <f t="array" ref="V40">SUM(IF(V3:V37="R2",1,0))</f>
        <v>1</v>
      </c>
      <c r="W40" s="11">
        <f t="array" ref="W40">SUM(IF(W3:W37="R2",1,0))</f>
        <v>1</v>
      </c>
      <c r="X40" s="11">
        <f t="array" ref="X40">SUM(IF(X3:X37="R2",1,0))</f>
        <v>1</v>
      </c>
      <c r="Y40" s="11">
        <f t="array" ref="Y40">SUM(IF(Y3:Y37="R2",1,0))</f>
        <v>1</v>
      </c>
      <c r="Z40" s="11">
        <f t="array" ref="Z40">SUM(IF(Z3:Z37="R2",1,0))</f>
        <v>1</v>
      </c>
      <c r="AA40" s="11">
        <f t="array" ref="AA40">SUM(IF(AA3:AA37="R2",1,0))</f>
        <v>1</v>
      </c>
      <c r="AB40" s="11">
        <f t="array" ref="AB40">SUM(IF(AB3:AB37="R2",1,0))</f>
        <v>1</v>
      </c>
      <c r="AC40" s="11">
        <f t="array" ref="AC40">SUM(IF(AC3:AC37="R2",1,0))</f>
        <v>1</v>
      </c>
      <c r="AD40" s="11">
        <f t="array" ref="AD40">SUM(IF(AD3:AD37="R2",1,0))</f>
        <v>1</v>
      </c>
      <c r="AE40" s="11">
        <f t="array" ref="AE40">SUM(IF(AE3:AE37="R2",1,0))</f>
        <v>1</v>
      </c>
      <c r="AF40" s="11">
        <f t="array" ref="AF40">SUM(IF(AF3:AF37="R2",1,0))</f>
        <v>1</v>
      </c>
      <c r="AG40" s="11">
        <f t="array" ref="AG40">SUM(IF(AG3:AG37="R2",1,0))</f>
        <v>1</v>
      </c>
      <c r="AH40" s="11">
        <f t="array" ref="AH40">SUM(IF(AH3:AH37="R2",1,0))</f>
        <v>1</v>
      </c>
      <c r="AI40" s="11">
        <f t="array" ref="AI40">SUM(IF(AI3:AI37="R2",1,0))</f>
        <v>1</v>
      </c>
      <c r="AJ40" s="11">
        <f t="array" ref="AJ40">SUM(IF(AJ3:AJ37="R2",1,0))</f>
        <v>1</v>
      </c>
      <c r="AK40" s="11">
        <f t="array" ref="AK40">SUM(IF(AK3:AK37="R2",1,0))</f>
        <v>1</v>
      </c>
      <c r="AL40" s="11">
        <f t="array" ref="AL40">SUM(IF(AL3:AL37="R2",1,0))</f>
        <v>1</v>
      </c>
      <c r="AM40" s="11">
        <f t="array" ref="AM40">SUM(IF(AM3:AM37="R2",1,0))</f>
        <v>1</v>
      </c>
      <c r="AN40" s="11">
        <f t="array" ref="AN40">SUM(IF(AN3:AN37="R2",1,0))</f>
        <v>1</v>
      </c>
      <c r="AO40" s="11">
        <f t="array" ref="AO40">SUM(IF(AO3:AO37="R2",1,0))</f>
        <v>1</v>
      </c>
      <c r="AP40" s="11">
        <f t="array" ref="AP40">SUM(IF(AP3:AP37="R2",1,0))</f>
        <v>1</v>
      </c>
      <c r="AQ40" s="11">
        <f t="array" ref="AQ40">SUM(IF(AQ3:AQ37="R2",1,0))</f>
        <v>1</v>
      </c>
      <c r="AR40" s="11">
        <f t="array" ref="AR40">SUM(IF(AR3:AR37="R2",1,0))</f>
        <v>1</v>
      </c>
      <c r="AS40" s="11">
        <f t="array" ref="AS40">SUM(IF(AS3:AS37="R2",1,0))</f>
        <v>0</v>
      </c>
      <c r="AT40" s="11">
        <f t="array" ref="AT40">SUM(IF(AT3:AT37="R2",1,0))</f>
        <v>0</v>
      </c>
      <c r="AU40" s="11">
        <f t="array" ref="AU40">SUM(IF(AU3:AU37="R2",1,0))</f>
        <v>0</v>
      </c>
      <c r="AV40" s="11">
        <f t="array" ref="AV40">SUM(IF(AV3:AV37="R2",1,0))</f>
        <v>0</v>
      </c>
      <c r="AW40" s="11">
        <f t="array" ref="AW40">SUM(IF(AW3:AW37="R2",1,0))</f>
        <v>0</v>
      </c>
      <c r="AX40" s="11">
        <f t="array" ref="AX40">SUM(IF(AX3:AX37="R2",1,0))</f>
        <v>0</v>
      </c>
      <c r="AY40" s="11">
        <f t="array" ref="AY40">SUM(IF(AY3:AY37="R2",1,0))</f>
        <v>0</v>
      </c>
    </row>
    <row r="41">
      <c r="E41" s="46" t="s">
        <v>71</v>
      </c>
      <c r="F41" s="29" t="str">
        <f t="shared" ref="F41:AY41" si="9">IFERROR(INDEX($A$3:$A$37, MATCH(1, INDEX($F$3:$AU$37, 0, MATCH(F2, $F$2:$AU$2, 0)), 0)), INDEX($A$3:$A$37, MATCH(1, INDEX($F$3:$AU$37, 0, MATCH(F2&amp;" AM", $F$2:$AU$2, 0)), 0)))</f>
        <v>PTE TRISTAN</v>
      </c>
      <c r="G41" s="29" t="str">
        <f t="shared" si="9"/>
        <v>PTE SUSHIL</v>
      </c>
      <c r="H41" s="29" t="str">
        <f t="shared" si="9"/>
        <v>PTE ISAAC</v>
      </c>
      <c r="I41" s="29" t="str">
        <f t="shared" si="9"/>
        <v>PTE SUSHIL</v>
      </c>
      <c r="J41" s="29" t="str">
        <f t="shared" si="9"/>
        <v>REC RUI FENG</v>
      </c>
      <c r="K41" s="29" t="str">
        <f t="shared" si="9"/>
        <v>PTE NATHAN</v>
      </c>
      <c r="L41" s="29" t="str">
        <f t="shared" si="9"/>
        <v>REC PARAM</v>
      </c>
      <c r="M41" s="29" t="str">
        <f t="shared" si="9"/>
        <v>LCP GLADWYN</v>
      </c>
      <c r="N41" s="29" t="str">
        <f t="shared" si="9"/>
        <v>PTE NICO</v>
      </c>
      <c r="O41" s="29" t="str">
        <f t="shared" si="9"/>
        <v>PTE DYLAN</v>
      </c>
      <c r="P41" s="29" t="str">
        <f t="shared" si="9"/>
        <v>PTE JERRYL</v>
      </c>
      <c r="Q41" s="29" t="str">
        <f t="shared" si="9"/>
        <v>REC ASH</v>
      </c>
      <c r="R41" s="29" t="str">
        <f t="shared" si="9"/>
        <v>PTE RYAN</v>
      </c>
      <c r="S41" s="29" t="str">
        <f t="shared" si="9"/>
        <v>PTE REUVEN</v>
      </c>
      <c r="T41" s="29" t="str">
        <f t="shared" si="9"/>
        <v>PTE GABRIEL</v>
      </c>
      <c r="U41" s="29" t="str">
        <f t="shared" si="9"/>
        <v>PTE MITCHELL</v>
      </c>
      <c r="V41" s="29" t="str">
        <f t="shared" si="9"/>
        <v>#N/A</v>
      </c>
      <c r="W41" s="29" t="str">
        <f t="shared" si="9"/>
        <v>PTE MICHAEL</v>
      </c>
      <c r="X41" s="29" t="str">
        <f t="shared" si="9"/>
        <v>PTE KRISHAN</v>
      </c>
      <c r="Y41" s="29" t="str">
        <f t="shared" si="9"/>
        <v>PTE CLARENCE</v>
      </c>
      <c r="Z41" s="29" t="str">
        <f t="shared" si="9"/>
        <v>PTE INDRA</v>
      </c>
      <c r="AA41" s="29" t="str">
        <f t="shared" si="9"/>
        <v>CPL FIRMAN</v>
      </c>
      <c r="AB41" s="29" t="str">
        <f t="shared" si="9"/>
        <v>PTE AFIF</v>
      </c>
      <c r="AC41" s="29" t="str">
        <f t="shared" si="9"/>
        <v>LCP EZRA</v>
      </c>
      <c r="AD41" s="29" t="str">
        <f t="shared" si="9"/>
        <v>PTE GABRIEL</v>
      </c>
      <c r="AE41" s="29" t="str">
        <f t="shared" si="9"/>
        <v>PTE DYLAN</v>
      </c>
      <c r="AF41" s="29" t="str">
        <f t="shared" si="9"/>
        <v>LCP ZI XUAN</v>
      </c>
      <c r="AG41" s="29" t="str">
        <f t="shared" si="9"/>
        <v>PTE SURIA</v>
      </c>
      <c r="AH41" s="29" t="str">
        <f t="shared" si="9"/>
        <v>PTE NICO</v>
      </c>
      <c r="AI41" s="29" t="str">
        <f t="shared" si="9"/>
        <v>PTE JERRYL</v>
      </c>
      <c r="AJ41" s="29" t="str">
        <f t="shared" si="9"/>
        <v>PTE AFIF</v>
      </c>
      <c r="AK41" s="29" t="str">
        <f t="shared" si="9"/>
        <v>PTE RYAN</v>
      </c>
      <c r="AL41" s="29" t="str">
        <f t="shared" si="9"/>
        <v>PTE ISAAC</v>
      </c>
      <c r="AM41" s="29" t="str">
        <f t="shared" si="9"/>
        <v>PTE SURIA</v>
      </c>
      <c r="AN41" s="29" t="str">
        <f t="shared" si="9"/>
        <v>REC PARAM</v>
      </c>
      <c r="AO41" s="29" t="str">
        <f t="shared" si="9"/>
        <v>CPL JIREH</v>
      </c>
      <c r="AP41" s="29" t="str">
        <f t="shared" si="9"/>
        <v>PTE NATHAN</v>
      </c>
      <c r="AQ41" s="29" t="str">
        <f t="shared" si="9"/>
        <v>PTE CLARENCE</v>
      </c>
      <c r="AR41" s="29" t="str">
        <f t="shared" si="9"/>
        <v>CPL FIRMAN</v>
      </c>
      <c r="AS41" s="29" t="str">
        <f t="shared" si="9"/>
        <v>#N/A</v>
      </c>
      <c r="AT41" s="29" t="str">
        <f t="shared" si="9"/>
        <v>#N/A</v>
      </c>
      <c r="AU41" s="29" t="str">
        <f t="shared" si="9"/>
        <v>#N/A</v>
      </c>
      <c r="AV41" s="29" t="str">
        <f t="shared" si="9"/>
        <v>#N/A</v>
      </c>
      <c r="AW41" s="29" t="str">
        <f t="shared" si="9"/>
        <v>#N/A</v>
      </c>
      <c r="AX41" s="29" t="str">
        <f t="shared" si="9"/>
        <v>#N/A</v>
      </c>
      <c r="AY41" s="29" t="str">
        <f t="shared" si="9"/>
        <v>#N/A</v>
      </c>
    </row>
    <row r="42">
      <c r="E42" s="46" t="s">
        <v>72</v>
      </c>
      <c r="F42" s="28" t="str">
        <f t="shared" ref="F42:AY42" si="10">INDEX($A$3:$A$37, MATCH("R", INDEX($F$3:$AU$37, 0, MATCH(F2, $F$2:$AU$2, 0)), 0))</f>
        <v>PTE ISAAC</v>
      </c>
      <c r="G42" s="28" t="str">
        <f t="shared" si="10"/>
        <v>PTE NATHAN</v>
      </c>
      <c r="H42" s="28" t="str">
        <f t="shared" si="10"/>
        <v>PTE CLARENCE</v>
      </c>
      <c r="I42" s="28" t="str">
        <f t="shared" si="10"/>
        <v>PTE KRISHAN</v>
      </c>
      <c r="J42" s="28" t="str">
        <f t="shared" si="10"/>
        <v>REC PARAM</v>
      </c>
      <c r="K42" s="28" t="str">
        <f t="shared" si="10"/>
        <v>CPL FIRMAN</v>
      </c>
      <c r="L42" s="28" t="str">
        <f t="shared" si="10"/>
        <v>LCP EZRA</v>
      </c>
      <c r="M42" s="28" t="str">
        <f t="shared" si="10"/>
        <v>PTE AFIF</v>
      </c>
      <c r="N42" s="28" t="str">
        <f t="shared" si="10"/>
        <v>PTE CLARENCE</v>
      </c>
      <c r="O42" s="28" t="str">
        <f t="shared" si="10"/>
        <v>PTE MITCHELL</v>
      </c>
      <c r="P42" s="28" t="str">
        <f t="shared" si="10"/>
        <v>PTE TRISTAN</v>
      </c>
      <c r="Q42" s="28" t="str">
        <f t="shared" si="10"/>
        <v>PTE INDRA</v>
      </c>
      <c r="R42" s="28" t="str">
        <f t="shared" si="10"/>
        <v>LCP GLADWYN</v>
      </c>
      <c r="S42" s="28" t="str">
        <f t="shared" si="10"/>
        <v>LCP ZI XUAN</v>
      </c>
      <c r="T42" s="28" t="str">
        <f t="shared" si="10"/>
        <v>PTE SURIA</v>
      </c>
      <c r="U42" s="28" t="str">
        <f t="shared" si="10"/>
        <v>REC PARAM</v>
      </c>
      <c r="V42" s="28" t="str">
        <f t="shared" si="10"/>
        <v>PTE DYLAN</v>
      </c>
      <c r="W42" s="28" t="str">
        <f t="shared" si="10"/>
        <v>PTE JERRYL</v>
      </c>
      <c r="X42" s="28" t="str">
        <f t="shared" si="10"/>
        <v>PTE RYAN</v>
      </c>
      <c r="Y42" s="28" t="str">
        <f t="shared" si="10"/>
        <v>PTE MICHAEL</v>
      </c>
      <c r="Z42" s="28" t="str">
        <f t="shared" si="10"/>
        <v>PTE NICO</v>
      </c>
      <c r="AA42" s="28" t="str">
        <f t="shared" si="10"/>
        <v>REC ASH</v>
      </c>
      <c r="AB42" s="28" t="str">
        <f t="shared" si="10"/>
        <v>PTE DYLAN</v>
      </c>
      <c r="AC42" s="28" t="str">
        <f t="shared" si="10"/>
        <v>LCP ZI XUAN</v>
      </c>
      <c r="AD42" s="28" t="str">
        <f t="shared" si="10"/>
        <v>PTE TRISTAN</v>
      </c>
      <c r="AE42" s="28" t="str">
        <f t="shared" si="10"/>
        <v>REC RUI FENG</v>
      </c>
      <c r="AF42" s="28" t="str">
        <f t="shared" si="10"/>
        <v>PTE MITCHELL</v>
      </c>
      <c r="AG42" s="28" t="str">
        <f t="shared" si="10"/>
        <v>PTE KRISHAN</v>
      </c>
      <c r="AH42" s="28" t="str">
        <f t="shared" si="10"/>
        <v>PTE MICHAEL</v>
      </c>
      <c r="AI42" s="28" t="str">
        <f t="shared" si="10"/>
        <v>#N/A</v>
      </c>
      <c r="AJ42" s="28" t="str">
        <f t="shared" si="10"/>
        <v>PTE INDRA</v>
      </c>
      <c r="AK42" s="28" t="str">
        <f t="shared" si="10"/>
        <v>LCP GLADWYN</v>
      </c>
      <c r="AL42" s="28" t="str">
        <f t="shared" si="10"/>
        <v>CPL JIREH</v>
      </c>
      <c r="AM42" s="28" t="str">
        <f t="shared" si="10"/>
        <v>PTE GABRIEL</v>
      </c>
      <c r="AN42" s="28" t="str">
        <f t="shared" si="10"/>
        <v>PTE SUSHIL</v>
      </c>
      <c r="AO42" s="28" t="str">
        <f t="shared" si="10"/>
        <v>LCP EZRA</v>
      </c>
      <c r="AP42" s="28" t="str">
        <f t="shared" si="10"/>
        <v>PTE AFIF</v>
      </c>
      <c r="AQ42" s="28" t="str">
        <f t="shared" si="10"/>
        <v>#N/A</v>
      </c>
      <c r="AR42" s="28" t="str">
        <f t="shared" si="10"/>
        <v>PTE SURIA</v>
      </c>
      <c r="AS42" s="28" t="str">
        <f t="shared" si="10"/>
        <v>#N/A</v>
      </c>
      <c r="AT42" s="28" t="str">
        <f t="shared" si="10"/>
        <v>#N/A</v>
      </c>
      <c r="AU42" s="28" t="str">
        <f t="shared" si="10"/>
        <v>#N/A</v>
      </c>
      <c r="AV42" s="28" t="str">
        <f t="shared" si="10"/>
        <v>#N/A</v>
      </c>
      <c r="AW42" s="28" t="str">
        <f t="shared" si="10"/>
        <v>#N/A</v>
      </c>
      <c r="AX42" s="28" t="str">
        <f t="shared" si="10"/>
        <v>#N/A</v>
      </c>
      <c r="AY42" s="28" t="str">
        <f t="shared" si="10"/>
        <v>#N/A</v>
      </c>
    </row>
    <row r="43">
      <c r="A43" s="17" t="s">
        <v>232</v>
      </c>
      <c r="C43" s="49">
        <f>COUNTA($F$1:$AU$1)</f>
        <v>39</v>
      </c>
      <c r="E43" s="46" t="s">
        <v>70</v>
      </c>
      <c r="F43" s="30" t="str">
        <f t="shared" ref="F43:AY43" si="11">INDEX($A$3:$A$37, MATCH("R2", INDEX($F$3:$AU$37, 0, MATCH(F2, $F$2:$AU$2, 0)), 0))</f>
        <v>PTE NICO</v>
      </c>
      <c r="G43" s="30" t="str">
        <f t="shared" si="11"/>
        <v>#N/A</v>
      </c>
      <c r="H43" s="30" t="str">
        <f t="shared" si="11"/>
        <v>#N/A</v>
      </c>
      <c r="I43" s="30" t="str">
        <f t="shared" si="11"/>
        <v>#N/A</v>
      </c>
      <c r="J43" s="30" t="str">
        <f t="shared" si="11"/>
        <v>PTE REUVEN</v>
      </c>
      <c r="K43" s="30" t="str">
        <f t="shared" si="11"/>
        <v>PTE ISAAC</v>
      </c>
      <c r="L43" s="30" t="str">
        <f t="shared" si="11"/>
        <v>REC RUI FENG</v>
      </c>
      <c r="M43" s="30" t="str">
        <f t="shared" si="11"/>
        <v>PTE KRISHAN</v>
      </c>
      <c r="N43" s="30" t="str">
        <f t="shared" si="11"/>
        <v>CPL FIRMAN</v>
      </c>
      <c r="O43" s="30" t="str">
        <f t="shared" si="11"/>
        <v>PTE MICHAEL</v>
      </c>
      <c r="P43" s="30" t="str">
        <f t="shared" si="11"/>
        <v>PTE GABRIEL</v>
      </c>
      <c r="Q43" s="30" t="str">
        <f t="shared" si="11"/>
        <v>PTE CLARENCE</v>
      </c>
      <c r="R43" s="30" t="str">
        <f t="shared" si="11"/>
        <v>#N/A</v>
      </c>
      <c r="S43" s="30" t="str">
        <f t="shared" si="11"/>
        <v>PTE ISAAC</v>
      </c>
      <c r="T43" s="30" t="str">
        <f t="shared" si="11"/>
        <v>PTE JERRYL</v>
      </c>
      <c r="U43" s="30" t="str">
        <f t="shared" si="11"/>
        <v>LCP GLADWYN</v>
      </c>
      <c r="V43" s="30" t="str">
        <f t="shared" si="11"/>
        <v>PTE NICO</v>
      </c>
      <c r="W43" s="30" t="str">
        <f t="shared" si="11"/>
        <v>PTE SURIA</v>
      </c>
      <c r="X43" s="30" t="str">
        <f t="shared" si="11"/>
        <v>LCP ZI XUAN</v>
      </c>
      <c r="Y43" s="30" t="str">
        <f t="shared" si="11"/>
        <v>LCP GLADWYN</v>
      </c>
      <c r="Z43" s="30" t="str">
        <f t="shared" si="11"/>
        <v>PTE SURIA</v>
      </c>
      <c r="AA43" s="30" t="str">
        <f t="shared" si="11"/>
        <v>LCP ZI XUAN</v>
      </c>
      <c r="AB43" s="30" t="str">
        <f t="shared" si="11"/>
        <v>PTE NATHAN</v>
      </c>
      <c r="AC43" s="30" t="str">
        <f t="shared" si="11"/>
        <v>REC PARAM</v>
      </c>
      <c r="AD43" s="30" t="str">
        <f t="shared" si="11"/>
        <v>PTE SUSHIL</v>
      </c>
      <c r="AE43" s="30" t="str">
        <f t="shared" si="11"/>
        <v>REC ASH</v>
      </c>
      <c r="AF43" s="30" t="str">
        <f t="shared" si="11"/>
        <v>PTE JERRYL</v>
      </c>
      <c r="AG43" s="30" t="str">
        <f t="shared" si="11"/>
        <v>PTE GABRIEL</v>
      </c>
      <c r="AH43" s="30" t="str">
        <f t="shared" si="11"/>
        <v>PTE DYLAN</v>
      </c>
      <c r="AI43" s="30" t="str">
        <f t="shared" si="11"/>
        <v>CPL JIREH</v>
      </c>
      <c r="AJ43" s="30" t="str">
        <f t="shared" si="11"/>
        <v>PTE CLARENCE</v>
      </c>
      <c r="AK43" s="30" t="str">
        <f t="shared" si="11"/>
        <v>PTE SUSHIL</v>
      </c>
      <c r="AL43" s="30" t="str">
        <f t="shared" si="11"/>
        <v>REC PARAM</v>
      </c>
      <c r="AM43" s="30" t="str">
        <f t="shared" si="11"/>
        <v>PTE DYLAN</v>
      </c>
      <c r="AN43" s="30" t="str">
        <f t="shared" si="11"/>
        <v>PTE REUVEN</v>
      </c>
      <c r="AO43" s="30" t="str">
        <f t="shared" si="11"/>
        <v>PTE KRISHAN</v>
      </c>
      <c r="AP43" s="30" t="str">
        <f t="shared" si="11"/>
        <v>PTE INDRA</v>
      </c>
      <c r="AQ43" s="30" t="str">
        <f t="shared" si="11"/>
        <v>PTE MITCHELL</v>
      </c>
      <c r="AR43" s="30" t="str">
        <f t="shared" si="11"/>
        <v>PTE AFIF</v>
      </c>
      <c r="AS43" s="30" t="str">
        <f t="shared" si="11"/>
        <v>#N/A</v>
      </c>
      <c r="AT43" s="30" t="str">
        <f t="shared" si="11"/>
        <v>#N/A</v>
      </c>
      <c r="AU43" s="30" t="str">
        <f t="shared" si="11"/>
        <v>#N/A</v>
      </c>
      <c r="AV43" s="30" t="str">
        <f t="shared" si="11"/>
        <v>#N/A</v>
      </c>
      <c r="AW43" s="30" t="str">
        <f t="shared" si="11"/>
        <v>#N/A</v>
      </c>
      <c r="AX43" s="30" t="str">
        <f t="shared" si="11"/>
        <v>#N/A</v>
      </c>
      <c r="AY43" s="30" t="str">
        <f t="shared" si="11"/>
        <v>#N/A</v>
      </c>
    </row>
    <row r="44">
      <c r="A44" s="17" t="s">
        <v>154</v>
      </c>
      <c r="C44" s="50">
        <f>SUBTOTAL(103, $A$3:$A$37)
</f>
        <v>25</v>
      </c>
      <c r="H44" s="31"/>
    </row>
    <row r="45">
      <c r="H45" s="31"/>
    </row>
    <row r="46">
      <c r="H46" s="31"/>
    </row>
    <row r="47">
      <c r="A47" s="26" t="s">
        <v>118</v>
      </c>
      <c r="H47" s="31"/>
    </row>
    <row r="48">
      <c r="A48" s="25" t="s">
        <v>119</v>
      </c>
      <c r="H48" s="31"/>
    </row>
    <row r="49">
      <c r="A49" s="22" t="s">
        <v>120</v>
      </c>
      <c r="H49" s="31"/>
    </row>
    <row r="50">
      <c r="A50" s="20" t="s">
        <v>121</v>
      </c>
      <c r="H50" s="31"/>
    </row>
    <row r="51">
      <c r="A51" s="23" t="s">
        <v>122</v>
      </c>
      <c r="H51" s="31"/>
    </row>
    <row r="52">
      <c r="A52" s="14" t="s">
        <v>123</v>
      </c>
      <c r="H52" s="31"/>
    </row>
    <row r="53">
      <c r="A53" s="9" t="s">
        <v>125</v>
      </c>
      <c r="H53" s="31"/>
    </row>
    <row r="54">
      <c r="A54" s="44" t="s">
        <v>126</v>
      </c>
      <c r="C54" s="31"/>
      <c r="H54" s="31"/>
    </row>
    <row r="55">
      <c r="A55" s="62" t="s">
        <v>203</v>
      </c>
      <c r="H55" s="31"/>
    </row>
    <row r="56">
      <c r="A56" s="70" t="s">
        <v>233</v>
      </c>
      <c r="H56" s="31"/>
    </row>
    <row r="57">
      <c r="A57" s="69" t="s">
        <v>234</v>
      </c>
      <c r="H57" s="31"/>
    </row>
    <row r="58">
      <c r="A58" s="27" t="s">
        <v>124</v>
      </c>
      <c r="H58" s="31"/>
    </row>
    <row r="59">
      <c r="H59" s="31"/>
    </row>
    <row r="60">
      <c r="H60" s="31"/>
    </row>
    <row r="61">
      <c r="H61" s="31"/>
    </row>
    <row r="62">
      <c r="H62" s="31"/>
    </row>
    <row r="63">
      <c r="H63" s="31"/>
    </row>
    <row r="64">
      <c r="H64" s="31"/>
    </row>
    <row r="65">
      <c r="H65" s="31"/>
    </row>
    <row r="66">
      <c r="H66" s="31"/>
    </row>
    <row r="67">
      <c r="H67" s="31"/>
    </row>
    <row r="68">
      <c r="H68" s="31"/>
    </row>
    <row r="69">
      <c r="H69" s="31"/>
    </row>
    <row r="70">
      <c r="H70" s="31"/>
    </row>
    <row r="71">
      <c r="H71" s="31"/>
    </row>
    <row r="72">
      <c r="H72" s="31"/>
    </row>
    <row r="73">
      <c r="H73" s="31"/>
    </row>
    <row r="74">
      <c r="H74" s="31"/>
    </row>
    <row r="75">
      <c r="H75" s="31"/>
    </row>
    <row r="76">
      <c r="H76" s="31"/>
    </row>
    <row r="77">
      <c r="H77" s="31"/>
    </row>
    <row r="78">
      <c r="H78" s="31"/>
    </row>
    <row r="79">
      <c r="H79" s="31"/>
    </row>
    <row r="80">
      <c r="H80" s="31"/>
    </row>
    <row r="81">
      <c r="H81" s="31"/>
    </row>
    <row r="82">
      <c r="H82" s="31"/>
    </row>
    <row r="83">
      <c r="H83" s="31"/>
    </row>
    <row r="84">
      <c r="H84" s="31"/>
    </row>
    <row r="85">
      <c r="H85" s="31"/>
    </row>
    <row r="86">
      <c r="H86" s="31"/>
    </row>
    <row r="87">
      <c r="H87" s="31"/>
    </row>
    <row r="88">
      <c r="H88" s="31"/>
    </row>
    <row r="89">
      <c r="H89" s="31"/>
    </row>
    <row r="90">
      <c r="H90" s="31"/>
    </row>
    <row r="91">
      <c r="H91" s="31"/>
    </row>
    <row r="92">
      <c r="H92" s="31"/>
    </row>
    <row r="93">
      <c r="H93" s="31"/>
    </row>
    <row r="94">
      <c r="H94" s="31"/>
    </row>
    <row r="95">
      <c r="H95" s="31"/>
    </row>
    <row r="96">
      <c r="H96" s="31"/>
    </row>
    <row r="97">
      <c r="H97" s="31"/>
    </row>
    <row r="98">
      <c r="H98" s="31"/>
    </row>
    <row r="99">
      <c r="H99" s="31"/>
    </row>
    <row r="100">
      <c r="H100" s="31"/>
    </row>
    <row r="101">
      <c r="H101" s="31"/>
    </row>
    <row r="102">
      <c r="H102" s="31"/>
    </row>
    <row r="103">
      <c r="H103" s="31"/>
    </row>
    <row r="104">
      <c r="H104" s="31"/>
    </row>
    <row r="105">
      <c r="H105" s="31"/>
    </row>
    <row r="106">
      <c r="H106" s="31"/>
    </row>
    <row r="107">
      <c r="H107" s="31"/>
    </row>
    <row r="108">
      <c r="H108" s="31"/>
    </row>
    <row r="109">
      <c r="H109" s="31"/>
    </row>
    <row r="110">
      <c r="H110" s="31"/>
    </row>
    <row r="111">
      <c r="H111" s="31"/>
    </row>
    <row r="112">
      <c r="H112" s="31"/>
    </row>
    <row r="113">
      <c r="H113" s="31"/>
    </row>
    <row r="114">
      <c r="H114" s="31"/>
    </row>
    <row r="115">
      <c r="H115" s="31"/>
    </row>
    <row r="116">
      <c r="H116" s="31"/>
    </row>
    <row r="117">
      <c r="H117" s="31"/>
    </row>
    <row r="118">
      <c r="H118" s="31"/>
    </row>
    <row r="119">
      <c r="H119" s="31"/>
    </row>
    <row r="120">
      <c r="H120" s="31"/>
    </row>
    <row r="121">
      <c r="H121" s="31"/>
    </row>
    <row r="122">
      <c r="H122" s="31"/>
    </row>
    <row r="123">
      <c r="H123" s="31"/>
    </row>
    <row r="124">
      <c r="H124" s="31"/>
    </row>
    <row r="125">
      <c r="H125" s="31"/>
    </row>
    <row r="126">
      <c r="H126" s="31"/>
    </row>
    <row r="127">
      <c r="H127" s="31"/>
    </row>
    <row r="128">
      <c r="H128" s="31"/>
    </row>
    <row r="129">
      <c r="H129" s="31"/>
    </row>
    <row r="130">
      <c r="H130" s="31"/>
    </row>
    <row r="131">
      <c r="H131" s="31"/>
    </row>
    <row r="132">
      <c r="H132" s="31"/>
    </row>
    <row r="133">
      <c r="H133" s="31"/>
    </row>
    <row r="134">
      <c r="H134" s="31"/>
    </row>
    <row r="135">
      <c r="H135" s="31"/>
    </row>
    <row r="136">
      <c r="H136" s="31"/>
    </row>
    <row r="137">
      <c r="H137" s="31"/>
    </row>
    <row r="138">
      <c r="H138" s="31"/>
    </row>
    <row r="139">
      <c r="H139" s="31"/>
    </row>
    <row r="140">
      <c r="H140" s="31"/>
    </row>
    <row r="141">
      <c r="H141" s="31"/>
    </row>
    <row r="142">
      <c r="H142" s="31"/>
    </row>
    <row r="143">
      <c r="H143" s="31"/>
    </row>
    <row r="144">
      <c r="H144" s="31"/>
    </row>
    <row r="145">
      <c r="H145" s="31"/>
    </row>
    <row r="146">
      <c r="H146" s="31"/>
    </row>
    <row r="147">
      <c r="H147" s="31"/>
    </row>
    <row r="148">
      <c r="H148" s="31"/>
    </row>
    <row r="149">
      <c r="H149" s="31"/>
    </row>
    <row r="150">
      <c r="H150" s="31"/>
    </row>
    <row r="151">
      <c r="H151" s="31"/>
    </row>
    <row r="152">
      <c r="H152" s="31"/>
    </row>
    <row r="153">
      <c r="H153" s="31"/>
    </row>
    <row r="154">
      <c r="H154" s="31"/>
    </row>
    <row r="155">
      <c r="H155" s="31"/>
    </row>
    <row r="156">
      <c r="H156" s="31"/>
    </row>
    <row r="157">
      <c r="H157" s="31"/>
    </row>
    <row r="158">
      <c r="H158" s="31"/>
    </row>
    <row r="159">
      <c r="H159" s="31"/>
    </row>
    <row r="160">
      <c r="H160" s="31"/>
    </row>
    <row r="161">
      <c r="H161" s="31"/>
    </row>
    <row r="162">
      <c r="H162" s="31"/>
    </row>
    <row r="163">
      <c r="H163" s="31"/>
    </row>
    <row r="164">
      <c r="H164" s="31"/>
    </row>
    <row r="165">
      <c r="H165" s="31"/>
    </row>
    <row r="166">
      <c r="H166" s="31"/>
    </row>
    <row r="167">
      <c r="H167" s="31"/>
    </row>
    <row r="168">
      <c r="H168" s="31"/>
    </row>
    <row r="169">
      <c r="H169" s="31"/>
    </row>
    <row r="170">
      <c r="H170" s="31"/>
    </row>
    <row r="171">
      <c r="H171" s="31"/>
    </row>
    <row r="172">
      <c r="H172" s="31"/>
    </row>
    <row r="173">
      <c r="H173" s="31"/>
    </row>
    <row r="174">
      <c r="H174" s="31"/>
    </row>
    <row r="175">
      <c r="H175" s="31"/>
    </row>
    <row r="176">
      <c r="H176" s="31"/>
    </row>
    <row r="177">
      <c r="H177" s="31"/>
    </row>
    <row r="178">
      <c r="H178" s="31"/>
    </row>
    <row r="179">
      <c r="H179" s="31"/>
    </row>
    <row r="180">
      <c r="H180" s="31"/>
    </row>
    <row r="181">
      <c r="H181" s="31"/>
    </row>
    <row r="182">
      <c r="H182" s="31"/>
    </row>
    <row r="183">
      <c r="H183" s="31"/>
    </row>
    <row r="184">
      <c r="H184" s="31"/>
    </row>
    <row r="185">
      <c r="H185" s="31"/>
    </row>
    <row r="186">
      <c r="H186" s="31"/>
    </row>
    <row r="187">
      <c r="H187" s="31"/>
    </row>
    <row r="188">
      <c r="H188" s="31"/>
    </row>
    <row r="189">
      <c r="H189" s="31"/>
    </row>
    <row r="190">
      <c r="H190" s="31"/>
    </row>
    <row r="191">
      <c r="H191" s="31"/>
    </row>
    <row r="192">
      <c r="H192" s="31"/>
    </row>
    <row r="193">
      <c r="H193" s="31"/>
    </row>
    <row r="194">
      <c r="H194" s="31"/>
    </row>
    <row r="195">
      <c r="H195" s="31"/>
    </row>
    <row r="196">
      <c r="H196" s="31"/>
    </row>
    <row r="197">
      <c r="H197" s="31"/>
    </row>
    <row r="198">
      <c r="H198" s="31"/>
    </row>
    <row r="199">
      <c r="H199" s="31"/>
    </row>
    <row r="200">
      <c r="H200" s="31"/>
    </row>
    <row r="201">
      <c r="H201" s="31"/>
    </row>
    <row r="202">
      <c r="H202" s="31"/>
    </row>
    <row r="203">
      <c r="H203" s="31"/>
    </row>
    <row r="204">
      <c r="H204" s="31"/>
    </row>
    <row r="205">
      <c r="H205" s="31"/>
    </row>
    <row r="206">
      <c r="H206" s="31"/>
    </row>
    <row r="207">
      <c r="H207" s="31"/>
    </row>
    <row r="208">
      <c r="H208" s="31"/>
    </row>
    <row r="209">
      <c r="H209" s="31"/>
    </row>
    <row r="210">
      <c r="H210" s="31"/>
    </row>
    <row r="211">
      <c r="H211" s="31"/>
    </row>
    <row r="212">
      <c r="H212" s="31"/>
    </row>
    <row r="213">
      <c r="H213" s="31"/>
    </row>
    <row r="214">
      <c r="H214" s="31"/>
    </row>
    <row r="215">
      <c r="H215" s="31"/>
    </row>
    <row r="216">
      <c r="H216" s="31"/>
    </row>
    <row r="217">
      <c r="H217" s="31"/>
    </row>
    <row r="218">
      <c r="H218" s="31"/>
    </row>
    <row r="219">
      <c r="H219" s="31"/>
    </row>
    <row r="220">
      <c r="H220" s="31"/>
    </row>
    <row r="221">
      <c r="H221" s="31"/>
    </row>
    <row r="222">
      <c r="H222" s="31"/>
    </row>
    <row r="223">
      <c r="H223" s="31"/>
    </row>
    <row r="224">
      <c r="H224" s="31"/>
    </row>
    <row r="225">
      <c r="H225" s="31"/>
    </row>
    <row r="226">
      <c r="H226" s="31"/>
    </row>
    <row r="227">
      <c r="H227" s="31"/>
    </row>
    <row r="228">
      <c r="H228" s="31"/>
    </row>
    <row r="229">
      <c r="H229" s="31"/>
    </row>
    <row r="230">
      <c r="H230" s="31"/>
    </row>
    <row r="231">
      <c r="H231" s="31"/>
    </row>
    <row r="232">
      <c r="H232" s="31"/>
    </row>
    <row r="233">
      <c r="H233" s="31"/>
    </row>
    <row r="234">
      <c r="H234" s="31"/>
    </row>
    <row r="235">
      <c r="H235" s="31"/>
    </row>
    <row r="236">
      <c r="H236" s="31"/>
    </row>
    <row r="237">
      <c r="H237" s="31"/>
    </row>
    <row r="238">
      <c r="H238" s="31"/>
    </row>
    <row r="239">
      <c r="H239" s="31"/>
    </row>
    <row r="240">
      <c r="H240" s="31"/>
    </row>
    <row r="241">
      <c r="H241" s="31"/>
    </row>
    <row r="242">
      <c r="H242" s="31"/>
    </row>
    <row r="243">
      <c r="H243" s="31"/>
    </row>
    <row r="244">
      <c r="H244" s="31"/>
    </row>
    <row r="245">
      <c r="H245" s="31"/>
    </row>
    <row r="246">
      <c r="H246" s="31"/>
    </row>
    <row r="247">
      <c r="H247" s="31"/>
    </row>
    <row r="248">
      <c r="H248" s="31"/>
    </row>
    <row r="249">
      <c r="H249" s="31"/>
    </row>
    <row r="250">
      <c r="H250" s="31"/>
    </row>
    <row r="251">
      <c r="H251" s="31"/>
    </row>
    <row r="252">
      <c r="H252" s="31"/>
    </row>
    <row r="253">
      <c r="H253" s="31"/>
    </row>
    <row r="254">
      <c r="H254" s="31"/>
    </row>
    <row r="255">
      <c r="H255" s="31"/>
    </row>
    <row r="256">
      <c r="H256" s="31"/>
    </row>
    <row r="257">
      <c r="H257" s="31"/>
    </row>
    <row r="258">
      <c r="H258" s="31"/>
    </row>
    <row r="259">
      <c r="H259" s="31"/>
    </row>
    <row r="260">
      <c r="H260" s="31"/>
    </row>
    <row r="261">
      <c r="H261" s="31"/>
    </row>
    <row r="262">
      <c r="H262" s="31"/>
    </row>
    <row r="263">
      <c r="H263" s="31"/>
    </row>
    <row r="264">
      <c r="H264" s="31"/>
    </row>
    <row r="265">
      <c r="H265" s="31"/>
    </row>
    <row r="266">
      <c r="H266" s="31"/>
    </row>
    <row r="267">
      <c r="H267" s="31"/>
    </row>
    <row r="268">
      <c r="H268" s="31"/>
    </row>
    <row r="269">
      <c r="H269" s="31"/>
    </row>
    <row r="270">
      <c r="H270" s="31"/>
    </row>
    <row r="271">
      <c r="H271" s="31"/>
    </row>
    <row r="272">
      <c r="H272" s="31"/>
    </row>
    <row r="273">
      <c r="H273" s="31"/>
    </row>
    <row r="274">
      <c r="H274" s="31"/>
    </row>
    <row r="275">
      <c r="H275" s="31"/>
    </row>
    <row r="276">
      <c r="H276" s="31"/>
    </row>
    <row r="277">
      <c r="H277" s="31"/>
    </row>
    <row r="278">
      <c r="H278" s="31"/>
    </row>
    <row r="279">
      <c r="H279" s="31"/>
    </row>
    <row r="280">
      <c r="H280" s="31"/>
    </row>
    <row r="281">
      <c r="H281" s="31"/>
    </row>
    <row r="282">
      <c r="H282" s="31"/>
    </row>
    <row r="283">
      <c r="H283" s="31"/>
    </row>
    <row r="284">
      <c r="H284" s="31"/>
    </row>
    <row r="285">
      <c r="H285" s="31"/>
    </row>
    <row r="286">
      <c r="H286" s="31"/>
    </row>
    <row r="287">
      <c r="H287" s="31"/>
    </row>
    <row r="288">
      <c r="H288" s="31"/>
    </row>
    <row r="289">
      <c r="H289" s="31"/>
    </row>
    <row r="290">
      <c r="H290" s="31"/>
    </row>
    <row r="291">
      <c r="H291" s="31"/>
    </row>
    <row r="292">
      <c r="H292" s="31"/>
    </row>
    <row r="293">
      <c r="H293" s="31"/>
    </row>
    <row r="294">
      <c r="H294" s="31"/>
    </row>
    <row r="295">
      <c r="H295" s="31"/>
    </row>
    <row r="296">
      <c r="H296" s="31"/>
    </row>
    <row r="297">
      <c r="H297" s="31"/>
    </row>
    <row r="298">
      <c r="H298" s="31"/>
    </row>
    <row r="299">
      <c r="H299" s="31"/>
    </row>
    <row r="300">
      <c r="H300" s="31"/>
    </row>
    <row r="301">
      <c r="H301" s="31"/>
    </row>
    <row r="302">
      <c r="H302" s="31"/>
    </row>
    <row r="303">
      <c r="H303" s="31"/>
    </row>
    <row r="304">
      <c r="H304" s="31"/>
    </row>
    <row r="305">
      <c r="H305" s="31"/>
    </row>
    <row r="306">
      <c r="H306" s="31"/>
    </row>
    <row r="307">
      <c r="H307" s="31"/>
    </row>
    <row r="308">
      <c r="H308" s="31"/>
    </row>
    <row r="309">
      <c r="H309" s="31"/>
    </row>
    <row r="310">
      <c r="H310" s="31"/>
    </row>
    <row r="311">
      <c r="H311" s="31"/>
    </row>
    <row r="312">
      <c r="H312" s="31"/>
    </row>
    <row r="313">
      <c r="H313" s="31"/>
    </row>
    <row r="314">
      <c r="H314" s="31"/>
    </row>
    <row r="315">
      <c r="H315" s="31"/>
    </row>
    <row r="316">
      <c r="H316" s="31"/>
    </row>
    <row r="317">
      <c r="H317" s="31"/>
    </row>
    <row r="318">
      <c r="H318" s="31"/>
    </row>
    <row r="319">
      <c r="H319" s="31"/>
    </row>
    <row r="320">
      <c r="H320" s="31"/>
    </row>
    <row r="321">
      <c r="H321" s="31"/>
    </row>
    <row r="322">
      <c r="H322" s="31"/>
    </row>
    <row r="323">
      <c r="H323" s="31"/>
    </row>
    <row r="324">
      <c r="H324" s="31"/>
    </row>
    <row r="325">
      <c r="H325" s="31"/>
    </row>
    <row r="326">
      <c r="H326" s="31"/>
    </row>
    <row r="327">
      <c r="H327" s="31"/>
    </row>
    <row r="328">
      <c r="H328" s="31"/>
    </row>
    <row r="329">
      <c r="H329" s="31"/>
    </row>
    <row r="330">
      <c r="H330" s="31"/>
    </row>
    <row r="331">
      <c r="H331" s="31"/>
    </row>
    <row r="332">
      <c r="H332" s="31"/>
    </row>
    <row r="333">
      <c r="H333" s="31"/>
    </row>
    <row r="334">
      <c r="H334" s="31"/>
    </row>
    <row r="335">
      <c r="H335" s="31"/>
    </row>
    <row r="336">
      <c r="H336" s="31"/>
    </row>
    <row r="337">
      <c r="H337" s="31"/>
    </row>
    <row r="338">
      <c r="H338" s="31"/>
    </row>
    <row r="339">
      <c r="H339" s="31"/>
    </row>
    <row r="340">
      <c r="H340" s="31"/>
    </row>
    <row r="341">
      <c r="H341" s="31"/>
    </row>
    <row r="342">
      <c r="H342" s="31"/>
    </row>
    <row r="343">
      <c r="H343" s="31"/>
    </row>
    <row r="344">
      <c r="H344" s="31"/>
    </row>
    <row r="345">
      <c r="H345" s="31"/>
    </row>
    <row r="346">
      <c r="H346" s="31"/>
    </row>
    <row r="347">
      <c r="H347" s="31"/>
    </row>
    <row r="348">
      <c r="H348" s="31"/>
    </row>
    <row r="349">
      <c r="H349" s="31"/>
    </row>
    <row r="350">
      <c r="H350" s="31"/>
    </row>
    <row r="351">
      <c r="H351" s="31"/>
    </row>
    <row r="352">
      <c r="H352" s="31"/>
    </row>
    <row r="353">
      <c r="H353" s="31"/>
    </row>
    <row r="354">
      <c r="H354" s="31"/>
    </row>
    <row r="355">
      <c r="H355" s="31"/>
    </row>
    <row r="356">
      <c r="H356" s="31"/>
    </row>
    <row r="357">
      <c r="H357" s="31"/>
    </row>
    <row r="358">
      <c r="H358" s="31"/>
    </row>
    <row r="359">
      <c r="H359" s="31"/>
    </row>
    <row r="360">
      <c r="H360" s="31"/>
    </row>
    <row r="361">
      <c r="H361" s="31"/>
    </row>
    <row r="362">
      <c r="H362" s="31"/>
    </row>
    <row r="363">
      <c r="H363" s="31"/>
    </row>
    <row r="364">
      <c r="H364" s="31"/>
    </row>
    <row r="365">
      <c r="H365" s="31"/>
    </row>
    <row r="366">
      <c r="H366" s="31"/>
    </row>
    <row r="367">
      <c r="H367" s="31"/>
    </row>
    <row r="368">
      <c r="H368" s="31"/>
    </row>
    <row r="369">
      <c r="H369" s="31"/>
    </row>
    <row r="370">
      <c r="H370" s="31"/>
    </row>
    <row r="371">
      <c r="H371" s="31"/>
    </row>
    <row r="372">
      <c r="H372" s="31"/>
    </row>
    <row r="373">
      <c r="H373" s="31"/>
    </row>
    <row r="374">
      <c r="H374" s="31"/>
    </row>
    <row r="375">
      <c r="H375" s="31"/>
    </row>
    <row r="376">
      <c r="H376" s="31"/>
    </row>
    <row r="377">
      <c r="H377" s="31"/>
    </row>
    <row r="378">
      <c r="H378" s="31"/>
    </row>
    <row r="379">
      <c r="H379" s="31"/>
    </row>
    <row r="380">
      <c r="H380" s="31"/>
    </row>
    <row r="381">
      <c r="H381" s="31"/>
    </row>
    <row r="382">
      <c r="H382" s="31"/>
    </row>
    <row r="383">
      <c r="H383" s="31"/>
    </row>
    <row r="384">
      <c r="H384" s="31"/>
    </row>
    <row r="385">
      <c r="H385" s="31"/>
    </row>
    <row r="386">
      <c r="H386" s="31"/>
    </row>
    <row r="387">
      <c r="H387" s="31"/>
    </row>
    <row r="388">
      <c r="H388" s="31"/>
    </row>
    <row r="389">
      <c r="H389" s="31"/>
    </row>
    <row r="390">
      <c r="H390" s="31"/>
    </row>
    <row r="391">
      <c r="H391" s="31"/>
    </row>
    <row r="392">
      <c r="H392" s="31"/>
    </row>
    <row r="393">
      <c r="H393" s="31"/>
    </row>
    <row r="394">
      <c r="H394" s="31"/>
    </row>
    <row r="395">
      <c r="H395" s="31"/>
    </row>
    <row r="396">
      <c r="H396" s="31"/>
    </row>
    <row r="397">
      <c r="H397" s="31"/>
    </row>
    <row r="398">
      <c r="H398" s="31"/>
    </row>
    <row r="399">
      <c r="H399" s="31"/>
    </row>
    <row r="400">
      <c r="H400" s="31"/>
    </row>
    <row r="401">
      <c r="H401" s="31"/>
    </row>
    <row r="402">
      <c r="H402" s="31"/>
    </row>
    <row r="403">
      <c r="H403" s="31"/>
    </row>
    <row r="404">
      <c r="H404" s="31"/>
    </row>
    <row r="405">
      <c r="H405" s="31"/>
    </row>
    <row r="406">
      <c r="H406" s="31"/>
    </row>
    <row r="407">
      <c r="H407" s="31"/>
    </row>
    <row r="408">
      <c r="H408" s="31"/>
    </row>
    <row r="409">
      <c r="H409" s="31"/>
    </row>
    <row r="410">
      <c r="H410" s="31"/>
    </row>
    <row r="411">
      <c r="H411" s="31"/>
    </row>
    <row r="412">
      <c r="H412" s="31"/>
    </row>
    <row r="413">
      <c r="H413" s="31"/>
    </row>
    <row r="414">
      <c r="H414" s="31"/>
    </row>
    <row r="415">
      <c r="H415" s="31"/>
    </row>
    <row r="416">
      <c r="H416" s="31"/>
    </row>
    <row r="417">
      <c r="H417" s="31"/>
    </row>
    <row r="418">
      <c r="H418" s="31"/>
    </row>
    <row r="419">
      <c r="H419" s="31"/>
    </row>
    <row r="420">
      <c r="H420" s="31"/>
    </row>
    <row r="421">
      <c r="H421" s="31"/>
    </row>
    <row r="422">
      <c r="H422" s="31"/>
    </row>
    <row r="423">
      <c r="H423" s="31"/>
    </row>
    <row r="424">
      <c r="H424" s="31"/>
    </row>
    <row r="425">
      <c r="H425" s="31"/>
    </row>
    <row r="426">
      <c r="H426" s="31"/>
    </row>
    <row r="427">
      <c r="H427" s="31"/>
    </row>
    <row r="428">
      <c r="H428" s="31"/>
    </row>
    <row r="429">
      <c r="H429" s="31"/>
    </row>
    <row r="430">
      <c r="H430" s="31"/>
    </row>
    <row r="431">
      <c r="H431" s="31"/>
    </row>
    <row r="432">
      <c r="H432" s="31"/>
    </row>
    <row r="433">
      <c r="H433" s="31"/>
    </row>
    <row r="434">
      <c r="H434" s="31"/>
    </row>
    <row r="435">
      <c r="H435" s="31"/>
    </row>
    <row r="436">
      <c r="H436" s="31"/>
    </row>
    <row r="437">
      <c r="H437" s="31"/>
    </row>
    <row r="438">
      <c r="H438" s="31"/>
    </row>
    <row r="439">
      <c r="H439" s="31"/>
    </row>
    <row r="440">
      <c r="H440" s="31"/>
    </row>
    <row r="441">
      <c r="H441" s="31"/>
    </row>
    <row r="442">
      <c r="H442" s="31"/>
    </row>
    <row r="443">
      <c r="H443" s="31"/>
    </row>
    <row r="444">
      <c r="H444" s="31"/>
    </row>
    <row r="445">
      <c r="H445" s="31"/>
    </row>
    <row r="446">
      <c r="H446" s="31"/>
    </row>
    <row r="447">
      <c r="H447" s="31"/>
    </row>
    <row r="448">
      <c r="H448" s="31"/>
    </row>
    <row r="449">
      <c r="H449" s="31"/>
    </row>
    <row r="450">
      <c r="H450" s="31"/>
    </row>
    <row r="451">
      <c r="H451" s="31"/>
    </row>
    <row r="452">
      <c r="H452" s="31"/>
    </row>
    <row r="453">
      <c r="H453" s="31"/>
    </row>
    <row r="454">
      <c r="H454" s="31"/>
    </row>
    <row r="455">
      <c r="H455" s="31"/>
    </row>
    <row r="456">
      <c r="H456" s="31"/>
    </row>
    <row r="457">
      <c r="H457" s="31"/>
    </row>
    <row r="458">
      <c r="H458" s="31"/>
    </row>
    <row r="459">
      <c r="H459" s="31"/>
    </row>
    <row r="460">
      <c r="H460" s="31"/>
    </row>
    <row r="461">
      <c r="H461" s="31"/>
    </row>
    <row r="462">
      <c r="H462" s="31"/>
    </row>
    <row r="463">
      <c r="H463" s="31"/>
    </row>
    <row r="464">
      <c r="H464" s="31"/>
    </row>
    <row r="465">
      <c r="H465" s="31"/>
    </row>
    <row r="466">
      <c r="H466" s="31"/>
    </row>
    <row r="467">
      <c r="H467" s="31"/>
    </row>
    <row r="468">
      <c r="H468" s="31"/>
    </row>
    <row r="469">
      <c r="H469" s="31"/>
    </row>
    <row r="470">
      <c r="H470" s="31"/>
    </row>
    <row r="471">
      <c r="H471" s="31"/>
    </row>
    <row r="472">
      <c r="H472" s="31"/>
    </row>
    <row r="473">
      <c r="H473" s="31"/>
    </row>
    <row r="474">
      <c r="H474" s="31"/>
    </row>
    <row r="475">
      <c r="H475" s="31"/>
    </row>
    <row r="476">
      <c r="H476" s="31"/>
    </row>
    <row r="477">
      <c r="H477" s="31"/>
    </row>
    <row r="478">
      <c r="H478" s="31"/>
    </row>
    <row r="479">
      <c r="H479" s="31"/>
    </row>
    <row r="480">
      <c r="H480" s="31"/>
    </row>
    <row r="481">
      <c r="H481" s="31"/>
    </row>
    <row r="482">
      <c r="H482" s="31"/>
    </row>
    <row r="483">
      <c r="H483" s="31"/>
    </row>
    <row r="484">
      <c r="H484" s="31"/>
    </row>
    <row r="485">
      <c r="H485" s="31"/>
    </row>
    <row r="486">
      <c r="H486" s="31"/>
    </row>
    <row r="487">
      <c r="H487" s="31"/>
    </row>
    <row r="488">
      <c r="H488" s="31"/>
    </row>
    <row r="489">
      <c r="H489" s="31"/>
    </row>
    <row r="490">
      <c r="H490" s="31"/>
    </row>
    <row r="491">
      <c r="H491" s="31"/>
    </row>
    <row r="492">
      <c r="H492" s="31"/>
    </row>
    <row r="493">
      <c r="H493" s="31"/>
    </row>
    <row r="494">
      <c r="H494" s="31"/>
    </row>
    <row r="495">
      <c r="H495" s="31"/>
    </row>
    <row r="496">
      <c r="H496" s="31"/>
    </row>
    <row r="497">
      <c r="H497" s="31"/>
    </row>
    <row r="498">
      <c r="H498" s="31"/>
    </row>
    <row r="499">
      <c r="H499" s="31"/>
    </row>
    <row r="500">
      <c r="H500" s="31"/>
    </row>
    <row r="501">
      <c r="H501" s="31"/>
    </row>
    <row r="502">
      <c r="H502" s="31"/>
    </row>
    <row r="503">
      <c r="H503" s="31"/>
    </row>
    <row r="504">
      <c r="H504" s="31"/>
    </row>
    <row r="505">
      <c r="H505" s="31"/>
    </row>
    <row r="506">
      <c r="H506" s="31"/>
    </row>
    <row r="507">
      <c r="H507" s="31"/>
    </row>
    <row r="508">
      <c r="H508" s="31"/>
    </row>
    <row r="509">
      <c r="H509" s="31"/>
    </row>
    <row r="510">
      <c r="H510" s="31"/>
    </row>
    <row r="511">
      <c r="H511" s="31"/>
    </row>
    <row r="512">
      <c r="H512" s="31"/>
    </row>
    <row r="513">
      <c r="H513" s="31"/>
    </row>
    <row r="514">
      <c r="H514" s="31"/>
    </row>
    <row r="515">
      <c r="H515" s="31"/>
    </row>
    <row r="516">
      <c r="H516" s="31"/>
    </row>
    <row r="517">
      <c r="H517" s="31"/>
    </row>
    <row r="518">
      <c r="H518" s="31"/>
    </row>
    <row r="519">
      <c r="H519" s="31"/>
    </row>
    <row r="520">
      <c r="H520" s="31"/>
    </row>
    <row r="521">
      <c r="H521" s="31"/>
    </row>
    <row r="522">
      <c r="H522" s="31"/>
    </row>
    <row r="523">
      <c r="H523" s="31"/>
    </row>
    <row r="524">
      <c r="H524" s="31"/>
    </row>
    <row r="525">
      <c r="H525" s="31"/>
    </row>
    <row r="526">
      <c r="H526" s="31"/>
    </row>
    <row r="527">
      <c r="H527" s="31"/>
    </row>
    <row r="528">
      <c r="H528" s="31"/>
    </row>
    <row r="529">
      <c r="H529" s="31"/>
    </row>
    <row r="530">
      <c r="H530" s="31"/>
    </row>
    <row r="531">
      <c r="H531" s="31"/>
    </row>
    <row r="532">
      <c r="H532" s="31"/>
    </row>
    <row r="533">
      <c r="H533" s="31"/>
    </row>
    <row r="534">
      <c r="H534" s="31"/>
    </row>
    <row r="535">
      <c r="H535" s="31"/>
    </row>
    <row r="536">
      <c r="H536" s="31"/>
    </row>
    <row r="537">
      <c r="H537" s="31"/>
    </row>
    <row r="538">
      <c r="H538" s="31"/>
    </row>
    <row r="539">
      <c r="H539" s="31"/>
    </row>
    <row r="540">
      <c r="H540" s="31"/>
    </row>
    <row r="541">
      <c r="H541" s="31"/>
    </row>
    <row r="542">
      <c r="H542" s="31"/>
    </row>
    <row r="543">
      <c r="H543" s="31"/>
    </row>
    <row r="544">
      <c r="H544" s="31"/>
    </row>
    <row r="545">
      <c r="H545" s="31"/>
    </row>
    <row r="546">
      <c r="H546" s="31"/>
    </row>
    <row r="547">
      <c r="H547" s="31"/>
    </row>
    <row r="548">
      <c r="H548" s="31"/>
    </row>
    <row r="549">
      <c r="H549" s="31"/>
    </row>
    <row r="550">
      <c r="H550" s="31"/>
    </row>
    <row r="551">
      <c r="H551" s="31"/>
    </row>
    <row r="552">
      <c r="H552" s="31"/>
    </row>
    <row r="553">
      <c r="H553" s="31"/>
    </row>
    <row r="554">
      <c r="H554" s="31"/>
    </row>
    <row r="555">
      <c r="H555" s="31"/>
    </row>
    <row r="556">
      <c r="H556" s="31"/>
    </row>
    <row r="557">
      <c r="H557" s="31"/>
    </row>
    <row r="558">
      <c r="H558" s="31"/>
    </row>
    <row r="559">
      <c r="H559" s="31"/>
    </row>
    <row r="560">
      <c r="H560" s="31"/>
    </row>
    <row r="561">
      <c r="H561" s="31"/>
    </row>
    <row r="562">
      <c r="H562" s="31"/>
    </row>
    <row r="563">
      <c r="H563" s="31"/>
    </row>
    <row r="564">
      <c r="H564" s="31"/>
    </row>
    <row r="565">
      <c r="H565" s="31"/>
    </row>
    <row r="566">
      <c r="H566" s="31"/>
    </row>
    <row r="567">
      <c r="H567" s="31"/>
    </row>
    <row r="568">
      <c r="H568" s="31"/>
    </row>
    <row r="569">
      <c r="H569" s="31"/>
    </row>
    <row r="570">
      <c r="H570" s="31"/>
    </row>
    <row r="571">
      <c r="H571" s="31"/>
    </row>
    <row r="572">
      <c r="H572" s="31"/>
    </row>
    <row r="573">
      <c r="H573" s="31"/>
    </row>
    <row r="574">
      <c r="H574" s="31"/>
    </row>
    <row r="575">
      <c r="H575" s="31"/>
    </row>
    <row r="576">
      <c r="H576" s="31"/>
    </row>
    <row r="577">
      <c r="H577" s="31"/>
    </row>
    <row r="578">
      <c r="H578" s="31"/>
    </row>
    <row r="579">
      <c r="H579" s="31"/>
    </row>
    <row r="580">
      <c r="H580" s="31"/>
    </row>
    <row r="581">
      <c r="H581" s="31"/>
    </row>
    <row r="582">
      <c r="H582" s="31"/>
    </row>
    <row r="583">
      <c r="H583" s="31"/>
    </row>
    <row r="584">
      <c r="H584" s="31"/>
    </row>
    <row r="585">
      <c r="H585" s="31"/>
    </row>
    <row r="586">
      <c r="H586" s="31"/>
    </row>
    <row r="587">
      <c r="H587" s="31"/>
    </row>
    <row r="588">
      <c r="H588" s="31"/>
    </row>
    <row r="589">
      <c r="H589" s="31"/>
    </row>
    <row r="590">
      <c r="H590" s="31"/>
    </row>
    <row r="591">
      <c r="H591" s="31"/>
    </row>
    <row r="592">
      <c r="H592" s="31"/>
    </row>
    <row r="593">
      <c r="H593" s="31"/>
    </row>
    <row r="594">
      <c r="H594" s="31"/>
    </row>
    <row r="595">
      <c r="H595" s="31"/>
    </row>
    <row r="596">
      <c r="H596" s="31"/>
    </row>
    <row r="597">
      <c r="H597" s="31"/>
    </row>
    <row r="598">
      <c r="H598" s="31"/>
    </row>
    <row r="599">
      <c r="H599" s="31"/>
    </row>
    <row r="600">
      <c r="H600" s="31"/>
    </row>
    <row r="601">
      <c r="H601" s="31"/>
    </row>
    <row r="602">
      <c r="H602" s="31"/>
    </row>
    <row r="603">
      <c r="H603" s="31"/>
    </row>
    <row r="604">
      <c r="H604" s="31"/>
    </row>
    <row r="605">
      <c r="H605" s="31"/>
    </row>
    <row r="606">
      <c r="H606" s="31"/>
    </row>
    <row r="607">
      <c r="H607" s="31"/>
    </row>
    <row r="608">
      <c r="H608" s="31"/>
    </row>
    <row r="609">
      <c r="H609" s="31"/>
    </row>
    <row r="610">
      <c r="H610" s="31"/>
    </row>
    <row r="611">
      <c r="H611" s="31"/>
    </row>
    <row r="612">
      <c r="H612" s="31"/>
    </row>
    <row r="613">
      <c r="H613" s="31"/>
    </row>
    <row r="614">
      <c r="H614" s="31"/>
    </row>
    <row r="615">
      <c r="H615" s="31"/>
    </row>
    <row r="616">
      <c r="H616" s="31"/>
    </row>
    <row r="617">
      <c r="H617" s="31"/>
    </row>
    <row r="618">
      <c r="H618" s="31"/>
    </row>
    <row r="619">
      <c r="H619" s="31"/>
    </row>
    <row r="620">
      <c r="H620" s="31"/>
    </row>
    <row r="621">
      <c r="H621" s="31"/>
    </row>
    <row r="622">
      <c r="H622" s="31"/>
    </row>
    <row r="623">
      <c r="H623" s="31"/>
    </row>
    <row r="624">
      <c r="H624" s="31"/>
    </row>
    <row r="625">
      <c r="H625" s="31"/>
    </row>
    <row r="626">
      <c r="H626" s="31"/>
    </row>
    <row r="627">
      <c r="H627" s="31"/>
    </row>
    <row r="628">
      <c r="H628" s="31"/>
    </row>
    <row r="629">
      <c r="H629" s="31"/>
    </row>
    <row r="630">
      <c r="H630" s="31"/>
    </row>
    <row r="631">
      <c r="H631" s="31"/>
    </row>
    <row r="632">
      <c r="H632" s="31"/>
    </row>
    <row r="633">
      <c r="H633" s="31"/>
    </row>
    <row r="634">
      <c r="H634" s="31"/>
    </row>
    <row r="635">
      <c r="H635" s="31"/>
    </row>
    <row r="636">
      <c r="H636" s="31"/>
    </row>
    <row r="637">
      <c r="H637" s="31"/>
    </row>
    <row r="638">
      <c r="H638" s="31"/>
    </row>
    <row r="639">
      <c r="H639" s="31"/>
    </row>
    <row r="640">
      <c r="H640" s="31"/>
    </row>
    <row r="641">
      <c r="H641" s="31"/>
    </row>
    <row r="642">
      <c r="H642" s="31"/>
    </row>
    <row r="643">
      <c r="H643" s="31"/>
    </row>
    <row r="644">
      <c r="H644" s="31"/>
    </row>
    <row r="645">
      <c r="H645" s="31"/>
    </row>
    <row r="646">
      <c r="H646" s="31"/>
    </row>
    <row r="647">
      <c r="H647" s="31"/>
    </row>
    <row r="648">
      <c r="H648" s="31"/>
    </row>
    <row r="649">
      <c r="H649" s="31"/>
    </row>
    <row r="650">
      <c r="H650" s="31"/>
    </row>
    <row r="651">
      <c r="H651" s="31"/>
    </row>
    <row r="652">
      <c r="H652" s="31"/>
    </row>
    <row r="653">
      <c r="H653" s="31"/>
    </row>
    <row r="654">
      <c r="H654" s="31"/>
    </row>
    <row r="655">
      <c r="H655" s="31"/>
    </row>
    <row r="656">
      <c r="H656" s="31"/>
    </row>
    <row r="657">
      <c r="H657" s="31"/>
    </row>
    <row r="658">
      <c r="H658" s="31"/>
    </row>
    <row r="659">
      <c r="H659" s="31"/>
    </row>
    <row r="660">
      <c r="H660" s="31"/>
    </row>
    <row r="661">
      <c r="H661" s="31"/>
    </row>
    <row r="662">
      <c r="H662" s="31"/>
    </row>
    <row r="663">
      <c r="H663" s="31"/>
    </row>
    <row r="664">
      <c r="H664" s="31"/>
    </row>
    <row r="665">
      <c r="H665" s="31"/>
    </row>
    <row r="666">
      <c r="H666" s="31"/>
    </row>
    <row r="667">
      <c r="H667" s="31"/>
    </row>
    <row r="668">
      <c r="H668" s="31"/>
    </row>
    <row r="669">
      <c r="H669" s="31"/>
    </row>
    <row r="670">
      <c r="H670" s="31"/>
    </row>
    <row r="671">
      <c r="H671" s="31"/>
    </row>
    <row r="672">
      <c r="H672" s="31"/>
    </row>
    <row r="673">
      <c r="H673" s="31"/>
    </row>
    <row r="674">
      <c r="H674" s="31"/>
    </row>
    <row r="675">
      <c r="H675" s="31"/>
    </row>
    <row r="676">
      <c r="H676" s="31"/>
    </row>
    <row r="677">
      <c r="H677" s="31"/>
    </row>
    <row r="678">
      <c r="H678" s="31"/>
    </row>
    <row r="679">
      <c r="H679" s="31"/>
    </row>
    <row r="680">
      <c r="H680" s="31"/>
    </row>
    <row r="681">
      <c r="H681" s="31"/>
    </row>
    <row r="682">
      <c r="H682" s="31"/>
    </row>
    <row r="683">
      <c r="H683" s="31"/>
    </row>
    <row r="684">
      <c r="H684" s="31"/>
    </row>
    <row r="685">
      <c r="H685" s="31"/>
    </row>
    <row r="686">
      <c r="H686" s="31"/>
    </row>
    <row r="687">
      <c r="H687" s="31"/>
    </row>
    <row r="688">
      <c r="H688" s="31"/>
    </row>
    <row r="689">
      <c r="H689" s="31"/>
    </row>
    <row r="690">
      <c r="H690" s="31"/>
    </row>
    <row r="691">
      <c r="H691" s="31"/>
    </row>
    <row r="692">
      <c r="H692" s="31"/>
    </row>
    <row r="693">
      <c r="H693" s="31"/>
    </row>
    <row r="694">
      <c r="H694" s="31"/>
    </row>
    <row r="695">
      <c r="H695" s="31"/>
    </row>
    <row r="696">
      <c r="H696" s="31"/>
    </row>
    <row r="697">
      <c r="H697" s="31"/>
    </row>
    <row r="698">
      <c r="H698" s="31"/>
    </row>
    <row r="699">
      <c r="H699" s="31"/>
    </row>
    <row r="700">
      <c r="H700" s="31"/>
    </row>
    <row r="701">
      <c r="H701" s="31"/>
    </row>
    <row r="702">
      <c r="H702" s="31"/>
    </row>
    <row r="703">
      <c r="H703" s="31"/>
    </row>
    <row r="704">
      <c r="H704" s="31"/>
    </row>
    <row r="705">
      <c r="H705" s="31"/>
    </row>
    <row r="706">
      <c r="H706" s="31"/>
    </row>
    <row r="707">
      <c r="H707" s="31"/>
    </row>
    <row r="708">
      <c r="H708" s="31"/>
    </row>
    <row r="709">
      <c r="H709" s="31"/>
    </row>
    <row r="710">
      <c r="H710" s="31"/>
    </row>
    <row r="711">
      <c r="H711" s="31"/>
    </row>
    <row r="712">
      <c r="H712" s="31"/>
    </row>
    <row r="713">
      <c r="H713" s="31"/>
    </row>
    <row r="714">
      <c r="H714" s="31"/>
    </row>
    <row r="715">
      <c r="H715" s="31"/>
    </row>
    <row r="716">
      <c r="H716" s="31"/>
    </row>
    <row r="717">
      <c r="H717" s="31"/>
    </row>
    <row r="718">
      <c r="H718" s="31"/>
    </row>
    <row r="719">
      <c r="H719" s="31"/>
    </row>
    <row r="720">
      <c r="H720" s="31"/>
    </row>
    <row r="721">
      <c r="H721" s="31"/>
    </row>
    <row r="722">
      <c r="H722" s="31"/>
    </row>
    <row r="723">
      <c r="H723" s="31"/>
    </row>
    <row r="724">
      <c r="H724" s="31"/>
    </row>
    <row r="725">
      <c r="H725" s="31"/>
    </row>
    <row r="726">
      <c r="H726" s="31"/>
    </row>
    <row r="727">
      <c r="H727" s="31"/>
    </row>
    <row r="728">
      <c r="H728" s="31"/>
    </row>
    <row r="729">
      <c r="H729" s="31"/>
    </row>
    <row r="730">
      <c r="H730" s="31"/>
    </row>
    <row r="731">
      <c r="H731" s="31"/>
    </row>
    <row r="732">
      <c r="H732" s="31"/>
    </row>
    <row r="733">
      <c r="H733" s="31"/>
    </row>
    <row r="734">
      <c r="H734" s="31"/>
    </row>
    <row r="735">
      <c r="H735" s="31"/>
    </row>
    <row r="736">
      <c r="H736" s="31"/>
    </row>
    <row r="737">
      <c r="H737" s="31"/>
    </row>
    <row r="738">
      <c r="H738" s="31"/>
    </row>
    <row r="739">
      <c r="H739" s="31"/>
    </row>
    <row r="740">
      <c r="H740" s="31"/>
    </row>
    <row r="741">
      <c r="H741" s="31"/>
    </row>
    <row r="742">
      <c r="H742" s="31"/>
    </row>
    <row r="743">
      <c r="H743" s="31"/>
    </row>
    <row r="744">
      <c r="H744" s="31"/>
    </row>
    <row r="745">
      <c r="H745" s="31"/>
    </row>
    <row r="746">
      <c r="H746" s="31"/>
    </row>
    <row r="747">
      <c r="H747" s="31"/>
    </row>
    <row r="748">
      <c r="H748" s="31"/>
    </row>
    <row r="749">
      <c r="H749" s="31"/>
    </row>
    <row r="750">
      <c r="H750" s="31"/>
    </row>
    <row r="751">
      <c r="H751" s="31"/>
    </row>
    <row r="752">
      <c r="H752" s="31"/>
    </row>
    <row r="753">
      <c r="H753" s="31"/>
    </row>
    <row r="754">
      <c r="H754" s="31"/>
    </row>
    <row r="755">
      <c r="H755" s="31"/>
    </row>
    <row r="756">
      <c r="H756" s="31"/>
    </row>
    <row r="757">
      <c r="H757" s="31"/>
    </row>
    <row r="758">
      <c r="H758" s="31"/>
    </row>
    <row r="759">
      <c r="H759" s="31"/>
    </row>
    <row r="760">
      <c r="H760" s="31"/>
    </row>
    <row r="761">
      <c r="H761" s="31"/>
    </row>
    <row r="762">
      <c r="H762" s="31"/>
    </row>
    <row r="763">
      <c r="H763" s="31"/>
    </row>
    <row r="764">
      <c r="H764" s="31"/>
    </row>
    <row r="765">
      <c r="H765" s="31"/>
    </row>
    <row r="766">
      <c r="H766" s="31"/>
    </row>
    <row r="767">
      <c r="H767" s="31"/>
    </row>
    <row r="768">
      <c r="H768" s="31"/>
    </row>
    <row r="769">
      <c r="H769" s="31"/>
    </row>
    <row r="770">
      <c r="H770" s="31"/>
    </row>
    <row r="771">
      <c r="H771" s="31"/>
    </row>
    <row r="772">
      <c r="H772" s="31"/>
    </row>
    <row r="773">
      <c r="H773" s="31"/>
    </row>
    <row r="774">
      <c r="H774" s="31"/>
    </row>
    <row r="775">
      <c r="H775" s="31"/>
    </row>
    <row r="776">
      <c r="H776" s="31"/>
    </row>
    <row r="777">
      <c r="H777" s="31"/>
    </row>
    <row r="778">
      <c r="H778" s="31"/>
    </row>
    <row r="779">
      <c r="H779" s="31"/>
    </row>
    <row r="780">
      <c r="H780" s="31"/>
    </row>
    <row r="781">
      <c r="H781" s="31"/>
    </row>
    <row r="782">
      <c r="H782" s="31"/>
    </row>
    <row r="783">
      <c r="H783" s="31"/>
    </row>
    <row r="784">
      <c r="H784" s="31"/>
    </row>
    <row r="785">
      <c r="H785" s="31"/>
    </row>
    <row r="786">
      <c r="H786" s="31"/>
    </row>
    <row r="787">
      <c r="H787" s="31"/>
    </row>
    <row r="788">
      <c r="H788" s="31"/>
    </row>
    <row r="789">
      <c r="H789" s="31"/>
    </row>
    <row r="790">
      <c r="H790" s="31"/>
    </row>
    <row r="791">
      <c r="H791" s="31"/>
    </row>
    <row r="792">
      <c r="H792" s="31"/>
    </row>
    <row r="793">
      <c r="H793" s="31"/>
    </row>
    <row r="794">
      <c r="H794" s="31"/>
    </row>
    <row r="795">
      <c r="H795" s="31"/>
    </row>
    <row r="796">
      <c r="H796" s="31"/>
    </row>
    <row r="797">
      <c r="H797" s="31"/>
    </row>
    <row r="798">
      <c r="H798" s="31"/>
    </row>
    <row r="799">
      <c r="H799" s="31"/>
    </row>
    <row r="800">
      <c r="H800" s="31"/>
    </row>
    <row r="801">
      <c r="H801" s="31"/>
    </row>
    <row r="802">
      <c r="H802" s="31"/>
    </row>
    <row r="803">
      <c r="H803" s="31"/>
    </row>
    <row r="804">
      <c r="H804" s="31"/>
    </row>
    <row r="805">
      <c r="H805" s="31"/>
    </row>
    <row r="806">
      <c r="H806" s="31"/>
    </row>
    <row r="807">
      <c r="H807" s="31"/>
    </row>
    <row r="808">
      <c r="H808" s="31"/>
    </row>
    <row r="809">
      <c r="H809" s="31"/>
    </row>
    <row r="810">
      <c r="H810" s="31"/>
    </row>
    <row r="811">
      <c r="H811" s="31"/>
    </row>
    <row r="812">
      <c r="H812" s="31"/>
    </row>
    <row r="813">
      <c r="H813" s="31"/>
    </row>
    <row r="814">
      <c r="H814" s="31"/>
    </row>
    <row r="815">
      <c r="H815" s="31"/>
    </row>
    <row r="816">
      <c r="H816" s="31"/>
    </row>
    <row r="817">
      <c r="H817" s="31"/>
    </row>
    <row r="818">
      <c r="H818" s="31"/>
    </row>
    <row r="819">
      <c r="H819" s="31"/>
    </row>
    <row r="820">
      <c r="H820" s="31"/>
    </row>
    <row r="821">
      <c r="H821" s="31"/>
    </row>
    <row r="822">
      <c r="H822" s="31"/>
    </row>
    <row r="823">
      <c r="H823" s="31"/>
    </row>
    <row r="824">
      <c r="H824" s="31"/>
    </row>
    <row r="825">
      <c r="H825" s="31"/>
    </row>
    <row r="826">
      <c r="H826" s="31"/>
    </row>
    <row r="827">
      <c r="H827" s="31"/>
    </row>
    <row r="828">
      <c r="H828" s="31"/>
    </row>
    <row r="829">
      <c r="H829" s="31"/>
    </row>
    <row r="830">
      <c r="H830" s="31"/>
    </row>
    <row r="831">
      <c r="H831" s="31"/>
    </row>
    <row r="832">
      <c r="H832" s="31"/>
    </row>
    <row r="833">
      <c r="H833" s="31"/>
    </row>
    <row r="834">
      <c r="H834" s="31"/>
    </row>
    <row r="835">
      <c r="H835" s="31"/>
    </row>
    <row r="836">
      <c r="H836" s="31"/>
    </row>
    <row r="837">
      <c r="H837" s="31"/>
    </row>
    <row r="838">
      <c r="H838" s="31"/>
    </row>
    <row r="839">
      <c r="H839" s="31"/>
    </row>
    <row r="840">
      <c r="H840" s="31"/>
    </row>
    <row r="841">
      <c r="H841" s="31"/>
    </row>
    <row r="842">
      <c r="H842" s="31"/>
    </row>
    <row r="843">
      <c r="H843" s="31"/>
    </row>
    <row r="844">
      <c r="H844" s="31"/>
    </row>
    <row r="845">
      <c r="H845" s="31"/>
    </row>
    <row r="846">
      <c r="H846" s="31"/>
    </row>
    <row r="847">
      <c r="H847" s="31"/>
    </row>
    <row r="848">
      <c r="H848" s="31"/>
    </row>
    <row r="849">
      <c r="H849" s="31"/>
    </row>
    <row r="850">
      <c r="H850" s="31"/>
    </row>
    <row r="851">
      <c r="H851" s="31"/>
    </row>
    <row r="852">
      <c r="H852" s="31"/>
    </row>
    <row r="853">
      <c r="H853" s="31"/>
    </row>
    <row r="854">
      <c r="H854" s="31"/>
    </row>
    <row r="855">
      <c r="H855" s="31"/>
    </row>
    <row r="856">
      <c r="H856" s="31"/>
    </row>
    <row r="857">
      <c r="H857" s="31"/>
    </row>
    <row r="858">
      <c r="H858" s="31"/>
    </row>
    <row r="859">
      <c r="H859" s="31"/>
    </row>
    <row r="860">
      <c r="H860" s="31"/>
    </row>
    <row r="861">
      <c r="H861" s="31"/>
    </row>
    <row r="862">
      <c r="H862" s="31"/>
    </row>
    <row r="863">
      <c r="H863" s="31"/>
    </row>
    <row r="864">
      <c r="H864" s="31"/>
    </row>
    <row r="865">
      <c r="H865" s="31"/>
    </row>
    <row r="866">
      <c r="H866" s="31"/>
    </row>
    <row r="867">
      <c r="H867" s="31"/>
    </row>
    <row r="868">
      <c r="H868" s="31"/>
    </row>
    <row r="869">
      <c r="H869" s="31"/>
    </row>
    <row r="870">
      <c r="H870" s="31"/>
    </row>
    <row r="871">
      <c r="H871" s="31"/>
    </row>
    <row r="872">
      <c r="H872" s="31"/>
    </row>
    <row r="873">
      <c r="H873" s="31"/>
    </row>
    <row r="874">
      <c r="H874" s="31"/>
    </row>
    <row r="875">
      <c r="H875" s="31"/>
    </row>
    <row r="876">
      <c r="H876" s="31"/>
    </row>
    <row r="877">
      <c r="H877" s="31"/>
    </row>
    <row r="878">
      <c r="H878" s="31"/>
    </row>
    <row r="879">
      <c r="H879" s="31"/>
    </row>
    <row r="880">
      <c r="H880" s="31"/>
    </row>
    <row r="881">
      <c r="H881" s="31"/>
    </row>
    <row r="882">
      <c r="H882" s="31"/>
    </row>
    <row r="883">
      <c r="H883" s="31"/>
    </row>
    <row r="884">
      <c r="H884" s="31"/>
    </row>
    <row r="885">
      <c r="H885" s="31"/>
    </row>
    <row r="886">
      <c r="H886" s="31"/>
    </row>
    <row r="887">
      <c r="H887" s="31"/>
    </row>
    <row r="888">
      <c r="H888" s="31"/>
    </row>
    <row r="889">
      <c r="H889" s="31"/>
    </row>
    <row r="890">
      <c r="H890" s="31"/>
    </row>
    <row r="891">
      <c r="H891" s="31"/>
    </row>
    <row r="892">
      <c r="H892" s="31"/>
    </row>
    <row r="893">
      <c r="H893" s="31"/>
    </row>
    <row r="894">
      <c r="H894" s="31"/>
    </row>
    <row r="895">
      <c r="H895" s="31"/>
    </row>
    <row r="896">
      <c r="H896" s="31"/>
    </row>
    <row r="897">
      <c r="H897" s="31"/>
    </row>
    <row r="898">
      <c r="H898" s="31"/>
    </row>
    <row r="899">
      <c r="H899" s="31"/>
    </row>
    <row r="900">
      <c r="H900" s="31"/>
    </row>
    <row r="901">
      <c r="H901" s="31"/>
    </row>
    <row r="902">
      <c r="H902" s="31"/>
    </row>
    <row r="903">
      <c r="H903" s="31"/>
    </row>
    <row r="904">
      <c r="H904" s="31"/>
    </row>
    <row r="905">
      <c r="H905" s="31"/>
    </row>
    <row r="906">
      <c r="H906" s="31"/>
    </row>
    <row r="907">
      <c r="H907" s="31"/>
    </row>
    <row r="908">
      <c r="H908" s="31"/>
    </row>
    <row r="909">
      <c r="H909" s="31"/>
    </row>
    <row r="910">
      <c r="H910" s="31"/>
    </row>
    <row r="911">
      <c r="H911" s="31"/>
    </row>
    <row r="912">
      <c r="H912" s="31"/>
    </row>
    <row r="913">
      <c r="H913" s="31"/>
    </row>
    <row r="914">
      <c r="H914" s="31"/>
    </row>
    <row r="915">
      <c r="H915" s="31"/>
    </row>
    <row r="916">
      <c r="H916" s="31"/>
    </row>
    <row r="917">
      <c r="H917" s="31"/>
    </row>
    <row r="918">
      <c r="H918" s="31"/>
    </row>
    <row r="919">
      <c r="H919" s="31"/>
    </row>
    <row r="920">
      <c r="H920" s="31"/>
    </row>
    <row r="921">
      <c r="H921" s="31"/>
    </row>
    <row r="922">
      <c r="H922" s="31"/>
    </row>
    <row r="923">
      <c r="H923" s="31"/>
    </row>
    <row r="924">
      <c r="H924" s="31"/>
    </row>
    <row r="925">
      <c r="H925" s="31"/>
    </row>
    <row r="926">
      <c r="H926" s="31"/>
    </row>
    <row r="927">
      <c r="H927" s="31"/>
    </row>
    <row r="928">
      <c r="H928" s="31"/>
    </row>
    <row r="929">
      <c r="H929" s="31"/>
    </row>
    <row r="930">
      <c r="H930" s="31"/>
    </row>
    <row r="931">
      <c r="H931" s="31"/>
    </row>
    <row r="932">
      <c r="H932" s="31"/>
    </row>
    <row r="933">
      <c r="H933" s="31"/>
    </row>
    <row r="934">
      <c r="H934" s="31"/>
    </row>
    <row r="935">
      <c r="H935" s="31"/>
    </row>
    <row r="936">
      <c r="H936" s="31"/>
    </row>
    <row r="937">
      <c r="H937" s="31"/>
    </row>
    <row r="938">
      <c r="H938" s="31"/>
    </row>
    <row r="939">
      <c r="H939" s="31"/>
    </row>
    <row r="940">
      <c r="H940" s="31"/>
    </row>
    <row r="941">
      <c r="H941" s="31"/>
    </row>
    <row r="942">
      <c r="H942" s="31"/>
    </row>
    <row r="943">
      <c r="H943" s="31"/>
    </row>
    <row r="944">
      <c r="H944" s="31"/>
    </row>
    <row r="945">
      <c r="H945" s="31"/>
    </row>
    <row r="946">
      <c r="H946" s="31"/>
    </row>
    <row r="947">
      <c r="H947" s="31"/>
    </row>
    <row r="948">
      <c r="H948" s="31"/>
    </row>
    <row r="949">
      <c r="H949" s="31"/>
    </row>
    <row r="950">
      <c r="H950" s="31"/>
    </row>
    <row r="951">
      <c r="H951" s="31"/>
    </row>
    <row r="952">
      <c r="H952" s="31"/>
    </row>
    <row r="953">
      <c r="H953" s="31"/>
    </row>
    <row r="954">
      <c r="H954" s="31"/>
    </row>
    <row r="955">
      <c r="H955" s="31"/>
    </row>
    <row r="956">
      <c r="H956" s="31"/>
    </row>
    <row r="957">
      <c r="H957" s="31"/>
    </row>
    <row r="958">
      <c r="H958" s="31"/>
    </row>
    <row r="959">
      <c r="H959" s="31"/>
    </row>
    <row r="960">
      <c r="H960" s="31"/>
    </row>
    <row r="961">
      <c r="H961" s="31"/>
    </row>
    <row r="962">
      <c r="H962" s="31"/>
    </row>
    <row r="963">
      <c r="H963" s="31"/>
    </row>
    <row r="964">
      <c r="H964" s="31"/>
    </row>
    <row r="965">
      <c r="H965" s="31"/>
    </row>
    <row r="966">
      <c r="H966" s="31"/>
    </row>
    <row r="967">
      <c r="H967" s="31"/>
    </row>
    <row r="968">
      <c r="H968" s="31"/>
    </row>
    <row r="969">
      <c r="H969" s="31"/>
    </row>
    <row r="970">
      <c r="H970" s="31"/>
    </row>
    <row r="971">
      <c r="H971" s="31"/>
    </row>
    <row r="972">
      <c r="H972" s="31"/>
    </row>
    <row r="973">
      <c r="H973" s="31"/>
    </row>
    <row r="974">
      <c r="H974" s="31"/>
    </row>
    <row r="975">
      <c r="H975" s="31"/>
    </row>
    <row r="976">
      <c r="H976" s="31"/>
    </row>
    <row r="977">
      <c r="H977" s="31"/>
    </row>
    <row r="978">
      <c r="H978" s="31"/>
    </row>
    <row r="979">
      <c r="H979" s="31"/>
    </row>
    <row r="980">
      <c r="H980" s="31"/>
    </row>
    <row r="981">
      <c r="H981" s="31"/>
    </row>
    <row r="982">
      <c r="H982" s="31"/>
    </row>
    <row r="983">
      <c r="H983" s="31"/>
    </row>
    <row r="984">
      <c r="H984" s="31"/>
    </row>
    <row r="985">
      <c r="H985" s="31"/>
    </row>
    <row r="986">
      <c r="H986" s="31"/>
    </row>
    <row r="987">
      <c r="H987" s="31"/>
    </row>
    <row r="988">
      <c r="H988" s="31"/>
    </row>
    <row r="989">
      <c r="H989" s="31"/>
    </row>
    <row r="990">
      <c r="H990" s="31"/>
    </row>
    <row r="991">
      <c r="H991" s="31"/>
    </row>
    <row r="992">
      <c r="H992" s="31"/>
    </row>
    <row r="993">
      <c r="H993" s="31"/>
    </row>
    <row r="994">
      <c r="H994" s="31"/>
    </row>
    <row r="995">
      <c r="H995" s="31"/>
    </row>
    <row r="996">
      <c r="H996" s="31"/>
    </row>
    <row r="997">
      <c r="H997" s="31"/>
    </row>
    <row r="998">
      <c r="H998" s="31"/>
    </row>
  </sheetData>
  <mergeCells count="5">
    <mergeCell ref="A1:A2"/>
    <mergeCell ref="B1:B2"/>
    <mergeCell ref="C1:C2"/>
    <mergeCell ref="D1:D2"/>
    <mergeCell ref="E1:E2"/>
  </mergeCells>
  <conditionalFormatting sqref="F3:AU37 AV3:AY29">
    <cfRule type="cellIs" dxfId="3" priority="1" operator="equal">
      <formula>1</formula>
    </cfRule>
  </conditionalFormatting>
  <conditionalFormatting sqref="F3:AU37 AV36:AY36">
    <cfRule type="cellIs" dxfId="4" priority="2" operator="equal">
      <formula>"R"</formula>
    </cfRule>
  </conditionalFormatting>
  <conditionalFormatting sqref="B3:B29 C3:C37 B36">
    <cfRule type="cellIs" dxfId="5" priority="3" operator="greaterThanOrEqual">
      <formula>3</formula>
    </cfRule>
  </conditionalFormatting>
  <conditionalFormatting sqref="B3:B29 B36">
    <cfRule type="cellIs" dxfId="6" priority="4" operator="lessThan">
      <formula>1</formula>
    </cfRule>
  </conditionalFormatting>
  <conditionalFormatting sqref="B3:B30 C3:C40 B36">
    <cfRule type="cellIs" dxfId="7" priority="5" operator="equal">
      <formula>0</formula>
    </cfRule>
  </conditionalFormatting>
  <conditionalFormatting sqref="B3:B29 C3:C37 B36">
    <cfRule type="cellIs" dxfId="8" priority="6" operator="lessThan">
      <formula>2</formula>
    </cfRule>
  </conditionalFormatting>
  <conditionalFormatting sqref="B3:B29 C3:C37 B36">
    <cfRule type="cellIs" dxfId="9" priority="7" operator="lessThan">
      <formula>3</formula>
    </cfRule>
  </conditionalFormatting>
  <conditionalFormatting sqref="B3:B30 C3:C40 B36">
    <cfRule type="containsBlanks" dxfId="6" priority="8">
      <formula>LEN(TRIM(B3))=0</formula>
    </cfRule>
  </conditionalFormatting>
  <conditionalFormatting sqref="F3:AU37 AV36:AY36">
    <cfRule type="cellIs" dxfId="10" priority="9" operator="equal">
      <formula>"R2"</formula>
    </cfRule>
  </conditionalFormatting>
  <conditionalFormatting sqref="AP30:AY30 F38:AY38">
    <cfRule type="cellIs" dxfId="7" priority="10" operator="lessThan">
      <formula>1</formula>
    </cfRule>
  </conditionalFormatting>
  <conditionalFormatting sqref="AP30:AY30 F38:AY38">
    <cfRule type="cellIs" dxfId="3" priority="11" operator="equal">
      <formula>1</formula>
    </cfRule>
  </conditionalFormatting>
  <conditionalFormatting sqref="AP30:AY30 F38:AY38">
    <cfRule type="cellIs" dxfId="11" priority="12" operator="greaterThan">
      <formula>1</formula>
    </cfRule>
  </conditionalFormatting>
  <conditionalFormatting sqref="D3:E40">
    <cfRule type="cellIs" dxfId="9" priority="13" operator="equal">
      <formula>1</formula>
    </cfRule>
  </conditionalFormatting>
  <conditionalFormatting sqref="Z29:Z35 F31:Y35 AA31:AY35 F37:AY40">
    <cfRule type="cellIs" dxfId="7" priority="14" operator="lessThan">
      <formula>1</formula>
    </cfRule>
  </conditionalFormatting>
  <conditionalFormatting sqref="Z29:Z35 F31:Y35 AA31:AY35 F37:AY40">
    <cfRule type="cellIs" dxfId="12" priority="15" operator="equal">
      <formula>1</formula>
    </cfRule>
  </conditionalFormatting>
  <conditionalFormatting sqref="Z29:Z35 F31:Y35 AA31:AY35 F37:AY40">
    <cfRule type="cellIs" dxfId="11" priority="16" operator="greaterThan">
      <formula>1</formula>
    </cfRule>
  </conditionalFormatting>
  <conditionalFormatting sqref="D3:D40 E3:E37">
    <cfRule type="cellIs" dxfId="7" priority="17" operator="equal">
      <formula>0</formula>
    </cfRule>
  </conditionalFormatting>
  <conditionalFormatting sqref="D3:D40 E3:E37">
    <cfRule type="cellIs" dxfId="4" priority="18" operator="equal">
      <formula>2</formula>
    </cfRule>
  </conditionalFormatting>
  <conditionalFormatting sqref="E3:E40">
    <cfRule type="cellIs" dxfId="7" priority="19" operator="equal">
      <formula>0</formula>
    </cfRule>
  </conditionalFormatting>
  <conditionalFormatting sqref="E3:E40">
    <cfRule type="cellIs" dxfId="4" priority="20" operator="greaterThanOrEqual">
      <formula>2</formula>
    </cfRule>
  </conditionalFormatting>
  <conditionalFormatting sqref="C43">
    <cfRule type="notContainsBlanks" dxfId="3" priority="21">
      <formula>LEN(TRIM(C43))&gt;0</formula>
    </cfRule>
  </conditionalFormatting>
  <conditionalFormatting sqref="AS2:AY2">
    <cfRule type="containsText" dxfId="13" priority="22" operator="containsText" text="(PAM)">
      <formula>NOT(ISERROR(SEARCH(("(PAM)"),(AS2))))</formula>
    </cfRule>
  </conditionalFormatting>
  <conditionalFormatting sqref="AS2:AY2">
    <cfRule type="containsText" dxfId="13" priority="23" operator="containsText" text="(PPM)">
      <formula>NOT(ISERROR(SEARCH(("(PPM)"),(AS2))))</formula>
    </cfRule>
  </conditionalFormatting>
  <conditionalFormatting sqref="F2:AY2">
    <cfRule type="containsText" dxfId="13" priority="24" operator="containsText" text="PAM">
      <formula>NOT(ISERROR(SEARCH(("PAM"),(F2))))</formula>
    </cfRule>
  </conditionalFormatting>
  <conditionalFormatting sqref="F2:AY2">
    <cfRule type="containsText" dxfId="13" priority="25" operator="containsText" text="PPM">
      <formula>NOT(ISERROR(SEARCH(("PPM"),(F2))))</formula>
    </cfRule>
  </conditionalFormatting>
  <conditionalFormatting sqref="F2:AY2">
    <cfRule type="containsText" dxfId="11" priority="26" operator="containsText" text="(AM)">
      <formula>NOT(ISERROR(SEARCH(("(AM)"),(F2))))</formula>
    </cfRule>
  </conditionalFormatting>
  <conditionalFormatting sqref="F2:AY2">
    <cfRule type="containsText" dxfId="7" priority="27" operator="containsText" text="(PM)">
      <formula>NOT(ISERROR(SEARCH(("(PM)"),(F2))))</formula>
    </cfRule>
  </conditionalFormatting>
  <conditionalFormatting sqref="F2:AY2">
    <cfRule type="notContainsText" dxfId="15" priority="28" operator="notContains" text="(AM)">
      <formula>ISERROR(SEARCH(("(AM)"),(F2)))</formula>
    </cfRule>
  </conditionalFormatting>
  <conditionalFormatting sqref="F2:AY2">
    <cfRule type="notContainsText" dxfId="15" priority="29" operator="notContains" text="(PM)">
      <formula>ISERROR(SEARCH(("(PM)"),(F2)))</formula>
    </cfRule>
  </conditionalFormatting>
  <conditionalFormatting sqref="F2:AY2">
    <cfRule type="notContainsText" dxfId="15" priority="30" operator="notContains" text="(PM)">
      <formula>ISERROR(SEARCH(("(PM)"),(F2)))</formula>
    </cfRule>
  </conditionalFormatting>
  <dataValidations>
    <dataValidation type="list" allowBlank="1" showErrorMessage="1" sqref="A3:A29 A36">
      <formula1>'Personnel List'!$D$2:$D$33</formula1>
    </dataValidation>
  </dataValidations>
  <drawing r:id="rId2"/>
  <legacyDrawing r:id="rId3"/>
  <tableParts count="1">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14.63"/>
    <col customWidth="1" hidden="1" min="2" max="2" width="11.38"/>
    <col customWidth="1" min="4" max="4" width="14.13"/>
    <col customWidth="1" min="6" max="9" width="8.63"/>
    <col customWidth="1" min="10" max="10" width="8.38"/>
    <col customWidth="1" min="11" max="11" width="8.25"/>
    <col customWidth="1" min="12" max="44" width="8.63"/>
    <col customWidth="1" min="45" max="47" width="9.5"/>
    <col customWidth="1" hidden="1" min="48" max="51" width="9.5"/>
  </cols>
  <sheetData>
    <row r="1">
      <c r="A1" s="1" t="s">
        <v>0</v>
      </c>
      <c r="B1" s="1" t="s">
        <v>1</v>
      </c>
      <c r="C1" s="1" t="s">
        <v>2</v>
      </c>
      <c r="D1" s="1" t="s">
        <v>3</v>
      </c>
      <c r="E1" s="1" t="s">
        <v>4</v>
      </c>
      <c r="F1" s="2" t="s">
        <v>155</v>
      </c>
      <c r="G1" s="2" t="s">
        <v>156</v>
      </c>
      <c r="H1" s="2" t="s">
        <v>13</v>
      </c>
      <c r="I1" s="54" t="s">
        <v>5</v>
      </c>
      <c r="J1" s="54" t="s">
        <v>6</v>
      </c>
      <c r="K1" s="54" t="s">
        <v>7</v>
      </c>
      <c r="L1" s="54" t="s">
        <v>8</v>
      </c>
      <c r="M1" s="2" t="s">
        <v>9</v>
      </c>
      <c r="N1" s="2" t="s">
        <v>10</v>
      </c>
      <c r="O1" s="2" t="s">
        <v>11</v>
      </c>
      <c r="P1" s="2" t="s">
        <v>12</v>
      </c>
      <c r="Q1" s="2" t="s">
        <v>13</v>
      </c>
      <c r="R1" s="54" t="s">
        <v>5</v>
      </c>
      <c r="S1" s="54" t="s">
        <v>6</v>
      </c>
      <c r="T1" s="54" t="s">
        <v>7</v>
      </c>
      <c r="U1" s="54" t="s">
        <v>8</v>
      </c>
      <c r="V1" s="2" t="s">
        <v>14</v>
      </c>
      <c r="W1" s="2" t="s">
        <v>15</v>
      </c>
      <c r="X1" s="2" t="s">
        <v>10</v>
      </c>
      <c r="Y1" s="2" t="s">
        <v>11</v>
      </c>
      <c r="Z1" s="2" t="s">
        <v>12</v>
      </c>
      <c r="AA1" s="2" t="s">
        <v>13</v>
      </c>
      <c r="AB1" s="54" t="s">
        <v>5</v>
      </c>
      <c r="AC1" s="54" t="s">
        <v>6</v>
      </c>
      <c r="AD1" s="54" t="s">
        <v>7</v>
      </c>
      <c r="AE1" s="54" t="s">
        <v>8</v>
      </c>
      <c r="AF1" s="2" t="s">
        <v>9</v>
      </c>
      <c r="AG1" s="2" t="s">
        <v>10</v>
      </c>
      <c r="AH1" s="2" t="s">
        <v>11</v>
      </c>
      <c r="AI1" s="2" t="s">
        <v>12</v>
      </c>
      <c r="AJ1" s="2" t="s">
        <v>13</v>
      </c>
      <c r="AK1" s="54" t="s">
        <v>5</v>
      </c>
      <c r="AL1" s="54" t="s">
        <v>6</v>
      </c>
      <c r="AM1" s="54" t="s">
        <v>7</v>
      </c>
      <c r="AN1" s="54" t="s">
        <v>8</v>
      </c>
      <c r="AO1" s="2" t="s">
        <v>9</v>
      </c>
      <c r="AP1" s="2" t="s">
        <v>10</v>
      </c>
      <c r="AQ1" s="2" t="s">
        <v>11</v>
      </c>
      <c r="AR1" s="2" t="s">
        <v>12</v>
      </c>
      <c r="AS1" s="2" t="s">
        <v>13</v>
      </c>
      <c r="AT1" s="55" t="s">
        <v>5</v>
      </c>
      <c r="AU1" s="55" t="s">
        <v>6</v>
      </c>
      <c r="AV1" s="55" t="s">
        <v>7</v>
      </c>
      <c r="AW1" s="55" t="s">
        <v>8</v>
      </c>
      <c r="AX1" s="55" t="s">
        <v>7</v>
      </c>
      <c r="AY1" s="55" t="s">
        <v>8</v>
      </c>
    </row>
    <row r="2">
      <c r="F2" s="88" t="s">
        <v>339</v>
      </c>
      <c r="G2" s="88" t="s">
        <v>340</v>
      </c>
      <c r="H2" s="87">
        <v>45779.0</v>
      </c>
      <c r="I2" s="88" t="s">
        <v>341</v>
      </c>
      <c r="J2" s="88" t="s">
        <v>342</v>
      </c>
      <c r="K2" s="88" t="s">
        <v>343</v>
      </c>
      <c r="L2" s="88" t="s">
        <v>344</v>
      </c>
      <c r="M2" s="87">
        <v>45782.0</v>
      </c>
      <c r="N2" s="87">
        <v>45783.0</v>
      </c>
      <c r="O2" s="87">
        <v>45784.0</v>
      </c>
      <c r="P2" s="87">
        <v>45785.0</v>
      </c>
      <c r="Q2" s="87">
        <v>45786.0</v>
      </c>
      <c r="R2" s="88" t="s">
        <v>345</v>
      </c>
      <c r="S2" s="88" t="s">
        <v>346</v>
      </c>
      <c r="T2" s="88" t="s">
        <v>347</v>
      </c>
      <c r="U2" s="88" t="s">
        <v>348</v>
      </c>
      <c r="V2" s="88" t="s">
        <v>349</v>
      </c>
      <c r="W2" s="88" t="s">
        <v>350</v>
      </c>
      <c r="X2" s="87">
        <v>45790.0</v>
      </c>
      <c r="Y2" s="87">
        <v>45791.0</v>
      </c>
      <c r="Z2" s="87">
        <v>45792.0</v>
      </c>
      <c r="AA2" s="87">
        <v>45793.0</v>
      </c>
      <c r="AB2" s="88" t="s">
        <v>351</v>
      </c>
      <c r="AC2" s="88" t="s">
        <v>352</v>
      </c>
      <c r="AD2" s="88" t="s">
        <v>353</v>
      </c>
      <c r="AE2" s="88" t="s">
        <v>354</v>
      </c>
      <c r="AF2" s="87">
        <v>45796.0</v>
      </c>
      <c r="AG2" s="87">
        <v>45797.0</v>
      </c>
      <c r="AH2" s="87">
        <v>45798.0</v>
      </c>
      <c r="AI2" s="87">
        <v>45799.0</v>
      </c>
      <c r="AJ2" s="87">
        <v>45800.0</v>
      </c>
      <c r="AK2" s="88" t="s">
        <v>355</v>
      </c>
      <c r="AL2" s="88" t="s">
        <v>356</v>
      </c>
      <c r="AM2" s="88" t="s">
        <v>357</v>
      </c>
      <c r="AN2" s="88" t="s">
        <v>358</v>
      </c>
      <c r="AO2" s="87">
        <v>45803.0</v>
      </c>
      <c r="AP2" s="87">
        <v>45804.0</v>
      </c>
      <c r="AQ2" s="87">
        <v>45805.0</v>
      </c>
      <c r="AR2" s="87">
        <v>45806.0</v>
      </c>
      <c r="AS2" s="87">
        <v>45807.0</v>
      </c>
      <c r="AT2" s="51" t="s">
        <v>359</v>
      </c>
      <c r="AU2" s="51" t="s">
        <v>360</v>
      </c>
      <c r="AV2" s="51" t="s">
        <v>252</v>
      </c>
      <c r="AW2" s="51" t="s">
        <v>253</v>
      </c>
      <c r="AX2" s="51" t="s">
        <v>252</v>
      </c>
      <c r="AY2" s="51" t="s">
        <v>253</v>
      </c>
    </row>
    <row r="3">
      <c r="A3" s="39" t="s">
        <v>226</v>
      </c>
      <c r="B3" s="40">
        <f t="shared" ref="B3:B5" si="1">SUM(C3:D3)</f>
        <v>4</v>
      </c>
      <c r="C3" s="10">
        <f t="shared" ref="C3:C7" si="2">SUM(F3:AU3)</f>
        <v>2</v>
      </c>
      <c r="D3" s="11">
        <f t="array" ref="D3">SUM(IF(F3:AU3="R",1,0))</f>
        <v>2</v>
      </c>
      <c r="E3" s="11">
        <f t="array" ref="E3">SUM(IF(F3:AU3="R2",1,0))</f>
        <v>1</v>
      </c>
      <c r="F3" s="59">
        <v>1.0</v>
      </c>
      <c r="G3" s="59"/>
      <c r="I3" s="16"/>
      <c r="J3" s="16"/>
      <c r="K3" s="17">
        <v>1.0</v>
      </c>
      <c r="L3" s="17"/>
      <c r="M3" s="16"/>
      <c r="R3" s="67"/>
      <c r="S3" s="67"/>
      <c r="V3" s="16"/>
      <c r="W3" s="16"/>
      <c r="X3" s="16"/>
      <c r="Y3" s="16"/>
      <c r="Z3" s="16"/>
      <c r="AB3" s="17" t="s">
        <v>40</v>
      </c>
      <c r="AC3" s="17"/>
      <c r="AF3" s="17" t="s">
        <v>39</v>
      </c>
      <c r="AH3" s="16"/>
      <c r="AO3" s="17"/>
      <c r="AR3" s="17" t="s">
        <v>39</v>
      </c>
      <c r="AV3" s="91"/>
      <c r="AW3" s="91"/>
      <c r="AX3" s="91"/>
      <c r="AY3" s="91"/>
    </row>
    <row r="4">
      <c r="A4" s="14" t="s">
        <v>283</v>
      </c>
      <c r="B4" s="10">
        <f t="shared" si="1"/>
        <v>3</v>
      </c>
      <c r="C4" s="10">
        <f t="shared" si="2"/>
        <v>1</v>
      </c>
      <c r="D4" s="11">
        <f t="array" ref="D4">SUM(IF(F4:AU4="R",1,0))</f>
        <v>2</v>
      </c>
      <c r="E4" s="11">
        <f t="array" ref="E4">SUM(IF(F4:AU4="R2",1,0))</f>
        <v>1</v>
      </c>
      <c r="H4" s="16"/>
      <c r="K4" s="17"/>
      <c r="M4" s="16"/>
      <c r="N4" s="16"/>
      <c r="O4" s="16"/>
      <c r="P4" s="16"/>
      <c r="Q4" s="16"/>
      <c r="V4" s="17">
        <v>1.0</v>
      </c>
      <c r="X4" s="16"/>
      <c r="Y4" s="16"/>
      <c r="Z4" s="16"/>
      <c r="AA4" s="17"/>
      <c r="AC4" s="17" t="s">
        <v>40</v>
      </c>
      <c r="AF4" s="16"/>
      <c r="AG4" s="17" t="s">
        <v>39</v>
      </c>
      <c r="AJ4" s="16"/>
      <c r="AQ4" s="17" t="s">
        <v>39</v>
      </c>
      <c r="AR4" s="17"/>
      <c r="AV4" s="91"/>
      <c r="AW4" s="91"/>
      <c r="AX4" s="91"/>
      <c r="AY4" s="91"/>
    </row>
    <row r="5">
      <c r="A5" s="14" t="s">
        <v>44</v>
      </c>
      <c r="B5" s="10">
        <f t="shared" si="1"/>
        <v>3</v>
      </c>
      <c r="C5" s="10">
        <f t="shared" si="2"/>
        <v>1</v>
      </c>
      <c r="D5" s="11">
        <f t="array" ref="D5">SUM(IF(F5:AU5="R",1,0))</f>
        <v>2</v>
      </c>
      <c r="E5" s="11">
        <f t="array" ref="E5">SUM(IF(F5:AU5="R2",1,0))</f>
        <v>0</v>
      </c>
      <c r="G5" s="17">
        <v>1.0</v>
      </c>
      <c r="M5" s="16"/>
      <c r="N5" s="16"/>
      <c r="O5" s="16"/>
      <c r="P5" s="16"/>
      <c r="Q5" s="16"/>
      <c r="X5" s="16"/>
      <c r="Y5" s="16"/>
      <c r="Z5" s="16"/>
      <c r="AA5" s="16"/>
      <c r="AB5" s="17"/>
      <c r="AE5" s="17" t="s">
        <v>39</v>
      </c>
      <c r="AJ5" s="17"/>
      <c r="AP5" s="17" t="s">
        <v>39</v>
      </c>
      <c r="AR5" s="17"/>
      <c r="AV5" s="91"/>
      <c r="AW5" s="91"/>
      <c r="AX5" s="91"/>
      <c r="AY5" s="91"/>
    </row>
    <row r="6" hidden="1">
      <c r="A6" s="14" t="s">
        <v>284</v>
      </c>
      <c r="B6" s="10"/>
      <c r="C6" s="10">
        <f t="shared" si="2"/>
        <v>0</v>
      </c>
      <c r="D6" s="11">
        <f t="array" ref="D6">SUM(IF(F6:AU6="R",1,0))</f>
        <v>0</v>
      </c>
      <c r="E6" s="11">
        <f t="array" ref="E6">SUM(IF(F6:AU6="R2",1,0))</f>
        <v>0</v>
      </c>
      <c r="AV6" s="91"/>
      <c r="AW6" s="91"/>
      <c r="AX6" s="91"/>
      <c r="AY6" s="91"/>
    </row>
    <row r="7">
      <c r="A7" s="26" t="s">
        <v>361</v>
      </c>
      <c r="B7" s="10">
        <f t="shared" ref="B7:B9" si="3">SUM(C7:D7)</f>
        <v>3</v>
      </c>
      <c r="C7" s="10">
        <f t="shared" si="2"/>
        <v>2</v>
      </c>
      <c r="D7" s="11">
        <f t="array" ref="D7">SUM(IF(F7:AU7="R",1,0))</f>
        <v>1</v>
      </c>
      <c r="E7" s="11">
        <f t="array" ref="E7">SUM(IF(F7:AU7="R2",1,0))</f>
        <v>1</v>
      </c>
      <c r="F7" s="17"/>
      <c r="G7" s="61"/>
      <c r="H7" s="16"/>
      <c r="J7" s="61"/>
      <c r="L7" s="61"/>
      <c r="M7" s="16"/>
      <c r="N7" s="16"/>
      <c r="O7" s="26">
        <v>1.0</v>
      </c>
      <c r="P7" s="61"/>
      <c r="Q7" s="61"/>
      <c r="R7" s="17" t="s">
        <v>40</v>
      </c>
      <c r="S7" s="61"/>
      <c r="U7" s="61"/>
      <c r="V7" s="16"/>
      <c r="W7" s="16"/>
      <c r="X7" s="16"/>
      <c r="Y7" s="21"/>
      <c r="Z7" s="16"/>
      <c r="AA7" s="16"/>
      <c r="AC7" s="61"/>
      <c r="AE7" s="61"/>
      <c r="AF7" s="16"/>
      <c r="AG7" s="26">
        <v>1.0</v>
      </c>
      <c r="AH7" s="61"/>
      <c r="AI7" s="16"/>
      <c r="AJ7" s="16"/>
      <c r="AL7" s="61"/>
      <c r="AM7" s="17" t="s">
        <v>39</v>
      </c>
      <c r="AN7" s="61"/>
      <c r="AO7" s="61"/>
      <c r="AP7" s="61"/>
      <c r="AQ7" s="61"/>
      <c r="AR7" s="61"/>
      <c r="AS7" s="61"/>
      <c r="AU7" s="61"/>
      <c r="AV7" s="91"/>
      <c r="AW7" s="91"/>
      <c r="AX7" s="91"/>
      <c r="AY7" s="91"/>
    </row>
    <row r="8">
      <c r="A8" s="26" t="s">
        <v>55</v>
      </c>
      <c r="B8" s="10">
        <f t="shared" si="3"/>
        <v>3</v>
      </c>
      <c r="C8" s="10">
        <f>SUM(G8:AU8)</f>
        <v>2</v>
      </c>
      <c r="D8" s="11">
        <f t="array" ref="D8">SUM(IF(G8:AU8="R",1,0))</f>
        <v>1</v>
      </c>
      <c r="E8" s="11">
        <f t="array" ref="E8">SUM(IF(G8:AU8="R2",1,0))</f>
        <v>1</v>
      </c>
      <c r="G8" s="61"/>
      <c r="H8" s="61"/>
      <c r="J8" s="61"/>
      <c r="L8" s="61"/>
      <c r="M8" s="61"/>
      <c r="N8" s="61"/>
      <c r="O8" s="61"/>
      <c r="P8" s="61"/>
      <c r="Q8" s="61"/>
      <c r="S8" s="61"/>
      <c r="T8" s="17" t="s">
        <v>40</v>
      </c>
      <c r="U8" s="61"/>
      <c r="W8" s="61"/>
      <c r="X8" s="26">
        <v>1.0</v>
      </c>
      <c r="Y8" s="61"/>
      <c r="Z8" s="61"/>
      <c r="AA8" s="61"/>
      <c r="AB8" s="17">
        <v>1.0</v>
      </c>
      <c r="AC8" s="61"/>
      <c r="AE8" s="61"/>
      <c r="AF8" s="61"/>
      <c r="AG8" s="61"/>
      <c r="AH8" s="61"/>
      <c r="AI8" s="61"/>
      <c r="AJ8" s="61"/>
      <c r="AK8" s="17" t="s">
        <v>39</v>
      </c>
      <c r="AL8" s="61"/>
      <c r="AN8" s="61"/>
      <c r="AO8" s="61"/>
      <c r="AP8" s="61"/>
      <c r="AQ8" s="61"/>
      <c r="AR8" s="61"/>
      <c r="AS8" s="61"/>
      <c r="AU8" s="61"/>
      <c r="AW8" s="61"/>
      <c r="AX8" s="91"/>
      <c r="AY8" s="91"/>
    </row>
    <row r="9">
      <c r="A9" s="22" t="s">
        <v>362</v>
      </c>
      <c r="B9" s="10">
        <f t="shared" si="3"/>
        <v>4</v>
      </c>
      <c r="C9" s="10">
        <f t="shared" ref="C9:C42" si="4">SUM(F9:AU9)</f>
        <v>2</v>
      </c>
      <c r="D9" s="11">
        <f t="array" ref="D9">SUM(IF(F9:AU9="R",1,0))</f>
        <v>2</v>
      </c>
      <c r="E9" s="11">
        <f t="array" ref="E9">SUM(IF(F9:AU9="R2",1,0))</f>
        <v>2</v>
      </c>
      <c r="G9" s="17" t="s">
        <v>39</v>
      </c>
      <c r="I9" s="16"/>
      <c r="J9" s="16"/>
      <c r="L9" s="17">
        <v>1.0</v>
      </c>
      <c r="N9" s="17" t="s">
        <v>40</v>
      </c>
      <c r="O9" s="17"/>
      <c r="R9" s="17">
        <v>1.0</v>
      </c>
      <c r="U9" s="17"/>
      <c r="AF9" s="17"/>
      <c r="AH9" s="17" t="s">
        <v>39</v>
      </c>
      <c r="AQ9" s="17" t="s">
        <v>40</v>
      </c>
      <c r="AV9" s="91"/>
      <c r="AW9" s="91"/>
      <c r="AX9" s="91"/>
      <c r="AY9" s="91"/>
    </row>
    <row r="10">
      <c r="A10" s="22" t="s">
        <v>363</v>
      </c>
      <c r="B10" s="10"/>
      <c r="C10" s="10">
        <f t="shared" si="4"/>
        <v>2</v>
      </c>
      <c r="D10" s="11">
        <f t="array" ref="D10">SUM(IF(F10:AU10="R",1,0))</f>
        <v>2</v>
      </c>
      <c r="E10" s="11">
        <f t="array" ref="E10">SUM(IF(F10:AU10="R2",1,0))</f>
        <v>2</v>
      </c>
      <c r="I10" s="16"/>
      <c r="J10" s="16"/>
      <c r="L10" s="17" t="s">
        <v>40</v>
      </c>
      <c r="O10" s="17"/>
      <c r="U10" s="17"/>
      <c r="X10" s="16"/>
      <c r="Y10" s="21">
        <v>1.0</v>
      </c>
      <c r="Z10" s="16"/>
      <c r="AA10" s="17" t="s">
        <v>40</v>
      </c>
      <c r="AD10" s="17" t="s">
        <v>39</v>
      </c>
      <c r="AF10" s="17"/>
      <c r="AI10" s="17" t="s">
        <v>39</v>
      </c>
      <c r="AQ10" s="17">
        <v>1.0</v>
      </c>
      <c r="AV10" s="91"/>
      <c r="AW10" s="91"/>
      <c r="AX10" s="91"/>
      <c r="AY10" s="91"/>
    </row>
    <row r="11" hidden="1">
      <c r="A11" s="22" t="s">
        <v>364</v>
      </c>
      <c r="B11" s="10"/>
      <c r="C11" s="10">
        <f t="shared" si="4"/>
        <v>0</v>
      </c>
      <c r="D11" s="11">
        <f t="array" ref="D11">SUM(IF(F11:AU11="R",1,0))</f>
        <v>0</v>
      </c>
      <c r="E11" s="11">
        <f t="array" ref="E11">SUM(IF(F11:AU11="R2",1,0))</f>
        <v>0</v>
      </c>
      <c r="I11" s="16"/>
      <c r="J11" s="16"/>
      <c r="L11" s="17"/>
      <c r="O11" s="17"/>
      <c r="U11" s="17"/>
      <c r="AF11" s="17"/>
      <c r="AQ11" s="17"/>
      <c r="AV11" s="91"/>
      <c r="AW11" s="91"/>
      <c r="AX11" s="91"/>
      <c r="AY11" s="91"/>
    </row>
    <row r="12">
      <c r="A12" s="20" t="s">
        <v>231</v>
      </c>
      <c r="B12" s="10"/>
      <c r="C12" s="10">
        <f t="shared" si="4"/>
        <v>2</v>
      </c>
      <c r="D12" s="11">
        <f t="array" ref="D12">SUM(IF(F12:AU12="R",1,0))</f>
        <v>2</v>
      </c>
      <c r="E12" s="11">
        <f t="array" ref="E12">SUM(IF(F12:AU12="R2",1,0))</f>
        <v>2</v>
      </c>
      <c r="H12" s="17" t="s">
        <v>39</v>
      </c>
      <c r="I12" s="21"/>
      <c r="J12" s="16"/>
      <c r="M12" s="16"/>
      <c r="N12" s="17">
        <v>1.0</v>
      </c>
      <c r="Q12" s="17"/>
      <c r="S12" s="17" t="s">
        <v>40</v>
      </c>
      <c r="X12" s="16"/>
      <c r="Y12" s="16"/>
      <c r="Z12" s="21"/>
      <c r="AH12" s="17" t="s">
        <v>40</v>
      </c>
      <c r="AJ12" s="17"/>
      <c r="AN12" s="17"/>
      <c r="AO12" s="17">
        <v>1.0</v>
      </c>
      <c r="AP12" s="17"/>
      <c r="AS12" s="17" t="s">
        <v>39</v>
      </c>
      <c r="AU12" s="17"/>
      <c r="AV12" s="91"/>
      <c r="AW12" s="91"/>
      <c r="AX12" s="91"/>
      <c r="AY12" s="91"/>
    </row>
    <row r="13">
      <c r="A13" s="20" t="s">
        <v>202</v>
      </c>
      <c r="B13" s="10"/>
      <c r="C13" s="10">
        <f t="shared" si="4"/>
        <v>1</v>
      </c>
      <c r="D13" s="11">
        <f t="array" ref="D13">SUM(IF(F13:AU13="R",1,0))</f>
        <v>1</v>
      </c>
      <c r="E13" s="11">
        <f t="array" ref="E13">SUM(IF(F13:AU13="R2",1,0))</f>
        <v>2</v>
      </c>
      <c r="I13" s="17" t="s">
        <v>39</v>
      </c>
      <c r="M13" s="21"/>
      <c r="P13" s="17" t="s">
        <v>40</v>
      </c>
      <c r="X13" s="21"/>
      <c r="Y13" s="16"/>
      <c r="Z13" s="16"/>
      <c r="AJ13" s="17" t="s">
        <v>40</v>
      </c>
      <c r="AO13" s="17"/>
      <c r="AR13" s="17">
        <v>1.0</v>
      </c>
      <c r="AV13" s="91"/>
      <c r="AW13" s="91"/>
      <c r="AX13" s="91"/>
      <c r="AY13" s="91"/>
    </row>
    <row r="14">
      <c r="A14" s="20" t="s">
        <v>365</v>
      </c>
      <c r="B14" s="10">
        <f>SUM(C14:D14)</f>
        <v>3</v>
      </c>
      <c r="C14" s="10">
        <f t="shared" si="4"/>
        <v>2</v>
      </c>
      <c r="D14" s="11">
        <f t="array" ref="D14">SUM(IF(F14:AU14="R",1,0))</f>
        <v>1</v>
      </c>
      <c r="E14" s="11">
        <f t="array" ref="E14">SUM(IF(F14:AU14="R2",1,0))</f>
        <v>1</v>
      </c>
      <c r="J14" s="17" t="s">
        <v>39</v>
      </c>
      <c r="K14" s="17"/>
      <c r="M14" s="16"/>
      <c r="N14" s="17"/>
      <c r="O14" s="17"/>
      <c r="P14" s="17"/>
      <c r="Q14" s="17">
        <v>1.0</v>
      </c>
      <c r="S14" s="17"/>
      <c r="W14" s="17"/>
      <c r="X14" s="16"/>
      <c r="Y14" s="21"/>
      <c r="Z14" s="21"/>
      <c r="AC14" s="17"/>
      <c r="AH14" s="17"/>
      <c r="AL14" s="17">
        <v>1.0</v>
      </c>
      <c r="AM14" s="17"/>
      <c r="AO14" s="17"/>
      <c r="AP14" s="17" t="s">
        <v>40</v>
      </c>
      <c r="AR14" s="17"/>
      <c r="AS14" s="17"/>
      <c r="AT14" s="17"/>
      <c r="AU14" s="17"/>
      <c r="AV14" s="91"/>
      <c r="AW14" s="91"/>
      <c r="AX14" s="91"/>
      <c r="AY14" s="91"/>
    </row>
    <row r="15">
      <c r="A15" s="20" t="s">
        <v>287</v>
      </c>
      <c r="B15" s="10"/>
      <c r="C15" s="10">
        <f t="shared" si="4"/>
        <v>2</v>
      </c>
      <c r="D15" s="11">
        <f t="array" ref="D15">SUM(IF(F15:AU15="R",1,0))</f>
        <v>1</v>
      </c>
      <c r="E15" s="11">
        <f t="array" ref="E15">SUM(IF(F15:AU15="R2",1,0))</f>
        <v>2</v>
      </c>
      <c r="F15" s="17"/>
      <c r="G15" s="17"/>
      <c r="H15" s="17">
        <v>1.0</v>
      </c>
      <c r="K15" s="17" t="s">
        <v>39</v>
      </c>
      <c r="L15" s="17"/>
      <c r="M15" s="21"/>
      <c r="N15" s="17"/>
      <c r="O15" s="17" t="s">
        <v>40</v>
      </c>
      <c r="Q15" s="17"/>
      <c r="T15" s="16"/>
      <c r="U15" s="16"/>
      <c r="W15" s="17"/>
      <c r="X15" s="21"/>
      <c r="Y15" s="21"/>
      <c r="Z15" s="21"/>
      <c r="AA15" s="17"/>
      <c r="AB15" s="17"/>
      <c r="AC15" s="17"/>
      <c r="AD15" s="21"/>
      <c r="AE15" s="16"/>
      <c r="AF15" s="17"/>
      <c r="AG15" s="17"/>
      <c r="AI15" s="17">
        <v>1.0</v>
      </c>
      <c r="AJ15" s="17"/>
      <c r="AM15" s="16"/>
      <c r="AN15" s="21"/>
      <c r="AO15" s="17" t="s">
        <v>40</v>
      </c>
      <c r="AP15" s="17"/>
      <c r="AQ15" s="17"/>
      <c r="AR15" s="17"/>
      <c r="AS15" s="17"/>
      <c r="AT15" s="17"/>
      <c r="AU15" s="17"/>
      <c r="AV15" s="91"/>
      <c r="AW15" s="91"/>
      <c r="AX15" s="91"/>
      <c r="AY15" s="91"/>
    </row>
    <row r="16" ht="15.0" customHeight="1">
      <c r="A16" s="23" t="s">
        <v>366</v>
      </c>
      <c r="B16" s="10">
        <f>SUM(C16:D16)</f>
        <v>3</v>
      </c>
      <c r="C16" s="10">
        <f t="shared" si="4"/>
        <v>2</v>
      </c>
      <c r="D16" s="11">
        <f t="array" ref="D16">SUM(IF(F16:AU16="R",1,0))</f>
        <v>1</v>
      </c>
      <c r="E16" s="11">
        <f t="array" ref="E16">SUM(IF(F16:AU16="R2",1,0))</f>
        <v>2</v>
      </c>
      <c r="H16" s="17"/>
      <c r="L16" s="17" t="s">
        <v>39</v>
      </c>
      <c r="M16" s="16"/>
      <c r="N16" s="16"/>
      <c r="Q16" s="17" t="s">
        <v>40</v>
      </c>
      <c r="R16" s="17"/>
      <c r="V16" s="17"/>
      <c r="X16" s="16"/>
      <c r="Y16" s="16"/>
      <c r="Z16" s="16"/>
      <c r="AA16" s="21">
        <v>1.0</v>
      </c>
      <c r="AC16" s="17"/>
      <c r="AE16" s="17"/>
      <c r="AG16" s="17" t="s">
        <v>40</v>
      </c>
      <c r="AI16" s="17"/>
      <c r="AJ16" s="16"/>
      <c r="AO16" s="16"/>
      <c r="AQ16" s="17"/>
      <c r="AS16" s="17">
        <v>1.0</v>
      </c>
      <c r="AV16" s="91"/>
      <c r="AW16" s="91"/>
      <c r="AX16" s="91"/>
      <c r="AY16" s="91"/>
    </row>
    <row r="17" hidden="1">
      <c r="A17" s="23" t="s">
        <v>53</v>
      </c>
      <c r="B17" s="10"/>
      <c r="C17" s="10">
        <f t="shared" si="4"/>
        <v>0</v>
      </c>
      <c r="D17" s="11">
        <f t="array" ref="D17">SUM(IF(F17:AU17="R",1,0))</f>
        <v>0</v>
      </c>
      <c r="E17" s="11">
        <f t="array" ref="E17">SUM(IF(F17:AU17="R2",1,0))</f>
        <v>0</v>
      </c>
      <c r="AV17" s="91"/>
      <c r="AW17" s="91"/>
      <c r="AX17" s="91"/>
      <c r="AY17" s="91"/>
    </row>
    <row r="18" hidden="1">
      <c r="A18" s="23" t="s">
        <v>258</v>
      </c>
      <c r="B18" s="10">
        <f t="shared" ref="B18:B19" si="5">SUM(C18:D18)</f>
        <v>0</v>
      </c>
      <c r="C18" s="10">
        <f t="shared" si="4"/>
        <v>0</v>
      </c>
      <c r="D18" s="11">
        <f t="array" ref="D18">SUM(IF(F18:AU18="R",1,0))</f>
        <v>0</v>
      </c>
      <c r="E18" s="11">
        <f t="array" ref="E18">SUM(IF(F18:AU18="R2",1,0))</f>
        <v>0</v>
      </c>
      <c r="AV18" s="91"/>
      <c r="AW18" s="91"/>
      <c r="AX18" s="91"/>
      <c r="AY18" s="91"/>
    </row>
    <row r="19">
      <c r="A19" s="26" t="s">
        <v>367</v>
      </c>
      <c r="B19" s="10">
        <f t="shared" si="5"/>
        <v>2</v>
      </c>
      <c r="C19" s="10">
        <f t="shared" si="4"/>
        <v>1</v>
      </c>
      <c r="D19" s="11">
        <f t="array" ref="D19">SUM(IF(F19:AU19="R",1,0))</f>
        <v>1</v>
      </c>
      <c r="E19" s="11">
        <f t="array" ref="E19">SUM(IF(F19:AU19="R2",1,0))</f>
        <v>1</v>
      </c>
      <c r="F19" s="17" t="s">
        <v>40</v>
      </c>
      <c r="G19" s="61"/>
      <c r="H19" s="61"/>
      <c r="J19" s="61"/>
      <c r="L19" s="61"/>
      <c r="M19" s="61"/>
      <c r="N19" s="61"/>
      <c r="O19" s="61"/>
      <c r="P19" s="61"/>
      <c r="Q19" s="61"/>
      <c r="S19" s="61"/>
      <c r="U19" s="61"/>
      <c r="W19" s="61"/>
      <c r="X19" s="61"/>
      <c r="Y19" s="61"/>
      <c r="Z19" s="61"/>
      <c r="AA19" s="61"/>
      <c r="AB19" s="17" t="s">
        <v>39</v>
      </c>
      <c r="AC19" s="61"/>
      <c r="AE19" s="61"/>
      <c r="AF19" s="61"/>
      <c r="AG19" s="61"/>
      <c r="AH19" s="61"/>
      <c r="AI19" s="61"/>
      <c r="AJ19" s="61"/>
      <c r="AK19" s="17">
        <v>1.0</v>
      </c>
      <c r="AL19" s="61"/>
      <c r="AN19" s="61"/>
      <c r="AO19" s="61"/>
      <c r="AP19" s="61"/>
      <c r="AQ19" s="61"/>
      <c r="AR19" s="61"/>
      <c r="AS19" s="61"/>
      <c r="AU19" s="61"/>
      <c r="AV19" s="91"/>
      <c r="AW19" s="91"/>
      <c r="AX19" s="91"/>
      <c r="AY19" s="91"/>
    </row>
    <row r="20" hidden="1">
      <c r="A20" s="9" t="s">
        <v>56</v>
      </c>
      <c r="B20" s="10"/>
      <c r="C20" s="10">
        <f t="shared" si="4"/>
        <v>0</v>
      </c>
      <c r="D20" s="11">
        <f t="array" ref="D20">SUM(IF(F20:AU20="R",1,0))</f>
        <v>0</v>
      </c>
      <c r="E20" s="11">
        <f t="array" ref="E20">SUM(IF(F20:AU20="R2",1,0))</f>
        <v>0</v>
      </c>
      <c r="AV20" s="91"/>
      <c r="AW20" s="91"/>
      <c r="AX20" s="91"/>
      <c r="AY20" s="91"/>
    </row>
    <row r="21" hidden="1">
      <c r="A21" s="9" t="s">
        <v>227</v>
      </c>
      <c r="B21" s="10">
        <f t="shared" ref="B21:B22" si="6">SUM(C21:D21)</f>
        <v>0</v>
      </c>
      <c r="C21" s="10">
        <f t="shared" si="4"/>
        <v>0</v>
      </c>
      <c r="D21" s="11">
        <f t="array" ref="D21">SUM(IF(F21:AU21="R",1,0))</f>
        <v>0</v>
      </c>
      <c r="E21" s="11">
        <f t="array" ref="E21">SUM(IF(F21:AU21="R2",1,0))</f>
        <v>0</v>
      </c>
      <c r="AV21" s="91"/>
      <c r="AW21" s="91"/>
      <c r="AX21" s="91"/>
      <c r="AY21" s="91"/>
    </row>
    <row r="22">
      <c r="A22" s="9" t="s">
        <v>178</v>
      </c>
      <c r="B22" s="10">
        <f t="shared" si="6"/>
        <v>3</v>
      </c>
      <c r="C22" s="10">
        <f t="shared" si="4"/>
        <v>1</v>
      </c>
      <c r="D22" s="11">
        <f t="array" ref="D22">SUM(IF(F22:AU22="R",1,0))</f>
        <v>2</v>
      </c>
      <c r="E22" s="11">
        <f t="array" ref="E22">SUM(IF(F22:AU22="R2",1,0))</f>
        <v>2</v>
      </c>
      <c r="F22" s="17"/>
      <c r="G22" s="17"/>
      <c r="I22" s="17"/>
      <c r="K22" s="17"/>
      <c r="M22" s="17" t="s">
        <v>39</v>
      </c>
      <c r="O22" s="17"/>
      <c r="R22" s="17"/>
      <c r="S22" s="17"/>
      <c r="T22" s="17">
        <v>1.0</v>
      </c>
      <c r="Y22" s="17" t="s">
        <v>39</v>
      </c>
      <c r="AE22" s="17" t="s">
        <v>40</v>
      </c>
      <c r="AI22" s="17" t="s">
        <v>40</v>
      </c>
      <c r="AL22" s="17"/>
      <c r="AV22" s="91"/>
      <c r="AW22" s="91"/>
      <c r="AX22" s="91"/>
      <c r="AY22" s="91"/>
    </row>
    <row r="23" hidden="1">
      <c r="A23" s="62" t="s">
        <v>199</v>
      </c>
      <c r="B23" s="10"/>
      <c r="C23" s="10">
        <f t="shared" si="4"/>
        <v>0</v>
      </c>
      <c r="D23" s="11">
        <f t="array" ref="D23">SUM(IF(F23:AU23="R",1,0))</f>
        <v>0</v>
      </c>
      <c r="E23" s="11">
        <f t="array" ref="E23">SUM(IF(F23:AU23="R2",1,0))</f>
        <v>0</v>
      </c>
      <c r="M23" s="17"/>
      <c r="R23" s="17"/>
      <c r="T23" s="17"/>
      <c r="U23" s="17"/>
      <c r="Y23" s="17"/>
      <c r="AE23" s="17"/>
      <c r="AK23" s="17"/>
      <c r="AV23" s="91"/>
      <c r="AW23" s="91"/>
      <c r="AX23" s="91"/>
      <c r="AY23" s="91"/>
    </row>
    <row r="24" hidden="1">
      <c r="A24" s="62" t="s">
        <v>200</v>
      </c>
      <c r="B24" s="10">
        <f>SUM(C24:D24)</f>
        <v>0</v>
      </c>
      <c r="C24" s="10">
        <f t="shared" si="4"/>
        <v>0</v>
      </c>
      <c r="D24" s="11">
        <f t="array" ref="D24">SUM(IF(F24:AU24="R",1,0))</f>
        <v>0</v>
      </c>
      <c r="E24" s="11">
        <f t="array" ref="E24">SUM(IF(F24:AU24="R2",1,0))</f>
        <v>0</v>
      </c>
      <c r="S24" s="17"/>
      <c r="X24" s="17"/>
      <c r="AA24" s="17"/>
      <c r="AC24" s="17"/>
      <c r="AF24" s="17"/>
      <c r="AV24" s="91"/>
      <c r="AW24" s="91"/>
      <c r="AX24" s="91"/>
      <c r="AY24" s="91"/>
    </row>
    <row r="25">
      <c r="A25" s="62" t="s">
        <v>368</v>
      </c>
      <c r="B25" s="10"/>
      <c r="C25" s="10">
        <f t="shared" si="4"/>
        <v>1</v>
      </c>
      <c r="D25" s="11">
        <f t="array" ref="D25">SUM(IF(F25:AU25="R",1,0))</f>
        <v>2</v>
      </c>
      <c r="E25" s="11">
        <f t="array" ref="E25">SUM(IF(F25:AU25="R2",1,0))</f>
        <v>2</v>
      </c>
      <c r="J25" s="17">
        <v>1.0</v>
      </c>
      <c r="N25" s="17" t="s">
        <v>39</v>
      </c>
      <c r="T25" s="17"/>
      <c r="V25" s="17" t="s">
        <v>40</v>
      </c>
      <c r="W25" s="17"/>
      <c r="Z25" s="17" t="s">
        <v>39</v>
      </c>
      <c r="AG25" s="17"/>
      <c r="AN25" s="17" t="s">
        <v>40</v>
      </c>
      <c r="AR25" s="17"/>
      <c r="AV25" s="91"/>
      <c r="AW25" s="91"/>
      <c r="AX25" s="91"/>
      <c r="AY25" s="91"/>
    </row>
    <row r="26">
      <c r="A26" s="62" t="s">
        <v>289</v>
      </c>
      <c r="B26" s="10">
        <f>SUM(C26:D26)</f>
        <v>4</v>
      </c>
      <c r="C26" s="10">
        <f t="shared" si="4"/>
        <v>2</v>
      </c>
      <c r="D26" s="11">
        <f t="array" ref="D26">SUM(IF(F26:AU26="R",1,0))</f>
        <v>2</v>
      </c>
      <c r="E26" s="11">
        <f t="array" ref="E26">SUM(IF(F26:AU26="R2",1,0))</f>
        <v>3</v>
      </c>
      <c r="F26" s="17"/>
      <c r="K26" s="17" t="s">
        <v>40</v>
      </c>
      <c r="N26" s="17"/>
      <c r="O26" s="17" t="s">
        <v>39</v>
      </c>
      <c r="V26" s="17"/>
      <c r="W26" s="17" t="s">
        <v>40</v>
      </c>
      <c r="Z26" s="17">
        <v>1.0</v>
      </c>
      <c r="AF26" s="17" t="s">
        <v>40</v>
      </c>
      <c r="AH26" s="17"/>
      <c r="AJ26" s="17" t="s">
        <v>39</v>
      </c>
      <c r="AM26" s="17">
        <v>1.0</v>
      </c>
      <c r="AV26" s="91"/>
      <c r="AW26" s="91"/>
      <c r="AX26" s="91"/>
      <c r="AY26" s="91"/>
    </row>
    <row r="27">
      <c r="A27" s="62" t="s">
        <v>175</v>
      </c>
      <c r="B27" s="10"/>
      <c r="C27" s="10">
        <f t="shared" si="4"/>
        <v>2</v>
      </c>
      <c r="D27" s="11">
        <f t="array" ref="D27">SUM(IF(F27:AU27="R",1,0))</f>
        <v>2</v>
      </c>
      <c r="E27" s="11">
        <f t="array" ref="E27">SUM(IF(F27:AU27="R2",1,0))</f>
        <v>3</v>
      </c>
      <c r="M27" s="17" t="s">
        <v>40</v>
      </c>
      <c r="O27" s="17"/>
      <c r="P27" s="17" t="s">
        <v>39</v>
      </c>
      <c r="U27" s="17" t="s">
        <v>40</v>
      </c>
      <c r="V27" s="17"/>
      <c r="X27" s="17" t="s">
        <v>39</v>
      </c>
      <c r="AB27" s="17"/>
      <c r="AE27" s="17">
        <v>1.0</v>
      </c>
      <c r="AH27" s="17"/>
      <c r="AL27" s="17" t="s">
        <v>40</v>
      </c>
      <c r="AM27" s="17"/>
      <c r="AU27" s="17">
        <v>1.0</v>
      </c>
      <c r="AV27" s="91"/>
      <c r="AW27" s="91"/>
      <c r="AX27" s="91"/>
      <c r="AY27" s="91"/>
    </row>
    <row r="28">
      <c r="A28" s="62" t="s">
        <v>369</v>
      </c>
      <c r="B28" s="10">
        <f t="shared" ref="B28:B30" si="7">SUM(C28:D28)</f>
        <v>4</v>
      </c>
      <c r="C28" s="10">
        <f t="shared" si="4"/>
        <v>2</v>
      </c>
      <c r="D28" s="11">
        <f t="array" ref="D28">SUM(IF(F28:AU28="R",1,0))</f>
        <v>2</v>
      </c>
      <c r="E28" s="11">
        <f t="array" ref="E28">SUM(IF(F28:AU28="R2",1,0))</f>
        <v>1</v>
      </c>
      <c r="F28" s="16"/>
      <c r="G28" s="16"/>
      <c r="H28" s="16"/>
      <c r="I28" s="16"/>
      <c r="J28" s="16"/>
      <c r="K28" s="16"/>
      <c r="L28" s="16"/>
      <c r="M28" s="16"/>
      <c r="N28" s="16"/>
      <c r="O28" s="16"/>
      <c r="P28" s="16"/>
      <c r="Q28" s="16"/>
      <c r="R28" s="16"/>
      <c r="S28" s="16"/>
      <c r="T28" s="16"/>
      <c r="U28" s="16"/>
      <c r="W28" s="17"/>
      <c r="AA28" s="17" t="s">
        <v>39</v>
      </c>
      <c r="AD28" s="17" t="s">
        <v>40</v>
      </c>
      <c r="AF28" s="17">
        <v>1.0</v>
      </c>
      <c r="AI28" s="17"/>
      <c r="AJ28" s="17">
        <v>1.0</v>
      </c>
      <c r="AT28" s="17" t="s">
        <v>39</v>
      </c>
      <c r="AV28" s="91"/>
      <c r="AW28" s="91"/>
      <c r="AX28" s="91"/>
      <c r="AY28" s="91"/>
    </row>
    <row r="29" hidden="1">
      <c r="A29" s="20" t="s">
        <v>228</v>
      </c>
      <c r="B29" s="10">
        <f t="shared" si="7"/>
        <v>0</v>
      </c>
      <c r="C29" s="10">
        <f t="shared" si="4"/>
        <v>0</v>
      </c>
      <c r="D29" s="11">
        <f t="array" ref="D29">SUM(IF(F29:AU29="R",1,0))</f>
        <v>0</v>
      </c>
      <c r="E29" s="11">
        <f t="array" ref="E29">SUM(IF(F29:AU29="R2",1,0))</f>
        <v>0</v>
      </c>
      <c r="K29" s="16"/>
      <c r="L29" s="16"/>
      <c r="AV29" s="91"/>
      <c r="AW29" s="91"/>
      <c r="AX29" s="91"/>
      <c r="AY29" s="91"/>
    </row>
    <row r="30" hidden="1">
      <c r="A30" s="20" t="s">
        <v>230</v>
      </c>
      <c r="B30" s="10">
        <f t="shared" si="7"/>
        <v>0</v>
      </c>
      <c r="C30" s="10">
        <f t="shared" si="4"/>
        <v>0</v>
      </c>
      <c r="D30" s="11">
        <f t="array" ref="D30">SUM(IF(F30:AU30="R",1,0))</f>
        <v>0</v>
      </c>
      <c r="E30" s="11">
        <f t="array" ref="E30">SUM(IF(F30:AU30="R2",1,0))</f>
        <v>0</v>
      </c>
      <c r="K30" s="16"/>
      <c r="L30" s="16"/>
      <c r="AV30" s="91"/>
      <c r="AW30" s="91"/>
      <c r="AX30" s="91"/>
      <c r="AY30" s="91"/>
    </row>
    <row r="31">
      <c r="A31" s="27" t="s">
        <v>259</v>
      </c>
      <c r="B31" s="10"/>
      <c r="C31" s="10">
        <f t="shared" si="4"/>
        <v>1</v>
      </c>
      <c r="D31" s="11">
        <f t="array" ref="D31">SUM(IF(F31:AU31="R",1,0))</f>
        <v>2</v>
      </c>
      <c r="E31" s="11">
        <f t="array" ref="E31">SUM(IF(F31:AU31="R2",1,0))</f>
        <v>2</v>
      </c>
      <c r="G31" s="17" t="s">
        <v>40</v>
      </c>
      <c r="H31" s="16"/>
      <c r="K31" s="16"/>
      <c r="L31" s="16"/>
      <c r="M31" s="16"/>
      <c r="Q31" s="17" t="s">
        <v>39</v>
      </c>
      <c r="R31" s="17"/>
      <c r="W31" s="17" t="s">
        <v>39</v>
      </c>
      <c r="X31" s="21"/>
      <c r="Y31" s="16"/>
      <c r="Z31" s="16"/>
      <c r="AC31" s="17">
        <v>1.0</v>
      </c>
      <c r="AK31" s="17" t="s">
        <v>40</v>
      </c>
      <c r="AV31" s="91"/>
      <c r="AW31" s="91"/>
      <c r="AX31" s="91"/>
      <c r="AY31" s="91"/>
    </row>
    <row r="32" hidden="1">
      <c r="A32" s="17" t="s">
        <v>291</v>
      </c>
      <c r="B32" s="10" t="str">
        <f>SUM(B4:B38)</f>
        <v>#REF!</v>
      </c>
      <c r="C32" s="10">
        <f t="shared" si="4"/>
        <v>0</v>
      </c>
      <c r="D32" s="11">
        <f t="array" ref="D32">SUM(IF(F32:AU32="R",1,0))</f>
        <v>0</v>
      </c>
      <c r="E32" s="11">
        <f t="array" ref="E32">SUM(IF(F32:AU32="R2",1,0))</f>
        <v>0</v>
      </c>
      <c r="AV32" s="91"/>
      <c r="AW32" s="91"/>
      <c r="AX32" s="91"/>
      <c r="AY32" s="91"/>
    </row>
    <row r="33">
      <c r="A33" s="27" t="s">
        <v>149</v>
      </c>
      <c r="B33" s="28">
        <f t="shared" ref="B33:B34" si="8">SUM(F33:AS33)</f>
        <v>2</v>
      </c>
      <c r="C33" s="10">
        <f t="shared" si="4"/>
        <v>2</v>
      </c>
      <c r="D33" s="11">
        <f t="array" ref="D33">SUM(IF(F33:AU33="R",1,0))</f>
        <v>2</v>
      </c>
      <c r="E33" s="11">
        <f t="array" ref="E33">SUM(IF(F33:AU33="R2",1,0))</f>
        <v>2</v>
      </c>
      <c r="F33" s="16"/>
      <c r="J33" s="17" t="s">
        <v>40</v>
      </c>
      <c r="M33" s="16"/>
      <c r="N33" s="16"/>
      <c r="O33" s="17"/>
      <c r="P33" s="17">
        <v>1.0</v>
      </c>
      <c r="Q33" s="17"/>
      <c r="U33" s="17" t="s">
        <v>39</v>
      </c>
      <c r="V33" s="16"/>
      <c r="W33" s="16"/>
      <c r="X33" s="21"/>
      <c r="Y33" s="16"/>
      <c r="Z33" s="16"/>
      <c r="AA33" s="17"/>
      <c r="AE33" s="17"/>
      <c r="AF33" s="16"/>
      <c r="AG33" s="16"/>
      <c r="AJ33" s="16"/>
      <c r="AM33" s="17" t="s">
        <v>40</v>
      </c>
      <c r="AP33" s="17">
        <v>1.0</v>
      </c>
      <c r="AU33" s="17" t="s">
        <v>39</v>
      </c>
      <c r="AV33" s="96"/>
      <c r="AW33" s="96"/>
      <c r="AX33" s="96"/>
      <c r="AY33" s="96"/>
    </row>
    <row r="34">
      <c r="A34" s="27" t="s">
        <v>229</v>
      </c>
      <c r="B34" s="28">
        <f t="shared" si="8"/>
        <v>1</v>
      </c>
      <c r="C34" s="10">
        <f t="shared" si="4"/>
        <v>1</v>
      </c>
      <c r="D34" s="11">
        <f t="array" ref="D34">SUM(IF(F34:AU34="R",1,0))</f>
        <v>2</v>
      </c>
      <c r="E34" s="11">
        <f t="array" ref="E34">SUM(IF(F34:AU34="R2",1,0))</f>
        <v>2</v>
      </c>
      <c r="I34" s="17" t="s">
        <v>40</v>
      </c>
      <c r="L34" s="17"/>
      <c r="M34" s="21"/>
      <c r="N34" s="16"/>
      <c r="P34" s="17"/>
      <c r="R34" s="17" t="s">
        <v>39</v>
      </c>
      <c r="T34" s="17"/>
      <c r="U34" s="17">
        <v>1.0</v>
      </c>
      <c r="V34" s="16"/>
      <c r="W34" s="16"/>
      <c r="X34" s="16"/>
      <c r="Y34" s="16"/>
      <c r="Z34" s="16"/>
      <c r="AD34" s="17"/>
      <c r="AG34" s="17"/>
      <c r="AJ34" s="16"/>
      <c r="AM34" s="17"/>
      <c r="AO34" s="17" t="s">
        <v>39</v>
      </c>
      <c r="AR34" s="17" t="s">
        <v>40</v>
      </c>
      <c r="AV34" s="96"/>
      <c r="AW34" s="96"/>
      <c r="AX34" s="96"/>
      <c r="AY34" s="96"/>
    </row>
    <row r="35">
      <c r="A35" s="44" t="s">
        <v>292</v>
      </c>
      <c r="C35" s="10">
        <f t="shared" si="4"/>
        <v>2</v>
      </c>
      <c r="D35" s="11">
        <f t="array" ref="D35">SUM(IF(F35:AU35="R",1,0))</f>
        <v>2</v>
      </c>
      <c r="E35" s="11">
        <f t="array" ref="E35">SUM(IF(F35:AU35="R2",1,0))</f>
        <v>2</v>
      </c>
      <c r="F35" s="85"/>
      <c r="G35" s="86"/>
      <c r="H35" s="86"/>
      <c r="I35" s="98"/>
      <c r="J35" s="86"/>
      <c r="K35" s="85"/>
      <c r="L35" s="85"/>
      <c r="M35" s="79"/>
      <c r="N35" s="79"/>
      <c r="O35" s="85"/>
      <c r="P35" s="85"/>
      <c r="Q35" s="79"/>
      <c r="R35" s="86"/>
      <c r="S35" s="86" t="s">
        <v>39</v>
      </c>
      <c r="T35" s="85"/>
      <c r="U35" s="85"/>
      <c r="V35" s="85"/>
      <c r="W35" s="86">
        <v>1.0</v>
      </c>
      <c r="X35" s="85"/>
      <c r="Y35" s="85"/>
      <c r="Z35" s="86" t="s">
        <v>40</v>
      </c>
      <c r="AA35" s="85"/>
      <c r="AB35" s="85"/>
      <c r="AC35" s="86" t="s">
        <v>39</v>
      </c>
      <c r="AD35" s="85"/>
      <c r="AE35" s="86"/>
      <c r="AF35" s="86"/>
      <c r="AG35" s="85"/>
      <c r="AH35" s="86">
        <v>1.0</v>
      </c>
      <c r="AI35" s="86"/>
      <c r="AJ35" s="79"/>
      <c r="AK35" s="85"/>
      <c r="AL35" s="86"/>
      <c r="AM35" s="85"/>
      <c r="AN35" s="86"/>
      <c r="AO35" s="86"/>
      <c r="AP35" s="85"/>
      <c r="AQ35" s="85"/>
      <c r="AR35" s="85"/>
      <c r="AS35" s="86" t="s">
        <v>40</v>
      </c>
      <c r="AT35" s="85"/>
      <c r="AU35" s="86"/>
      <c r="AV35" s="96"/>
      <c r="AW35" s="96"/>
      <c r="AX35" s="96"/>
      <c r="AY35" s="96"/>
    </row>
    <row r="36">
      <c r="A36" s="44" t="s">
        <v>337</v>
      </c>
      <c r="C36" s="10">
        <f t="shared" si="4"/>
        <v>2</v>
      </c>
      <c r="D36" s="11">
        <f t="array" ref="D36">SUM(IF(F36:AU36="R",1,0))</f>
        <v>2</v>
      </c>
      <c r="E36" s="11">
        <f t="array" ref="E36">SUM(IF(G36:AV36="R2",1,0))</f>
        <v>2</v>
      </c>
      <c r="F36" s="85"/>
      <c r="G36" s="86"/>
      <c r="H36" s="98"/>
      <c r="I36" s="86">
        <v>1.0</v>
      </c>
      <c r="J36" s="86"/>
      <c r="K36" s="86"/>
      <c r="L36" s="86"/>
      <c r="M36" s="79"/>
      <c r="N36" s="79"/>
      <c r="O36" s="85"/>
      <c r="P36" s="85"/>
      <c r="Q36" s="79"/>
      <c r="R36" s="86"/>
      <c r="S36" s="86">
        <v>1.0</v>
      </c>
      <c r="T36" s="85"/>
      <c r="U36" s="85"/>
      <c r="V36" s="86" t="s">
        <v>39</v>
      </c>
      <c r="W36" s="85"/>
      <c r="X36" s="85"/>
      <c r="Y36" s="86" t="s">
        <v>40</v>
      </c>
      <c r="Z36" s="85"/>
      <c r="AA36" s="85"/>
      <c r="AB36" s="86"/>
      <c r="AC36" s="85"/>
      <c r="AD36" s="85"/>
      <c r="AE36" s="86"/>
      <c r="AF36" s="86"/>
      <c r="AG36" s="85"/>
      <c r="AH36" s="79"/>
      <c r="AI36" s="85"/>
      <c r="AJ36" s="79"/>
      <c r="AK36" s="85"/>
      <c r="AL36" s="85"/>
      <c r="AM36" s="85"/>
      <c r="AN36" s="86" t="s">
        <v>39</v>
      </c>
      <c r="AO36" s="85"/>
      <c r="AP36" s="86"/>
      <c r="AQ36" s="85"/>
      <c r="AR36" s="85"/>
      <c r="AS36" s="85"/>
      <c r="AT36" s="86" t="s">
        <v>40</v>
      </c>
      <c r="AU36" s="86"/>
      <c r="AV36" s="96"/>
      <c r="AW36" s="96"/>
      <c r="AX36" s="96"/>
      <c r="AY36" s="96"/>
    </row>
    <row r="37">
      <c r="A37" s="44" t="s">
        <v>338</v>
      </c>
      <c r="C37" s="10">
        <f t="shared" si="4"/>
        <v>2</v>
      </c>
      <c r="D37" s="11">
        <f t="array" ref="D37">SUM(IF(F37:AU37="R",1,0))</f>
        <v>2</v>
      </c>
      <c r="E37" s="11">
        <f t="array" ref="E37">SUM(IF(G37:AV37="R2",1,0))</f>
        <v>3</v>
      </c>
      <c r="F37" s="86"/>
      <c r="G37" s="86"/>
      <c r="H37" s="86" t="s">
        <v>40</v>
      </c>
      <c r="I37" s="86"/>
      <c r="J37" s="86"/>
      <c r="K37" s="85"/>
      <c r="L37" s="85"/>
      <c r="M37" s="86">
        <v>1.0</v>
      </c>
      <c r="O37" s="85"/>
      <c r="P37" s="85"/>
      <c r="Q37" s="85"/>
      <c r="R37" s="86"/>
      <c r="S37" s="85"/>
      <c r="T37" s="86" t="s">
        <v>39</v>
      </c>
      <c r="U37" s="85"/>
      <c r="V37" s="85"/>
      <c r="W37" s="85"/>
      <c r="X37" s="86" t="s">
        <v>40</v>
      </c>
      <c r="Y37" s="85"/>
      <c r="Z37" s="85"/>
      <c r="AA37" s="85"/>
      <c r="AB37" s="85"/>
      <c r="AC37" s="85"/>
      <c r="AD37" s="86"/>
      <c r="AE37" s="86"/>
      <c r="AF37" s="86"/>
      <c r="AG37" s="85"/>
      <c r="AH37" s="85"/>
      <c r="AI37" s="85"/>
      <c r="AJ37" s="85"/>
      <c r="AK37" s="86"/>
      <c r="AL37" s="86" t="s">
        <v>39</v>
      </c>
      <c r="AM37" s="85"/>
      <c r="AN37" s="86">
        <v>1.0</v>
      </c>
      <c r="AO37" s="85"/>
      <c r="AP37" s="86"/>
      <c r="AQ37" s="85"/>
      <c r="AR37" s="85"/>
      <c r="AS37" s="85"/>
      <c r="AT37" s="85"/>
      <c r="AU37" s="86" t="s">
        <v>40</v>
      </c>
      <c r="AV37" s="96"/>
      <c r="AW37" s="96"/>
      <c r="AX37" s="96"/>
      <c r="AY37" s="96"/>
    </row>
    <row r="38">
      <c r="A38" s="26" t="s">
        <v>46</v>
      </c>
      <c r="B38" s="10">
        <f>SUM(C38:D38)</f>
        <v>3</v>
      </c>
      <c r="C38" s="10">
        <f t="shared" si="4"/>
        <v>2</v>
      </c>
      <c r="D38" s="11">
        <f t="array" ref="D38">SUM(IF(F38:AU38="R",1,0))</f>
        <v>1</v>
      </c>
      <c r="E38" s="11">
        <f t="array" ref="E38">SUM(IF(F38:AU38="R2",1,0))</f>
        <v>0</v>
      </c>
      <c r="F38" s="17" t="s">
        <v>39</v>
      </c>
      <c r="G38" s="61"/>
      <c r="H38" s="61"/>
      <c r="I38" s="16"/>
      <c r="J38" s="16"/>
      <c r="K38" s="16"/>
      <c r="L38" s="16"/>
      <c r="M38" s="16"/>
      <c r="N38" s="16"/>
      <c r="O38" s="16"/>
      <c r="P38" s="16"/>
      <c r="Q38" s="16"/>
      <c r="R38" s="16"/>
      <c r="S38" s="16"/>
      <c r="T38" s="16"/>
      <c r="U38" s="16"/>
      <c r="V38" s="16"/>
      <c r="W38" s="16"/>
      <c r="X38" s="16"/>
      <c r="Y38" s="16"/>
      <c r="Z38" s="61"/>
      <c r="AA38" s="61"/>
      <c r="AC38" s="61"/>
      <c r="AD38" s="17">
        <v>1.0</v>
      </c>
      <c r="AE38" s="61"/>
      <c r="AF38" s="61"/>
      <c r="AG38" s="61"/>
      <c r="AH38" s="61"/>
      <c r="AI38" s="61"/>
      <c r="AJ38" s="61"/>
      <c r="AL38" s="61"/>
      <c r="AN38" s="61"/>
      <c r="AO38" s="61"/>
      <c r="AP38" s="61"/>
      <c r="AQ38" s="61"/>
      <c r="AR38" s="61"/>
      <c r="AS38" s="61"/>
      <c r="AT38" s="17">
        <v>1.0</v>
      </c>
      <c r="AU38" s="61"/>
      <c r="AV38" s="90"/>
      <c r="AW38" s="90"/>
      <c r="AX38" s="90"/>
      <c r="AY38" s="90"/>
    </row>
    <row r="39" hidden="1">
      <c r="A39" s="26" t="s">
        <v>201</v>
      </c>
      <c r="C39" s="10">
        <f t="shared" si="4"/>
        <v>0</v>
      </c>
      <c r="D39" s="11">
        <f t="array" ref="D39">SUM(IF(F39:AU39="R",1,0))</f>
        <v>0</v>
      </c>
      <c r="E39" s="11">
        <f t="array" ref="E39">SUM(IF(F39:AU39="R2",1,0))</f>
        <v>0</v>
      </c>
      <c r="F39" s="86"/>
      <c r="G39" s="85"/>
      <c r="H39" s="86"/>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6"/>
      <c r="AH39" s="85"/>
      <c r="AI39" s="86"/>
      <c r="AJ39" s="85"/>
      <c r="AK39" s="85"/>
      <c r="AL39" s="85"/>
      <c r="AM39" s="85"/>
      <c r="AN39" s="85"/>
      <c r="AO39" s="86"/>
      <c r="AP39" s="86"/>
      <c r="AQ39" s="86"/>
      <c r="AR39" s="86"/>
      <c r="AS39" s="86"/>
      <c r="AT39" s="86"/>
      <c r="AU39" s="86"/>
      <c r="AV39" s="11"/>
      <c r="AW39" s="11"/>
      <c r="AX39" s="11"/>
      <c r="AY39" s="11"/>
    </row>
    <row r="40">
      <c r="A40" s="17" t="s">
        <v>68</v>
      </c>
      <c r="C40" s="10">
        <f t="shared" si="4"/>
        <v>42</v>
      </c>
      <c r="D40" s="11"/>
      <c r="E40" s="11"/>
      <c r="F40" s="28">
        <f t="shared" ref="F40:AY40" si="9">SUM(F3:F39)</f>
        <v>1</v>
      </c>
      <c r="G40" s="28">
        <f t="shared" si="9"/>
        <v>1</v>
      </c>
      <c r="H40" s="28">
        <f t="shared" si="9"/>
        <v>1</v>
      </c>
      <c r="I40" s="28">
        <f t="shared" si="9"/>
        <v>1</v>
      </c>
      <c r="J40" s="28">
        <f t="shared" si="9"/>
        <v>1</v>
      </c>
      <c r="K40" s="28">
        <f t="shared" si="9"/>
        <v>1</v>
      </c>
      <c r="L40" s="28">
        <f t="shared" si="9"/>
        <v>1</v>
      </c>
      <c r="M40" s="28">
        <f t="shared" si="9"/>
        <v>1</v>
      </c>
      <c r="N40" s="28">
        <f t="shared" si="9"/>
        <v>1</v>
      </c>
      <c r="O40" s="28">
        <f t="shared" si="9"/>
        <v>1</v>
      </c>
      <c r="P40" s="28">
        <f t="shared" si="9"/>
        <v>1</v>
      </c>
      <c r="Q40" s="28">
        <f t="shared" si="9"/>
        <v>1</v>
      </c>
      <c r="R40" s="28">
        <f t="shared" si="9"/>
        <v>1</v>
      </c>
      <c r="S40" s="28">
        <f t="shared" si="9"/>
        <v>1</v>
      </c>
      <c r="T40" s="28">
        <f t="shared" si="9"/>
        <v>1</v>
      </c>
      <c r="U40" s="28">
        <f t="shared" si="9"/>
        <v>1</v>
      </c>
      <c r="V40" s="28">
        <f t="shared" si="9"/>
        <v>1</v>
      </c>
      <c r="W40" s="28">
        <f t="shared" si="9"/>
        <v>1</v>
      </c>
      <c r="X40" s="28">
        <f t="shared" si="9"/>
        <v>1</v>
      </c>
      <c r="Y40" s="28">
        <f t="shared" si="9"/>
        <v>1</v>
      </c>
      <c r="Z40" s="28">
        <f t="shared" si="9"/>
        <v>1</v>
      </c>
      <c r="AA40" s="28">
        <f t="shared" si="9"/>
        <v>1</v>
      </c>
      <c r="AB40" s="28">
        <f t="shared" si="9"/>
        <v>1</v>
      </c>
      <c r="AC40" s="28">
        <f t="shared" si="9"/>
        <v>1</v>
      </c>
      <c r="AD40" s="28">
        <f t="shared" si="9"/>
        <v>1</v>
      </c>
      <c r="AE40" s="28">
        <f t="shared" si="9"/>
        <v>1</v>
      </c>
      <c r="AF40" s="28">
        <f t="shared" si="9"/>
        <v>1</v>
      </c>
      <c r="AG40" s="28">
        <f t="shared" si="9"/>
        <v>1</v>
      </c>
      <c r="AH40" s="28">
        <f t="shared" si="9"/>
        <v>1</v>
      </c>
      <c r="AI40" s="28">
        <f t="shared" si="9"/>
        <v>1</v>
      </c>
      <c r="AJ40" s="28">
        <f t="shared" si="9"/>
        <v>1</v>
      </c>
      <c r="AK40" s="28">
        <f t="shared" si="9"/>
        <v>1</v>
      </c>
      <c r="AL40" s="28">
        <f t="shared" si="9"/>
        <v>1</v>
      </c>
      <c r="AM40" s="28">
        <f t="shared" si="9"/>
        <v>1</v>
      </c>
      <c r="AN40" s="28">
        <f t="shared" si="9"/>
        <v>1</v>
      </c>
      <c r="AO40" s="28">
        <f t="shared" si="9"/>
        <v>1</v>
      </c>
      <c r="AP40" s="28">
        <f t="shared" si="9"/>
        <v>1</v>
      </c>
      <c r="AQ40" s="28">
        <f t="shared" si="9"/>
        <v>1</v>
      </c>
      <c r="AR40" s="28">
        <f t="shared" si="9"/>
        <v>1</v>
      </c>
      <c r="AS40" s="28">
        <f t="shared" si="9"/>
        <v>1</v>
      </c>
      <c r="AT40" s="28">
        <f t="shared" si="9"/>
        <v>1</v>
      </c>
      <c r="AU40" s="28">
        <f t="shared" si="9"/>
        <v>1</v>
      </c>
      <c r="AV40" s="28">
        <f t="shared" si="9"/>
        <v>0</v>
      </c>
      <c r="AW40" s="28">
        <f t="shared" si="9"/>
        <v>0</v>
      </c>
      <c r="AX40" s="28">
        <f t="shared" si="9"/>
        <v>0</v>
      </c>
      <c r="AY40" s="28">
        <f t="shared" si="9"/>
        <v>0</v>
      </c>
    </row>
    <row r="41">
      <c r="A41" s="17" t="s">
        <v>69</v>
      </c>
      <c r="C41" s="10">
        <f t="shared" si="4"/>
        <v>42</v>
      </c>
      <c r="D41" s="11"/>
      <c r="E41" s="11"/>
      <c r="F41" s="11">
        <f t="array" ref="F41">SUM(IF(F3:F39="R",1,0))</f>
        <v>1</v>
      </c>
      <c r="G41" s="11">
        <f t="array" ref="G41">SUM(IF(G3:G39="R",1,0))</f>
        <v>1</v>
      </c>
      <c r="H41" s="11">
        <f t="array" ref="H41">SUM(IF(H3:H39="R",1,0))</f>
        <v>1</v>
      </c>
      <c r="I41" s="11">
        <f t="array" ref="I41">SUM(IF(I3:I39="R",1,0))</f>
        <v>1</v>
      </c>
      <c r="J41" s="11">
        <f t="array" ref="J41">SUM(IF(J3:J39="R",1,0))</f>
        <v>1</v>
      </c>
      <c r="K41" s="11">
        <f t="array" ref="K41">SUM(IF(K3:K39="R",1,0))</f>
        <v>1</v>
      </c>
      <c r="L41" s="11">
        <f t="array" ref="L41">SUM(IF(L3:L39="R",1,0))</f>
        <v>1</v>
      </c>
      <c r="M41" s="11">
        <f t="array" ref="M41">SUM(IF(M3:M39="R",1,0))</f>
        <v>1</v>
      </c>
      <c r="N41" s="11">
        <f t="array" ref="N41">SUM(IF(N3:N39="R",1,0))</f>
        <v>1</v>
      </c>
      <c r="O41" s="11">
        <f t="array" ref="O41">SUM(IF(O3:O39="R",1,0))</f>
        <v>1</v>
      </c>
      <c r="P41" s="11">
        <f t="array" ref="P41">SUM(IF(P3:P39="R",1,0))</f>
        <v>1</v>
      </c>
      <c r="Q41" s="11">
        <f t="array" ref="Q41">SUM(IF(Q3:Q39="R",1,0))</f>
        <v>1</v>
      </c>
      <c r="R41" s="11">
        <f t="array" ref="R41">SUM(IF(R3:R39="R",1,0))</f>
        <v>1</v>
      </c>
      <c r="S41" s="11">
        <f t="array" ref="S41">SUM(IF(S3:S39="R",1,0))</f>
        <v>1</v>
      </c>
      <c r="T41" s="11">
        <f t="array" ref="T41">SUM(IF(T3:T39="R",1,0))</f>
        <v>1</v>
      </c>
      <c r="U41" s="11">
        <f t="array" ref="U41">SUM(IF(U3:U39="R",1,0))</f>
        <v>1</v>
      </c>
      <c r="V41" s="11">
        <f t="array" ref="V41">SUM(IF(V3:V39="R",1,0))</f>
        <v>1</v>
      </c>
      <c r="W41" s="11">
        <f t="array" ref="W41">SUM(IF(W3:W39="R",1,0))</f>
        <v>1</v>
      </c>
      <c r="X41" s="11">
        <f t="array" ref="X41">SUM(IF(X3:X39="R",1,0))</f>
        <v>1</v>
      </c>
      <c r="Y41" s="11">
        <f t="array" ref="Y41">SUM(IF(Y3:Y39="R",1,0))</f>
        <v>1</v>
      </c>
      <c r="Z41" s="11">
        <f t="array" ref="Z41">SUM(IF(Z3:Z39="R",1,0))</f>
        <v>1</v>
      </c>
      <c r="AA41" s="11">
        <f t="array" ref="AA41">SUM(IF(AA3:AA39="R",1,0))</f>
        <v>1</v>
      </c>
      <c r="AB41" s="11">
        <f t="array" ref="AB41">SUM(IF(AB3:AB39="R",1,0))</f>
        <v>1</v>
      </c>
      <c r="AC41" s="11">
        <f t="array" ref="AC41">SUM(IF(AC3:AC39="R",1,0))</f>
        <v>1</v>
      </c>
      <c r="AD41" s="11">
        <f t="array" ref="AD41">SUM(IF(AD3:AD39="R",1,0))</f>
        <v>1</v>
      </c>
      <c r="AE41" s="11">
        <f t="array" ref="AE41">SUM(IF(AE3:AE39="R",1,0))</f>
        <v>1</v>
      </c>
      <c r="AF41" s="11">
        <f t="array" ref="AF41">SUM(IF(AF3:AF39="R",1,0))</f>
        <v>1</v>
      </c>
      <c r="AG41" s="11">
        <f t="array" ref="AG41">SUM(IF(AG3:AG39="R",1,0))</f>
        <v>1</v>
      </c>
      <c r="AH41" s="11">
        <f t="array" ref="AH41">SUM(IF(AH3:AH39="R",1,0))</f>
        <v>1</v>
      </c>
      <c r="AI41" s="11">
        <f t="array" ref="AI41">SUM(IF(AI3:AI39="R",1,0))</f>
        <v>1</v>
      </c>
      <c r="AJ41" s="11">
        <f t="array" ref="AJ41">SUM(IF(AJ3:AJ39="R",1,0))</f>
        <v>1</v>
      </c>
      <c r="AK41" s="11">
        <f t="array" ref="AK41">SUM(IF(AK3:AK39="R",1,0))</f>
        <v>1</v>
      </c>
      <c r="AL41" s="11">
        <f t="array" ref="AL41">SUM(IF(AL3:AL39="R",1,0))</f>
        <v>1</v>
      </c>
      <c r="AM41" s="11">
        <f t="array" ref="AM41">SUM(IF(AM3:AM39="R",1,0))</f>
        <v>1</v>
      </c>
      <c r="AN41" s="11">
        <f t="array" ref="AN41">SUM(IF(AN3:AN39="R",1,0))</f>
        <v>1</v>
      </c>
      <c r="AO41" s="11">
        <f t="array" ref="AO41">SUM(IF(AO3:AO39="R",1,0))</f>
        <v>1</v>
      </c>
      <c r="AP41" s="11">
        <f t="array" ref="AP41">SUM(IF(AP3:AP39="R",1,0))</f>
        <v>1</v>
      </c>
      <c r="AQ41" s="11">
        <f t="array" ref="AQ41">SUM(IF(AQ3:AQ39="R",1,0))</f>
        <v>1</v>
      </c>
      <c r="AR41" s="11">
        <f t="array" ref="AR41">SUM(IF(AR3:AR39="R",1,0))</f>
        <v>1</v>
      </c>
      <c r="AS41" s="11">
        <f t="array" ref="AS41">SUM(IF(AS3:AS39="R",1,0))</f>
        <v>1</v>
      </c>
      <c r="AT41" s="11">
        <f t="array" ref="AT41">SUM(IF(AT3:AT39="R",1,0))</f>
        <v>1</v>
      </c>
      <c r="AU41" s="11">
        <f t="array" ref="AU41">SUM(IF(AU3:AU39="R",1,0))</f>
        <v>1</v>
      </c>
      <c r="AV41" s="11">
        <f t="array" ref="AV41">SUM(IF(AV3:AV39="R",1,0))</f>
        <v>0</v>
      </c>
      <c r="AW41" s="11">
        <f t="array" ref="AW41">SUM(IF(AW3:AW39="R",1,0))</f>
        <v>0</v>
      </c>
      <c r="AX41" s="11">
        <f t="array" ref="AX41">SUM(IF(AX3:AX39="R",1,0))</f>
        <v>0</v>
      </c>
      <c r="AY41" s="11">
        <f t="array" ref="AY41">SUM(IF(AY3:AY39="R",1,0))</f>
        <v>0</v>
      </c>
    </row>
    <row r="42">
      <c r="A42" s="17" t="s">
        <v>70</v>
      </c>
      <c r="C42" s="10">
        <f t="shared" si="4"/>
        <v>42</v>
      </c>
      <c r="D42" s="11"/>
      <c r="E42" s="11"/>
      <c r="F42" s="11">
        <f t="array" ref="F42">SUM(IF(F3:F39="R2",1,0))</f>
        <v>1</v>
      </c>
      <c r="G42" s="11">
        <f t="array" ref="G42">SUM(IF(G3:G39="R2",1,0))</f>
        <v>1</v>
      </c>
      <c r="H42" s="11">
        <f t="array" ref="H42">SUM(IF(H3:H39="R2",1,0))</f>
        <v>1</v>
      </c>
      <c r="I42" s="11">
        <f t="array" ref="I42">SUM(IF(I3:I39="R2",1,0))</f>
        <v>1</v>
      </c>
      <c r="J42" s="11">
        <f t="array" ref="J42">SUM(IF(J3:J39="R2",1,0))</f>
        <v>1</v>
      </c>
      <c r="K42" s="11">
        <f t="array" ref="K42">SUM(IF(K3:K39="R2",1,0))</f>
        <v>1</v>
      </c>
      <c r="L42" s="11">
        <f t="array" ref="L42">SUM(IF(L3:L39="R2",1,0))</f>
        <v>1</v>
      </c>
      <c r="M42" s="11">
        <f t="array" ref="M42">SUM(IF(M3:M39="R2",1,0))</f>
        <v>1</v>
      </c>
      <c r="N42" s="11">
        <f t="array" ref="N42">SUM(IF(N3:N39="R2",1,0))</f>
        <v>1</v>
      </c>
      <c r="O42" s="11">
        <f t="array" ref="O42">SUM(IF(O3:O39="R2",1,0))</f>
        <v>1</v>
      </c>
      <c r="P42" s="11">
        <f t="array" ref="P42">SUM(IF(P3:P39="R2",1,0))</f>
        <v>1</v>
      </c>
      <c r="Q42" s="11">
        <f t="array" ref="Q42">SUM(IF(Q3:Q39="R2",1,0))</f>
        <v>1</v>
      </c>
      <c r="R42" s="11">
        <f t="array" ref="R42">SUM(IF(R3:R39="R2",1,0))</f>
        <v>1</v>
      </c>
      <c r="S42" s="11">
        <f t="array" ref="S42">SUM(IF(S3:S39="R2",1,0))</f>
        <v>1</v>
      </c>
      <c r="T42" s="11">
        <f t="array" ref="T42">SUM(IF(T3:T39="R2",1,0))</f>
        <v>1</v>
      </c>
      <c r="U42" s="11">
        <f t="array" ref="U42">SUM(IF(U3:U39="R2",1,0))</f>
        <v>1</v>
      </c>
      <c r="V42" s="11">
        <f t="array" ref="V42">SUM(IF(V3:V39="R2",1,0))</f>
        <v>1</v>
      </c>
      <c r="W42" s="11">
        <f t="array" ref="W42">SUM(IF(W3:W39="R2",1,0))</f>
        <v>1</v>
      </c>
      <c r="X42" s="11">
        <f t="array" ref="X42">SUM(IF(X3:X39="R2",1,0))</f>
        <v>1</v>
      </c>
      <c r="Y42" s="11">
        <f t="array" ref="Y42">SUM(IF(Y3:Y39="R2",1,0))</f>
        <v>1</v>
      </c>
      <c r="Z42" s="11">
        <f t="array" ref="Z42">SUM(IF(Z3:Z39="R2",1,0))</f>
        <v>1</v>
      </c>
      <c r="AA42" s="11">
        <f t="array" ref="AA42">SUM(IF(AA3:AA39="R2",1,0))</f>
        <v>1</v>
      </c>
      <c r="AB42" s="11">
        <f t="array" ref="AB42">SUM(IF(AB3:AB39="R2",1,0))</f>
        <v>1</v>
      </c>
      <c r="AC42" s="11">
        <f t="array" ref="AC42">SUM(IF(AC3:AC39="R2",1,0))</f>
        <v>1</v>
      </c>
      <c r="AD42" s="11">
        <f t="array" ref="AD42">SUM(IF(AD3:AD39="R2",1,0))</f>
        <v>1</v>
      </c>
      <c r="AE42" s="11">
        <f t="array" ref="AE42">SUM(IF(AE3:AE39="R2",1,0))</f>
        <v>1</v>
      </c>
      <c r="AF42" s="11">
        <f t="array" ref="AF42">SUM(IF(AF3:AF39="R2",1,0))</f>
        <v>1</v>
      </c>
      <c r="AG42" s="11">
        <f t="array" ref="AG42">SUM(IF(AG3:AG39="R2",1,0))</f>
        <v>1</v>
      </c>
      <c r="AH42" s="11">
        <f t="array" ref="AH42">SUM(IF(AH3:AH39="R2",1,0))</f>
        <v>1</v>
      </c>
      <c r="AI42" s="11">
        <f t="array" ref="AI42">SUM(IF(AI3:AI39="R2",1,0))</f>
        <v>1</v>
      </c>
      <c r="AJ42" s="11">
        <f t="array" ref="AJ42">SUM(IF(AJ3:AJ39="R2",1,0))</f>
        <v>1</v>
      </c>
      <c r="AK42" s="11">
        <f t="array" ref="AK42">SUM(IF(AK3:AK39="R2",1,0))</f>
        <v>1</v>
      </c>
      <c r="AL42" s="11">
        <f t="array" ref="AL42">SUM(IF(AL3:AL39="R2",1,0))</f>
        <v>1</v>
      </c>
      <c r="AM42" s="11">
        <f t="array" ref="AM42">SUM(IF(AM3:AM39="R2",1,0))</f>
        <v>1</v>
      </c>
      <c r="AN42" s="11">
        <f t="array" ref="AN42">SUM(IF(AN3:AN39="R2",1,0))</f>
        <v>1</v>
      </c>
      <c r="AO42" s="11">
        <f t="array" ref="AO42">SUM(IF(AO3:AO39="R2",1,0))</f>
        <v>1</v>
      </c>
      <c r="AP42" s="11">
        <f t="array" ref="AP42">SUM(IF(AP3:AP39="R2",1,0))</f>
        <v>1</v>
      </c>
      <c r="AQ42" s="11">
        <f t="array" ref="AQ42">SUM(IF(AQ3:AQ39="R2",1,0))</f>
        <v>1</v>
      </c>
      <c r="AR42" s="11">
        <f t="array" ref="AR42">SUM(IF(AR3:AR39="R2",1,0))</f>
        <v>1</v>
      </c>
      <c r="AS42" s="11">
        <f t="array" ref="AS42">SUM(IF(AS3:AS39="R2",1,0))</f>
        <v>1</v>
      </c>
      <c r="AT42" s="11">
        <f t="array" ref="AT42">SUM(IF(AT3:AT39="R2",1,0))</f>
        <v>1</v>
      </c>
      <c r="AU42" s="11">
        <f t="array" ref="AU42">SUM(IF(AU3:AU39="R2",1,0))</f>
        <v>1</v>
      </c>
      <c r="AV42" s="11">
        <f t="array" ref="AV42">SUM(IF(AV3:AV39="R2",1,0))</f>
        <v>0</v>
      </c>
      <c r="AW42" s="11">
        <f t="array" ref="AW42">SUM(IF(AW3:AW39="R2",1,0))</f>
        <v>0</v>
      </c>
      <c r="AX42" s="11">
        <f t="array" ref="AX42">SUM(IF(AX3:AX39="R2",1,0))</f>
        <v>0</v>
      </c>
      <c r="AY42" s="11">
        <f t="array" ref="AY42">SUM(IF(AY3:AY39="R2",1,0))</f>
        <v>0</v>
      </c>
    </row>
    <row r="43">
      <c r="E43" s="46" t="s">
        <v>71</v>
      </c>
      <c r="F43" s="29" t="str">
        <f t="shared" ref="F43:V43" si="10">IFERROR(INDEX($A$3:$A$39, MATCH(1, INDEX($F$3:$AU$39, 0, MATCH(F2, $F$2:$AU$2, 0)), 0)), INDEX($A$3:$A$39, MATCH(1, INDEX($F$3:$AU$39, 0, MATCH(F2&amp;" AM", $F$2:$AU$2, 0)), 0)))</f>
        <v>LCP EZRA</v>
      </c>
      <c r="G43" s="29" t="str">
        <f t="shared" si="10"/>
        <v>PTE AFIF</v>
      </c>
      <c r="H43" s="29" t="str">
        <f t="shared" si="10"/>
        <v>PTE CLARENCE</v>
      </c>
      <c r="I43" s="29" t="str">
        <f t="shared" si="10"/>
        <v>PTE NATHAN</v>
      </c>
      <c r="J43" s="29" t="str">
        <f t="shared" si="10"/>
        <v>LCP SURIA</v>
      </c>
      <c r="K43" s="29" t="str">
        <f t="shared" si="10"/>
        <v>LCP EZRA</v>
      </c>
      <c r="L43" s="29" t="str">
        <f t="shared" si="10"/>
        <v>LCP MITCHELL</v>
      </c>
      <c r="M43" s="29" t="str">
        <f t="shared" si="10"/>
        <v>PTE SUSHIL</v>
      </c>
      <c r="N43" s="29" t="str">
        <f t="shared" si="10"/>
        <v>PTE INDRA</v>
      </c>
      <c r="O43" s="29" t="str">
        <f t="shared" si="10"/>
        <v>PTE TRISTEN</v>
      </c>
      <c r="P43" s="29" t="str">
        <f t="shared" si="10"/>
        <v>REC ASH</v>
      </c>
      <c r="Q43" s="29" t="str">
        <f t="shared" si="10"/>
        <v>CPL MICHAEL</v>
      </c>
      <c r="R43" s="29" t="str">
        <f t="shared" si="10"/>
        <v>LCP MITCHELL</v>
      </c>
      <c r="S43" s="29" t="str">
        <f t="shared" si="10"/>
        <v>PTE NATHAN</v>
      </c>
      <c r="T43" s="29" t="str">
        <f t="shared" si="10"/>
        <v>PTE ISAAC</v>
      </c>
      <c r="U43" s="29" t="str">
        <f t="shared" si="10"/>
        <v>PTE GABRIEL</v>
      </c>
      <c r="V43" s="29" t="str">
        <f t="shared" si="10"/>
        <v>CPL FIRMAN</v>
      </c>
      <c r="W43" s="29" t="str">
        <f t="shared" ref="W43:AC43" si="11">IFERROR(INDEX($A$3:$A$39, MATCH(1, INDEX($F$3:$AU$39, 0, MATCH(W2, $F$2:$AU$2, 0)), 0)), INDEX($A$3:$A$39, MATCH(1, INDEX($F$3:$AU$39, 0, MATCH(X2&amp;" AM", $F$2:$AU$2, 0)), 0)))</f>
        <v>CPL JIREH</v>
      </c>
      <c r="X43" s="29" t="str">
        <f t="shared" si="11"/>
        <v>REC RUI FENG</v>
      </c>
      <c r="Y43" s="29" t="str">
        <f t="shared" si="11"/>
        <v>PTE ANISH</v>
      </c>
      <c r="Z43" s="29" t="str">
        <f t="shared" si="11"/>
        <v>PTE NICO</v>
      </c>
      <c r="AA43" s="29" t="str">
        <f t="shared" si="11"/>
        <v>CPL AZHARI</v>
      </c>
      <c r="AB43" s="29" t="str">
        <f t="shared" si="11"/>
        <v>REC RUI FENG</v>
      </c>
      <c r="AC43" s="29" t="str">
        <f t="shared" si="11"/>
        <v>PTE RYAN</v>
      </c>
      <c r="AD43" s="29" t="str">
        <f t="shared" ref="AD43:AY43" si="12">IFERROR(INDEX($A$3:$A$39, MATCH(1, INDEX($F$3:$AU$39, 0, MATCH(AD2, $F$2:$AU$2, 0)), 0)), INDEX($A$3:$A$39, MATCH(1, INDEX($F$3:$AU$39, 0, MATCH(AD2&amp;" AM", $F$2:$AU$2, 0)), 0)))</f>
        <v>PTE REUVEN</v>
      </c>
      <c r="AE43" s="29" t="str">
        <f t="shared" si="12"/>
        <v>PTE DYLAN</v>
      </c>
      <c r="AF43" s="29" t="str">
        <f t="shared" si="12"/>
        <v>LCP JERRYL</v>
      </c>
      <c r="AG43" s="29" t="str">
        <f t="shared" si="12"/>
        <v>PTE TRISTEN</v>
      </c>
      <c r="AH43" s="29" t="str">
        <f t="shared" si="12"/>
        <v>CPL JIREH</v>
      </c>
      <c r="AI43" s="29" t="str">
        <f t="shared" si="12"/>
        <v>PTE CLARENCE</v>
      </c>
      <c r="AJ43" s="29" t="str">
        <f t="shared" si="12"/>
        <v>LCP JERRYL</v>
      </c>
      <c r="AK43" s="29" t="str">
        <f t="shared" si="12"/>
        <v>PTE PARAM</v>
      </c>
      <c r="AL43" s="29" t="str">
        <f t="shared" si="12"/>
        <v>CPL MICHAEL</v>
      </c>
      <c r="AM43" s="29" t="str">
        <f t="shared" si="12"/>
        <v>PTE NICO</v>
      </c>
      <c r="AN43" s="29" t="str">
        <f t="shared" si="12"/>
        <v>PTE SUSHIL</v>
      </c>
      <c r="AO43" s="29" t="str">
        <f t="shared" si="12"/>
        <v>PTE INDRA</v>
      </c>
      <c r="AP43" s="29" t="str">
        <f t="shared" si="12"/>
        <v>REC ASH</v>
      </c>
      <c r="AQ43" s="29" t="str">
        <f t="shared" si="12"/>
        <v>PTE ANISH</v>
      </c>
      <c r="AR43" s="29" t="str">
        <f t="shared" si="12"/>
        <v>PTE KRISHAN</v>
      </c>
      <c r="AS43" s="29" t="str">
        <f t="shared" si="12"/>
        <v>CPL AZHARI</v>
      </c>
      <c r="AT43" s="29" t="str">
        <f t="shared" si="12"/>
        <v>PTE REUVEN</v>
      </c>
      <c r="AU43" s="29" t="str">
        <f t="shared" si="12"/>
        <v>PTE DYLAN</v>
      </c>
      <c r="AV43" s="29" t="str">
        <f t="shared" si="12"/>
        <v>#N/A</v>
      </c>
      <c r="AW43" s="29" t="str">
        <f t="shared" si="12"/>
        <v>#N/A</v>
      </c>
      <c r="AX43" s="29" t="str">
        <f t="shared" si="12"/>
        <v>#N/A</v>
      </c>
      <c r="AY43" s="29" t="str">
        <f t="shared" si="12"/>
        <v>#N/A</v>
      </c>
    </row>
    <row r="44">
      <c r="E44" s="46" t="s">
        <v>72</v>
      </c>
      <c r="F44" s="28" t="str">
        <f t="shared" ref="F44:AY44" si="13">INDEX($A$3:$A$39, MATCH("R", INDEX($F$3:$AU$39, 0, MATCH(F2, $F$2:$AU$2, 0)), 0))</f>
        <v>PTE REUVEN</v>
      </c>
      <c r="G44" s="28" t="str">
        <f t="shared" si="13"/>
        <v>LCP MITCHELL</v>
      </c>
      <c r="H44" s="28" t="str">
        <f t="shared" si="13"/>
        <v>PTE INDRA</v>
      </c>
      <c r="I44" s="28" t="str">
        <f t="shared" si="13"/>
        <v>PTE KRISHAN</v>
      </c>
      <c r="J44" s="28" t="str">
        <f t="shared" si="13"/>
        <v>CPL MICHAEL</v>
      </c>
      <c r="K44" s="28" t="str">
        <f t="shared" si="13"/>
        <v>PTE CLARENCE</v>
      </c>
      <c r="L44" s="28" t="str">
        <f t="shared" si="13"/>
        <v>CPL AZHARI</v>
      </c>
      <c r="M44" s="28" t="str">
        <f t="shared" si="13"/>
        <v>PTE ISAAC</v>
      </c>
      <c r="N44" s="28" t="str">
        <f t="shared" si="13"/>
        <v>LCP SURIA</v>
      </c>
      <c r="O44" s="28" t="str">
        <f t="shared" si="13"/>
        <v>PTE NICO</v>
      </c>
      <c r="P44" s="28" t="str">
        <f t="shared" si="13"/>
        <v>PTE DYLAN</v>
      </c>
      <c r="Q44" s="28" t="str">
        <f t="shared" si="13"/>
        <v>PTE RYAN</v>
      </c>
      <c r="R44" s="28" t="str">
        <f t="shared" si="13"/>
        <v>PTE GABRIEL</v>
      </c>
      <c r="S44" s="28" t="str">
        <f t="shared" si="13"/>
        <v>CPL JIREH</v>
      </c>
      <c r="T44" s="28" t="str">
        <f t="shared" si="13"/>
        <v>PTE SUSHIL</v>
      </c>
      <c r="U44" s="28" t="str">
        <f t="shared" si="13"/>
        <v>REC ASH</v>
      </c>
      <c r="V44" s="28" t="str">
        <f t="shared" si="13"/>
        <v>PTE NATHAN</v>
      </c>
      <c r="W44" s="28" t="str">
        <f t="shared" si="13"/>
        <v>PTE RYAN</v>
      </c>
      <c r="X44" s="28" t="str">
        <f t="shared" si="13"/>
        <v>PTE DYLAN</v>
      </c>
      <c r="Y44" s="28" t="str">
        <f t="shared" si="13"/>
        <v>PTE ISAAC</v>
      </c>
      <c r="Z44" s="28" t="str">
        <f t="shared" si="13"/>
        <v>LCP SURIA</v>
      </c>
      <c r="AA44" s="28" t="str">
        <f t="shared" si="13"/>
        <v>LCP JERRYL</v>
      </c>
      <c r="AB44" s="28" t="str">
        <f t="shared" si="13"/>
        <v>PTE PARAM</v>
      </c>
      <c r="AC44" s="28" t="str">
        <f t="shared" si="13"/>
        <v>CPL JIREH</v>
      </c>
      <c r="AD44" s="28" t="str">
        <f t="shared" si="13"/>
        <v>PTE ANISH</v>
      </c>
      <c r="AE44" s="28" t="str">
        <f t="shared" si="13"/>
        <v>PTE AFIF</v>
      </c>
      <c r="AF44" s="28" t="str">
        <f t="shared" si="13"/>
        <v>LCP EZRA</v>
      </c>
      <c r="AG44" s="28" t="str">
        <f t="shared" si="13"/>
        <v>CPL FIRMAN</v>
      </c>
      <c r="AH44" s="28" t="str">
        <f t="shared" si="13"/>
        <v>LCP MITCHELL</v>
      </c>
      <c r="AI44" s="28" t="str">
        <f t="shared" si="13"/>
        <v>PTE ANISH</v>
      </c>
      <c r="AJ44" s="28" t="str">
        <f t="shared" si="13"/>
        <v>PTE NICO</v>
      </c>
      <c r="AK44" s="28" t="str">
        <f t="shared" si="13"/>
        <v>REC RUI FENG</v>
      </c>
      <c r="AL44" s="28" t="str">
        <f t="shared" si="13"/>
        <v>PTE SUSHIL</v>
      </c>
      <c r="AM44" s="28" t="str">
        <f t="shared" si="13"/>
        <v>PTE TRISTEN</v>
      </c>
      <c r="AN44" s="28" t="str">
        <f t="shared" si="13"/>
        <v>PTE NATHAN</v>
      </c>
      <c r="AO44" s="28" t="str">
        <f t="shared" si="13"/>
        <v>PTE GABRIEL</v>
      </c>
      <c r="AP44" s="28" t="str">
        <f t="shared" si="13"/>
        <v>PTE AFIF</v>
      </c>
      <c r="AQ44" s="28" t="str">
        <f t="shared" si="13"/>
        <v>CPL FIRMAN</v>
      </c>
      <c r="AR44" s="28" t="str">
        <f t="shared" si="13"/>
        <v>LCP EZRA</v>
      </c>
      <c r="AS44" s="28" t="str">
        <f t="shared" si="13"/>
        <v>PTE INDRA</v>
      </c>
      <c r="AT44" s="28" t="str">
        <f t="shared" si="13"/>
        <v>LCP JERRYL</v>
      </c>
      <c r="AU44" s="28" t="str">
        <f t="shared" si="13"/>
        <v>REC ASH</v>
      </c>
      <c r="AV44" s="28" t="str">
        <f t="shared" si="13"/>
        <v>#N/A</v>
      </c>
      <c r="AW44" s="28" t="str">
        <f t="shared" si="13"/>
        <v>#N/A</v>
      </c>
      <c r="AX44" s="28" t="str">
        <f t="shared" si="13"/>
        <v>#N/A</v>
      </c>
      <c r="AY44" s="28" t="str">
        <f t="shared" si="13"/>
        <v>#N/A</v>
      </c>
    </row>
    <row r="45">
      <c r="A45" s="17" t="s">
        <v>232</v>
      </c>
      <c r="C45" s="49">
        <f>COUNTA($F$1:$AU$1)</f>
        <v>42</v>
      </c>
      <c r="E45" s="46" t="s">
        <v>70</v>
      </c>
      <c r="F45" s="30" t="str">
        <f t="shared" ref="F45:AY45" si="14">INDEX($A$3:$A$39, MATCH("R2", INDEX($F$3:$AU$39, 0, MATCH(F2, $F$2:$AU$2, 0)), 0))</f>
        <v>PTE PARAM</v>
      </c>
      <c r="G45" s="30" t="str">
        <f t="shared" si="14"/>
        <v>PTE RYAN</v>
      </c>
      <c r="H45" s="30" t="str">
        <f t="shared" si="14"/>
        <v>PTE SUSHIL</v>
      </c>
      <c r="I45" s="30" t="str">
        <f t="shared" si="14"/>
        <v>PTE GABRIEL</v>
      </c>
      <c r="J45" s="30" t="str">
        <f t="shared" si="14"/>
        <v>REC ASH</v>
      </c>
      <c r="K45" s="30" t="str">
        <f t="shared" si="14"/>
        <v>PTE NICO</v>
      </c>
      <c r="L45" s="30" t="str">
        <f t="shared" si="14"/>
        <v>PTE ANISH</v>
      </c>
      <c r="M45" s="30" t="str">
        <f t="shared" si="14"/>
        <v>PTE DYLAN</v>
      </c>
      <c r="N45" s="30" t="str">
        <f t="shared" si="14"/>
        <v>LCP MITCHELL</v>
      </c>
      <c r="O45" s="30" t="str">
        <f t="shared" si="14"/>
        <v>PTE CLARENCE</v>
      </c>
      <c r="P45" s="30" t="str">
        <f t="shared" si="14"/>
        <v>PTE KRISHAN</v>
      </c>
      <c r="Q45" s="30" t="str">
        <f t="shared" si="14"/>
        <v>CPL AZHARI</v>
      </c>
      <c r="R45" s="30" t="str">
        <f t="shared" si="14"/>
        <v>PTE TRISTEN</v>
      </c>
      <c r="S45" s="30" t="str">
        <f t="shared" si="14"/>
        <v>PTE INDRA</v>
      </c>
      <c r="T45" s="30" t="str">
        <f t="shared" si="14"/>
        <v>REC RUI FENG</v>
      </c>
      <c r="U45" s="30" t="str">
        <f t="shared" si="14"/>
        <v>PTE DYLAN</v>
      </c>
      <c r="V45" s="30" t="str">
        <f t="shared" si="14"/>
        <v>LCP SURIA</v>
      </c>
      <c r="W45" s="30" t="str">
        <f t="shared" si="14"/>
        <v>PTE NICO</v>
      </c>
      <c r="X45" s="30" t="str">
        <f t="shared" si="14"/>
        <v>PTE SUSHIL</v>
      </c>
      <c r="Y45" s="30" t="str">
        <f t="shared" si="14"/>
        <v>PTE NATHAN</v>
      </c>
      <c r="Z45" s="30" t="str">
        <f t="shared" si="14"/>
        <v>CPL JIREH</v>
      </c>
      <c r="AA45" s="30" t="str">
        <f t="shared" si="14"/>
        <v>PTE ANISH</v>
      </c>
      <c r="AB45" s="30" t="str">
        <f t="shared" si="14"/>
        <v>LCP EZRA</v>
      </c>
      <c r="AC45" s="30" t="str">
        <f t="shared" si="14"/>
        <v>CPL FIRMAN</v>
      </c>
      <c r="AD45" s="30" t="str">
        <f t="shared" si="14"/>
        <v>LCP JERRYL</v>
      </c>
      <c r="AE45" s="30" t="str">
        <f t="shared" si="14"/>
        <v>PTE ISAAC</v>
      </c>
      <c r="AF45" s="30" t="str">
        <f t="shared" si="14"/>
        <v>PTE NICO</v>
      </c>
      <c r="AG45" s="30" t="str">
        <f t="shared" si="14"/>
        <v>CPL AZHARI</v>
      </c>
      <c r="AH45" s="30" t="str">
        <f t="shared" si="14"/>
        <v>PTE INDRA</v>
      </c>
      <c r="AI45" s="30" t="str">
        <f t="shared" si="14"/>
        <v>PTE ISAAC</v>
      </c>
      <c r="AJ45" s="30" t="str">
        <f t="shared" si="14"/>
        <v>PTE KRISHAN</v>
      </c>
      <c r="AK45" s="30" t="str">
        <f t="shared" si="14"/>
        <v>PTE RYAN</v>
      </c>
      <c r="AL45" s="30" t="str">
        <f t="shared" si="14"/>
        <v>PTE DYLAN</v>
      </c>
      <c r="AM45" s="30" t="str">
        <f t="shared" si="14"/>
        <v>REC ASH</v>
      </c>
      <c r="AN45" s="30" t="str">
        <f t="shared" si="14"/>
        <v>LCP SURIA</v>
      </c>
      <c r="AO45" s="30" t="str">
        <f t="shared" si="14"/>
        <v>PTE CLARENCE</v>
      </c>
      <c r="AP45" s="30" t="str">
        <f t="shared" si="14"/>
        <v>CPL MICHAEL</v>
      </c>
      <c r="AQ45" s="30" t="str">
        <f t="shared" si="14"/>
        <v>LCP MITCHELL</v>
      </c>
      <c r="AR45" s="30" t="str">
        <f t="shared" si="14"/>
        <v>PTE GABRIEL</v>
      </c>
      <c r="AS45" s="30" t="str">
        <f t="shared" si="14"/>
        <v>CPL JIREH</v>
      </c>
      <c r="AT45" s="30" t="str">
        <f t="shared" si="14"/>
        <v>PTE NATHAN</v>
      </c>
      <c r="AU45" s="30" t="str">
        <f t="shared" si="14"/>
        <v>PTE SUSHIL</v>
      </c>
      <c r="AV45" s="30" t="str">
        <f t="shared" si="14"/>
        <v>#N/A</v>
      </c>
      <c r="AW45" s="30" t="str">
        <f t="shared" si="14"/>
        <v>#N/A</v>
      </c>
      <c r="AX45" s="30" t="str">
        <f t="shared" si="14"/>
        <v>#N/A</v>
      </c>
      <c r="AY45" s="30" t="str">
        <f t="shared" si="14"/>
        <v>#N/A</v>
      </c>
    </row>
    <row r="46">
      <c r="A46" s="17" t="s">
        <v>154</v>
      </c>
      <c r="C46" s="50">
        <f>SUBTOTAL(103, $A$3:$A$39)
</f>
        <v>25</v>
      </c>
      <c r="H46" s="31"/>
    </row>
    <row r="47">
      <c r="H47" s="31"/>
    </row>
    <row r="48">
      <c r="H48" s="31"/>
    </row>
    <row r="49">
      <c r="A49" s="26" t="s">
        <v>118</v>
      </c>
      <c r="H49" s="31"/>
    </row>
    <row r="50">
      <c r="A50" s="25" t="s">
        <v>119</v>
      </c>
      <c r="H50" s="31"/>
    </row>
    <row r="51">
      <c r="A51" s="22" t="s">
        <v>120</v>
      </c>
      <c r="H51" s="31"/>
    </row>
    <row r="52">
      <c r="A52" s="20" t="s">
        <v>121</v>
      </c>
      <c r="H52" s="31"/>
    </row>
    <row r="53">
      <c r="A53" s="23" t="s">
        <v>122</v>
      </c>
      <c r="H53" s="31"/>
    </row>
    <row r="54">
      <c r="A54" s="14" t="s">
        <v>123</v>
      </c>
      <c r="H54" s="31"/>
    </row>
    <row r="55">
      <c r="A55" s="9" t="s">
        <v>125</v>
      </c>
      <c r="H55" s="31"/>
    </row>
    <row r="56">
      <c r="A56" s="44" t="s">
        <v>126</v>
      </c>
      <c r="C56" s="31"/>
      <c r="H56" s="31"/>
    </row>
    <row r="57">
      <c r="A57" s="62" t="s">
        <v>203</v>
      </c>
      <c r="H57" s="31"/>
    </row>
    <row r="58">
      <c r="A58" s="70" t="s">
        <v>233</v>
      </c>
      <c r="H58" s="31"/>
    </row>
    <row r="59">
      <c r="A59" s="69" t="s">
        <v>234</v>
      </c>
      <c r="H59" s="31"/>
    </row>
    <row r="60">
      <c r="A60" s="27" t="s">
        <v>124</v>
      </c>
      <c r="H60" s="31"/>
    </row>
    <row r="61">
      <c r="H61" s="31"/>
    </row>
    <row r="62">
      <c r="H62" s="31"/>
    </row>
    <row r="63">
      <c r="H63" s="31"/>
    </row>
    <row r="64">
      <c r="H64" s="31"/>
    </row>
    <row r="65">
      <c r="H65" s="31"/>
    </row>
    <row r="66">
      <c r="H66" s="31"/>
    </row>
    <row r="67">
      <c r="H67" s="31"/>
    </row>
    <row r="68">
      <c r="H68" s="31"/>
    </row>
    <row r="69">
      <c r="H69" s="31"/>
    </row>
    <row r="70">
      <c r="H70" s="31"/>
    </row>
    <row r="71">
      <c r="H71" s="31"/>
    </row>
    <row r="72">
      <c r="H72" s="31"/>
    </row>
    <row r="73">
      <c r="H73" s="31"/>
    </row>
    <row r="74">
      <c r="H74" s="31"/>
    </row>
    <row r="75">
      <c r="H75" s="31"/>
    </row>
    <row r="76">
      <c r="H76" s="31"/>
    </row>
    <row r="77">
      <c r="H77" s="31"/>
    </row>
    <row r="78">
      <c r="H78" s="31"/>
    </row>
    <row r="79">
      <c r="H79" s="31"/>
    </row>
    <row r="80">
      <c r="H80" s="31"/>
    </row>
    <row r="81">
      <c r="H81" s="31"/>
    </row>
    <row r="82">
      <c r="H82" s="31"/>
    </row>
    <row r="83">
      <c r="H83" s="31"/>
    </row>
    <row r="84">
      <c r="H84" s="31"/>
    </row>
    <row r="85">
      <c r="H85" s="31"/>
    </row>
    <row r="86">
      <c r="H86" s="31"/>
    </row>
    <row r="87">
      <c r="H87" s="31"/>
    </row>
    <row r="88">
      <c r="H88" s="31"/>
    </row>
    <row r="89">
      <c r="H89" s="31"/>
    </row>
    <row r="90">
      <c r="H90" s="31"/>
    </row>
    <row r="91">
      <c r="H91" s="31"/>
    </row>
    <row r="92">
      <c r="H92" s="31"/>
    </row>
    <row r="93">
      <c r="H93" s="31"/>
    </row>
    <row r="94">
      <c r="H94" s="31"/>
    </row>
    <row r="95">
      <c r="H95" s="31"/>
    </row>
    <row r="96">
      <c r="H96" s="31"/>
    </row>
    <row r="97">
      <c r="H97" s="31"/>
    </row>
    <row r="98">
      <c r="H98" s="31"/>
    </row>
    <row r="99">
      <c r="H99" s="31"/>
    </row>
    <row r="100">
      <c r="H100" s="31"/>
    </row>
    <row r="101">
      <c r="H101" s="31"/>
    </row>
    <row r="102">
      <c r="H102" s="31"/>
    </row>
    <row r="103">
      <c r="H103" s="31"/>
    </row>
    <row r="104">
      <c r="H104" s="31"/>
    </row>
    <row r="105">
      <c r="H105" s="31"/>
    </row>
    <row r="106">
      <c r="H106" s="31"/>
    </row>
    <row r="107">
      <c r="H107" s="31"/>
    </row>
    <row r="108">
      <c r="H108" s="31"/>
    </row>
    <row r="109">
      <c r="H109" s="31"/>
    </row>
    <row r="110">
      <c r="H110" s="31"/>
    </row>
    <row r="111">
      <c r="H111" s="31"/>
    </row>
    <row r="112">
      <c r="H112" s="31"/>
    </row>
    <row r="113">
      <c r="H113" s="31"/>
    </row>
    <row r="114">
      <c r="H114" s="31"/>
    </row>
    <row r="115">
      <c r="H115" s="31"/>
    </row>
    <row r="116">
      <c r="H116" s="31"/>
    </row>
    <row r="117">
      <c r="H117" s="31"/>
    </row>
    <row r="118">
      <c r="H118" s="31"/>
    </row>
    <row r="119">
      <c r="H119" s="31"/>
    </row>
    <row r="120">
      <c r="H120" s="31"/>
    </row>
    <row r="121">
      <c r="H121" s="31"/>
    </row>
    <row r="122">
      <c r="H122" s="31"/>
    </row>
    <row r="123">
      <c r="H123" s="31"/>
    </row>
    <row r="124">
      <c r="H124" s="31"/>
    </row>
    <row r="125">
      <c r="H125" s="31"/>
    </row>
    <row r="126">
      <c r="H126" s="31"/>
    </row>
    <row r="127">
      <c r="H127" s="31"/>
    </row>
    <row r="128">
      <c r="H128" s="31"/>
    </row>
    <row r="129">
      <c r="H129" s="31"/>
    </row>
    <row r="130">
      <c r="H130" s="31"/>
    </row>
    <row r="131">
      <c r="H131" s="31"/>
    </row>
    <row r="132">
      <c r="H132" s="31"/>
    </row>
    <row r="133">
      <c r="H133" s="31"/>
    </row>
    <row r="134">
      <c r="H134" s="31"/>
    </row>
    <row r="135">
      <c r="H135" s="31"/>
    </row>
    <row r="136">
      <c r="H136" s="31"/>
    </row>
    <row r="137">
      <c r="H137" s="31"/>
    </row>
    <row r="138">
      <c r="H138" s="31"/>
    </row>
    <row r="139">
      <c r="H139" s="31"/>
    </row>
    <row r="140">
      <c r="H140" s="31"/>
    </row>
    <row r="141">
      <c r="H141" s="31"/>
    </row>
    <row r="142">
      <c r="H142" s="31"/>
    </row>
    <row r="143">
      <c r="H143" s="31"/>
    </row>
    <row r="144">
      <c r="H144" s="31"/>
    </row>
    <row r="145">
      <c r="H145" s="31"/>
    </row>
    <row r="146">
      <c r="H146" s="31"/>
    </row>
    <row r="147">
      <c r="H147" s="31"/>
    </row>
    <row r="148">
      <c r="H148" s="31"/>
    </row>
    <row r="149">
      <c r="H149" s="31"/>
    </row>
    <row r="150">
      <c r="H150" s="31"/>
    </row>
    <row r="151">
      <c r="H151" s="31"/>
    </row>
    <row r="152">
      <c r="H152" s="31"/>
    </row>
    <row r="153">
      <c r="H153" s="31"/>
    </row>
    <row r="154">
      <c r="H154" s="31"/>
    </row>
    <row r="155">
      <c r="H155" s="31"/>
    </row>
    <row r="156">
      <c r="H156" s="31"/>
    </row>
    <row r="157">
      <c r="H157" s="31"/>
    </row>
    <row r="158">
      <c r="H158" s="31"/>
    </row>
    <row r="159">
      <c r="H159" s="31"/>
    </row>
    <row r="160">
      <c r="H160" s="31"/>
    </row>
    <row r="161">
      <c r="H161" s="31"/>
    </row>
    <row r="162">
      <c r="H162" s="31"/>
    </row>
    <row r="163">
      <c r="H163" s="31"/>
    </row>
    <row r="164">
      <c r="H164" s="31"/>
    </row>
    <row r="165">
      <c r="H165" s="31"/>
    </row>
    <row r="166">
      <c r="H166" s="31"/>
    </row>
    <row r="167">
      <c r="H167" s="31"/>
    </row>
    <row r="168">
      <c r="H168" s="31"/>
    </row>
    <row r="169">
      <c r="H169" s="31"/>
    </row>
    <row r="170">
      <c r="H170" s="31"/>
    </row>
    <row r="171">
      <c r="H171" s="31"/>
    </row>
    <row r="172">
      <c r="H172" s="31"/>
    </row>
    <row r="173">
      <c r="H173" s="31"/>
    </row>
    <row r="174">
      <c r="H174" s="31"/>
    </row>
    <row r="175">
      <c r="H175" s="31"/>
    </row>
    <row r="176">
      <c r="H176" s="31"/>
    </row>
    <row r="177">
      <c r="H177" s="31"/>
    </row>
    <row r="178">
      <c r="H178" s="31"/>
    </row>
    <row r="179">
      <c r="H179" s="31"/>
    </row>
    <row r="180">
      <c r="H180" s="31"/>
    </row>
    <row r="181">
      <c r="H181" s="31"/>
    </row>
    <row r="182">
      <c r="H182" s="31"/>
    </row>
    <row r="183">
      <c r="H183" s="31"/>
    </row>
    <row r="184">
      <c r="H184" s="31"/>
    </row>
    <row r="185">
      <c r="H185" s="31"/>
    </row>
    <row r="186">
      <c r="H186" s="31"/>
    </row>
    <row r="187">
      <c r="H187" s="31"/>
    </row>
    <row r="188">
      <c r="H188" s="31"/>
    </row>
    <row r="189">
      <c r="H189" s="31"/>
    </row>
    <row r="190">
      <c r="H190" s="31"/>
    </row>
    <row r="191">
      <c r="H191" s="31"/>
    </row>
    <row r="192">
      <c r="H192" s="31"/>
    </row>
    <row r="193">
      <c r="H193" s="31"/>
    </row>
    <row r="194">
      <c r="H194" s="31"/>
    </row>
    <row r="195">
      <c r="H195" s="31"/>
    </row>
    <row r="196">
      <c r="H196" s="31"/>
    </row>
    <row r="197">
      <c r="H197" s="31"/>
    </row>
    <row r="198">
      <c r="H198" s="31"/>
    </row>
    <row r="199">
      <c r="H199" s="31"/>
    </row>
    <row r="200">
      <c r="H200" s="31"/>
    </row>
    <row r="201">
      <c r="H201" s="31"/>
    </row>
    <row r="202">
      <c r="H202" s="31"/>
    </row>
    <row r="203">
      <c r="H203" s="31"/>
    </row>
    <row r="204">
      <c r="H204" s="31"/>
    </row>
    <row r="205">
      <c r="H205" s="31"/>
    </row>
    <row r="206">
      <c r="H206" s="31"/>
    </row>
    <row r="207">
      <c r="H207" s="31"/>
    </row>
    <row r="208">
      <c r="H208" s="31"/>
    </row>
    <row r="209">
      <c r="H209" s="31"/>
    </row>
    <row r="210">
      <c r="H210" s="31"/>
    </row>
    <row r="211">
      <c r="H211" s="31"/>
    </row>
    <row r="212">
      <c r="H212" s="31"/>
    </row>
    <row r="213">
      <c r="H213" s="31"/>
    </row>
    <row r="214">
      <c r="H214" s="31"/>
    </row>
    <row r="215">
      <c r="H215" s="31"/>
    </row>
    <row r="216">
      <c r="H216" s="31"/>
    </row>
    <row r="217">
      <c r="H217" s="31"/>
    </row>
    <row r="218">
      <c r="H218" s="31"/>
    </row>
    <row r="219">
      <c r="H219" s="31"/>
    </row>
    <row r="220">
      <c r="H220" s="31"/>
    </row>
    <row r="221">
      <c r="H221" s="31"/>
    </row>
    <row r="222">
      <c r="H222" s="31"/>
    </row>
    <row r="223">
      <c r="H223" s="31"/>
    </row>
    <row r="224">
      <c r="H224" s="31"/>
    </row>
    <row r="225">
      <c r="H225" s="31"/>
    </row>
    <row r="226">
      <c r="H226" s="31"/>
    </row>
    <row r="227">
      <c r="H227" s="31"/>
    </row>
    <row r="228">
      <c r="H228" s="31"/>
    </row>
    <row r="229">
      <c r="H229" s="31"/>
    </row>
    <row r="230">
      <c r="H230" s="31"/>
    </row>
    <row r="231">
      <c r="H231" s="31"/>
    </row>
    <row r="232">
      <c r="H232" s="31"/>
    </row>
    <row r="233">
      <c r="H233" s="31"/>
    </row>
    <row r="234">
      <c r="H234" s="31"/>
    </row>
    <row r="235">
      <c r="H235" s="31"/>
    </row>
    <row r="236">
      <c r="H236" s="31"/>
    </row>
    <row r="237">
      <c r="H237" s="31"/>
    </row>
    <row r="238">
      <c r="H238" s="31"/>
    </row>
    <row r="239">
      <c r="H239" s="31"/>
    </row>
    <row r="240">
      <c r="H240" s="31"/>
    </row>
    <row r="241">
      <c r="H241" s="31"/>
    </row>
    <row r="242">
      <c r="H242" s="31"/>
    </row>
    <row r="243">
      <c r="H243" s="31"/>
    </row>
    <row r="244">
      <c r="H244" s="31"/>
    </row>
    <row r="245">
      <c r="H245" s="31"/>
    </row>
    <row r="246">
      <c r="H246" s="31"/>
    </row>
    <row r="247">
      <c r="H247" s="31"/>
    </row>
    <row r="248">
      <c r="H248" s="31"/>
    </row>
    <row r="249">
      <c r="H249" s="31"/>
    </row>
    <row r="250">
      <c r="H250" s="31"/>
    </row>
    <row r="251">
      <c r="H251" s="31"/>
    </row>
    <row r="252">
      <c r="H252" s="31"/>
    </row>
    <row r="253">
      <c r="H253" s="31"/>
    </row>
    <row r="254">
      <c r="H254" s="31"/>
    </row>
    <row r="255">
      <c r="H255" s="31"/>
    </row>
    <row r="256">
      <c r="H256" s="31"/>
    </row>
    <row r="257">
      <c r="H257" s="31"/>
    </row>
    <row r="258">
      <c r="H258" s="31"/>
    </row>
    <row r="259">
      <c r="H259" s="31"/>
    </row>
    <row r="260">
      <c r="H260" s="31"/>
    </row>
    <row r="261">
      <c r="H261" s="31"/>
    </row>
    <row r="262">
      <c r="H262" s="31"/>
    </row>
    <row r="263">
      <c r="H263" s="31"/>
    </row>
    <row r="264">
      <c r="H264" s="31"/>
    </row>
    <row r="265">
      <c r="H265" s="31"/>
    </row>
    <row r="266">
      <c r="H266" s="31"/>
    </row>
    <row r="267">
      <c r="H267" s="31"/>
    </row>
    <row r="268">
      <c r="H268" s="31"/>
    </row>
    <row r="269">
      <c r="H269" s="31"/>
    </row>
    <row r="270">
      <c r="H270" s="31"/>
    </row>
    <row r="271">
      <c r="H271" s="31"/>
    </row>
    <row r="272">
      <c r="H272" s="31"/>
    </row>
    <row r="273">
      <c r="H273" s="31"/>
    </row>
    <row r="274">
      <c r="H274" s="31"/>
    </row>
    <row r="275">
      <c r="H275" s="31"/>
    </row>
    <row r="276">
      <c r="H276" s="31"/>
    </row>
    <row r="277">
      <c r="H277" s="31"/>
    </row>
    <row r="278">
      <c r="H278" s="31"/>
    </row>
    <row r="279">
      <c r="H279" s="31"/>
    </row>
    <row r="280">
      <c r="H280" s="31"/>
    </row>
    <row r="281">
      <c r="H281" s="31"/>
    </row>
    <row r="282">
      <c r="H282" s="31"/>
    </row>
    <row r="283">
      <c r="H283" s="31"/>
    </row>
    <row r="284">
      <c r="H284" s="31"/>
    </row>
    <row r="285">
      <c r="H285" s="31"/>
    </row>
    <row r="286">
      <c r="H286" s="31"/>
    </row>
    <row r="287">
      <c r="H287" s="31"/>
    </row>
    <row r="288">
      <c r="H288" s="31"/>
    </row>
    <row r="289">
      <c r="H289" s="31"/>
    </row>
    <row r="290">
      <c r="H290" s="31"/>
    </row>
    <row r="291">
      <c r="H291" s="31"/>
    </row>
    <row r="292">
      <c r="H292" s="31"/>
    </row>
    <row r="293">
      <c r="H293" s="31"/>
    </row>
    <row r="294">
      <c r="H294" s="31"/>
    </row>
    <row r="295">
      <c r="H295" s="31"/>
    </row>
    <row r="296">
      <c r="H296" s="31"/>
    </row>
    <row r="297">
      <c r="H297" s="31"/>
    </row>
    <row r="298">
      <c r="H298" s="31"/>
    </row>
    <row r="299">
      <c r="H299" s="31"/>
    </row>
    <row r="300">
      <c r="H300" s="31"/>
    </row>
    <row r="301">
      <c r="H301" s="31"/>
    </row>
    <row r="302">
      <c r="H302" s="31"/>
    </row>
    <row r="303">
      <c r="H303" s="31"/>
    </row>
    <row r="304">
      <c r="H304" s="31"/>
    </row>
    <row r="305">
      <c r="H305" s="31"/>
    </row>
    <row r="306">
      <c r="H306" s="31"/>
    </row>
    <row r="307">
      <c r="H307" s="31"/>
    </row>
    <row r="308">
      <c r="H308" s="31"/>
    </row>
    <row r="309">
      <c r="H309" s="31"/>
    </row>
    <row r="310">
      <c r="H310" s="31"/>
    </row>
    <row r="311">
      <c r="H311" s="31"/>
    </row>
    <row r="312">
      <c r="H312" s="31"/>
    </row>
    <row r="313">
      <c r="H313" s="31"/>
    </row>
    <row r="314">
      <c r="H314" s="31"/>
    </row>
    <row r="315">
      <c r="H315" s="31"/>
    </row>
    <row r="316">
      <c r="H316" s="31"/>
    </row>
    <row r="317">
      <c r="H317" s="31"/>
    </row>
    <row r="318">
      <c r="H318" s="31"/>
    </row>
    <row r="319">
      <c r="H319" s="31"/>
    </row>
    <row r="320">
      <c r="H320" s="31"/>
    </row>
    <row r="321">
      <c r="H321" s="31"/>
    </row>
    <row r="322">
      <c r="H322" s="31"/>
    </row>
    <row r="323">
      <c r="H323" s="31"/>
    </row>
    <row r="324">
      <c r="H324" s="31"/>
    </row>
    <row r="325">
      <c r="H325" s="31"/>
    </row>
    <row r="326">
      <c r="H326" s="31"/>
    </row>
    <row r="327">
      <c r="H327" s="31"/>
    </row>
    <row r="328">
      <c r="H328" s="31"/>
    </row>
    <row r="329">
      <c r="H329" s="31"/>
    </row>
    <row r="330">
      <c r="H330" s="31"/>
    </row>
    <row r="331">
      <c r="H331" s="31"/>
    </row>
    <row r="332">
      <c r="H332" s="31"/>
    </row>
    <row r="333">
      <c r="H333" s="31"/>
    </row>
    <row r="334">
      <c r="H334" s="31"/>
    </row>
    <row r="335">
      <c r="H335" s="31"/>
    </row>
    <row r="336">
      <c r="H336" s="31"/>
    </row>
    <row r="337">
      <c r="H337" s="31"/>
    </row>
    <row r="338">
      <c r="H338" s="31"/>
    </row>
    <row r="339">
      <c r="H339" s="31"/>
    </row>
    <row r="340">
      <c r="H340" s="31"/>
    </row>
    <row r="341">
      <c r="H341" s="31"/>
    </row>
    <row r="342">
      <c r="H342" s="31"/>
    </row>
    <row r="343">
      <c r="H343" s="31"/>
    </row>
    <row r="344">
      <c r="H344" s="31"/>
    </row>
    <row r="345">
      <c r="H345" s="31"/>
    </row>
    <row r="346">
      <c r="H346" s="31"/>
    </row>
    <row r="347">
      <c r="H347" s="31"/>
    </row>
    <row r="348">
      <c r="H348" s="31"/>
    </row>
    <row r="349">
      <c r="H349" s="31"/>
    </row>
    <row r="350">
      <c r="H350" s="31"/>
    </row>
    <row r="351">
      <c r="H351" s="31"/>
    </row>
    <row r="352">
      <c r="H352" s="31"/>
    </row>
    <row r="353">
      <c r="H353" s="31"/>
    </row>
    <row r="354">
      <c r="H354" s="31"/>
    </row>
    <row r="355">
      <c r="H355" s="31"/>
    </row>
    <row r="356">
      <c r="H356" s="31"/>
    </row>
    <row r="357">
      <c r="H357" s="31"/>
    </row>
    <row r="358">
      <c r="H358" s="31"/>
    </row>
    <row r="359">
      <c r="H359" s="31"/>
    </row>
    <row r="360">
      <c r="H360" s="31"/>
    </row>
    <row r="361">
      <c r="H361" s="31"/>
    </row>
    <row r="362">
      <c r="H362" s="31"/>
    </row>
    <row r="363">
      <c r="H363" s="31"/>
    </row>
    <row r="364">
      <c r="H364" s="31"/>
    </row>
    <row r="365">
      <c r="H365" s="31"/>
    </row>
    <row r="366">
      <c r="H366" s="31"/>
    </row>
    <row r="367">
      <c r="H367" s="31"/>
    </row>
    <row r="368">
      <c r="H368" s="31"/>
    </row>
    <row r="369">
      <c r="H369" s="31"/>
    </row>
    <row r="370">
      <c r="H370" s="31"/>
    </row>
    <row r="371">
      <c r="H371" s="31"/>
    </row>
    <row r="372">
      <c r="H372" s="31"/>
    </row>
    <row r="373">
      <c r="H373" s="31"/>
    </row>
    <row r="374">
      <c r="H374" s="31"/>
    </row>
    <row r="375">
      <c r="H375" s="31"/>
    </row>
    <row r="376">
      <c r="H376" s="31"/>
    </row>
    <row r="377">
      <c r="H377" s="31"/>
    </row>
    <row r="378">
      <c r="H378" s="31"/>
    </row>
    <row r="379">
      <c r="H379" s="31"/>
    </row>
    <row r="380">
      <c r="H380" s="31"/>
    </row>
    <row r="381">
      <c r="H381" s="31"/>
    </row>
    <row r="382">
      <c r="H382" s="31"/>
    </row>
    <row r="383">
      <c r="H383" s="31"/>
    </row>
    <row r="384">
      <c r="H384" s="31"/>
    </row>
    <row r="385">
      <c r="H385" s="31"/>
    </row>
    <row r="386">
      <c r="H386" s="31"/>
    </row>
    <row r="387">
      <c r="H387" s="31"/>
    </row>
    <row r="388">
      <c r="H388" s="31"/>
    </row>
    <row r="389">
      <c r="H389" s="31"/>
    </row>
    <row r="390">
      <c r="H390" s="31"/>
    </row>
    <row r="391">
      <c r="H391" s="31"/>
    </row>
    <row r="392">
      <c r="H392" s="31"/>
    </row>
    <row r="393">
      <c r="H393" s="31"/>
    </row>
    <row r="394">
      <c r="H394" s="31"/>
    </row>
    <row r="395">
      <c r="H395" s="31"/>
    </row>
    <row r="396">
      <c r="H396" s="31"/>
    </row>
    <row r="397">
      <c r="H397" s="31"/>
    </row>
    <row r="398">
      <c r="H398" s="31"/>
    </row>
    <row r="399">
      <c r="H399" s="31"/>
    </row>
    <row r="400">
      <c r="H400" s="31"/>
    </row>
    <row r="401">
      <c r="H401" s="31"/>
    </row>
    <row r="402">
      <c r="H402" s="31"/>
    </row>
    <row r="403">
      <c r="H403" s="31"/>
    </row>
    <row r="404">
      <c r="H404" s="31"/>
    </row>
    <row r="405">
      <c r="H405" s="31"/>
    </row>
    <row r="406">
      <c r="H406" s="31"/>
    </row>
    <row r="407">
      <c r="H407" s="31"/>
    </row>
    <row r="408">
      <c r="H408" s="31"/>
    </row>
    <row r="409">
      <c r="H409" s="31"/>
    </row>
    <row r="410">
      <c r="H410" s="31"/>
    </row>
    <row r="411">
      <c r="H411" s="31"/>
    </row>
    <row r="412">
      <c r="H412" s="31"/>
    </row>
    <row r="413">
      <c r="H413" s="31"/>
    </row>
    <row r="414">
      <c r="H414" s="31"/>
    </row>
    <row r="415">
      <c r="H415" s="31"/>
    </row>
    <row r="416">
      <c r="H416" s="31"/>
    </row>
    <row r="417">
      <c r="H417" s="31"/>
    </row>
    <row r="418">
      <c r="H418" s="31"/>
    </row>
    <row r="419">
      <c r="H419" s="31"/>
    </row>
    <row r="420">
      <c r="H420" s="31"/>
    </row>
    <row r="421">
      <c r="H421" s="31"/>
    </row>
    <row r="422">
      <c r="H422" s="31"/>
    </row>
    <row r="423">
      <c r="H423" s="31"/>
    </row>
    <row r="424">
      <c r="H424" s="31"/>
    </row>
    <row r="425">
      <c r="H425" s="31"/>
    </row>
    <row r="426">
      <c r="H426" s="31"/>
    </row>
    <row r="427">
      <c r="H427" s="31"/>
    </row>
    <row r="428">
      <c r="H428" s="31"/>
    </row>
    <row r="429">
      <c r="H429" s="31"/>
    </row>
    <row r="430">
      <c r="H430" s="31"/>
    </row>
    <row r="431">
      <c r="H431" s="31"/>
    </row>
    <row r="432">
      <c r="H432" s="31"/>
    </row>
    <row r="433">
      <c r="H433" s="31"/>
    </row>
    <row r="434">
      <c r="H434" s="31"/>
    </row>
    <row r="435">
      <c r="H435" s="31"/>
    </row>
    <row r="436">
      <c r="H436" s="31"/>
    </row>
    <row r="437">
      <c r="H437" s="31"/>
    </row>
    <row r="438">
      <c r="H438" s="31"/>
    </row>
    <row r="439">
      <c r="H439" s="31"/>
    </row>
    <row r="440">
      <c r="H440" s="31"/>
    </row>
    <row r="441">
      <c r="H441" s="31"/>
    </row>
    <row r="442">
      <c r="H442" s="31"/>
    </row>
    <row r="443">
      <c r="H443" s="31"/>
    </row>
    <row r="444">
      <c r="H444" s="31"/>
    </row>
    <row r="445">
      <c r="H445" s="31"/>
    </row>
    <row r="446">
      <c r="H446" s="31"/>
    </row>
    <row r="447">
      <c r="H447" s="31"/>
    </row>
    <row r="448">
      <c r="H448" s="31"/>
    </row>
    <row r="449">
      <c r="H449" s="31"/>
    </row>
    <row r="450">
      <c r="H450" s="31"/>
    </row>
    <row r="451">
      <c r="H451" s="31"/>
    </row>
    <row r="452">
      <c r="H452" s="31"/>
    </row>
    <row r="453">
      <c r="H453" s="31"/>
    </row>
    <row r="454">
      <c r="H454" s="31"/>
    </row>
    <row r="455">
      <c r="H455" s="31"/>
    </row>
    <row r="456">
      <c r="H456" s="31"/>
    </row>
    <row r="457">
      <c r="H457" s="31"/>
    </row>
    <row r="458">
      <c r="H458" s="31"/>
    </row>
    <row r="459">
      <c r="H459" s="31"/>
    </row>
    <row r="460">
      <c r="H460" s="31"/>
    </row>
    <row r="461">
      <c r="H461" s="31"/>
    </row>
    <row r="462">
      <c r="H462" s="31"/>
    </row>
    <row r="463">
      <c r="H463" s="31"/>
    </row>
    <row r="464">
      <c r="H464" s="31"/>
    </row>
    <row r="465">
      <c r="H465" s="31"/>
    </row>
    <row r="466">
      <c r="H466" s="31"/>
    </row>
    <row r="467">
      <c r="H467" s="31"/>
    </row>
    <row r="468">
      <c r="H468" s="31"/>
    </row>
    <row r="469">
      <c r="H469" s="31"/>
    </row>
    <row r="470">
      <c r="H470" s="31"/>
    </row>
    <row r="471">
      <c r="H471" s="31"/>
    </row>
    <row r="472">
      <c r="H472" s="31"/>
    </row>
    <row r="473">
      <c r="H473" s="31"/>
    </row>
    <row r="474">
      <c r="H474" s="31"/>
    </row>
    <row r="475">
      <c r="H475" s="31"/>
    </row>
    <row r="476">
      <c r="H476" s="31"/>
    </row>
    <row r="477">
      <c r="H477" s="31"/>
    </row>
    <row r="478">
      <c r="H478" s="31"/>
    </row>
    <row r="479">
      <c r="H479" s="31"/>
    </row>
    <row r="480">
      <c r="H480" s="31"/>
    </row>
    <row r="481">
      <c r="H481" s="31"/>
    </row>
    <row r="482">
      <c r="H482" s="31"/>
    </row>
    <row r="483">
      <c r="H483" s="31"/>
    </row>
    <row r="484">
      <c r="H484" s="31"/>
    </row>
    <row r="485">
      <c r="H485" s="31"/>
    </row>
    <row r="486">
      <c r="H486" s="31"/>
    </row>
    <row r="487">
      <c r="H487" s="31"/>
    </row>
    <row r="488">
      <c r="H488" s="31"/>
    </row>
    <row r="489">
      <c r="H489" s="31"/>
    </row>
    <row r="490">
      <c r="H490" s="31"/>
    </row>
    <row r="491">
      <c r="H491" s="31"/>
    </row>
    <row r="492">
      <c r="H492" s="31"/>
    </row>
    <row r="493">
      <c r="H493" s="31"/>
    </row>
    <row r="494">
      <c r="H494" s="31"/>
    </row>
    <row r="495">
      <c r="H495" s="31"/>
    </row>
    <row r="496">
      <c r="H496" s="31"/>
    </row>
    <row r="497">
      <c r="H497" s="31"/>
    </row>
    <row r="498">
      <c r="H498" s="31"/>
    </row>
    <row r="499">
      <c r="H499" s="31"/>
    </row>
    <row r="500">
      <c r="H500" s="31"/>
    </row>
    <row r="501">
      <c r="H501" s="31"/>
    </row>
    <row r="502">
      <c r="H502" s="31"/>
    </row>
    <row r="503">
      <c r="H503" s="31"/>
    </row>
    <row r="504">
      <c r="H504" s="31"/>
    </row>
    <row r="505">
      <c r="H505" s="31"/>
    </row>
    <row r="506">
      <c r="H506" s="31"/>
    </row>
    <row r="507">
      <c r="H507" s="31"/>
    </row>
    <row r="508">
      <c r="H508" s="31"/>
    </row>
    <row r="509">
      <c r="H509" s="31"/>
    </row>
    <row r="510">
      <c r="H510" s="31"/>
    </row>
    <row r="511">
      <c r="H511" s="31"/>
    </row>
    <row r="512">
      <c r="H512" s="31"/>
    </row>
    <row r="513">
      <c r="H513" s="31"/>
    </row>
    <row r="514">
      <c r="H514" s="31"/>
    </row>
    <row r="515">
      <c r="H515" s="31"/>
    </row>
    <row r="516">
      <c r="H516" s="31"/>
    </row>
    <row r="517">
      <c r="H517" s="31"/>
    </row>
    <row r="518">
      <c r="H518" s="31"/>
    </row>
    <row r="519">
      <c r="H519" s="31"/>
    </row>
    <row r="520">
      <c r="H520" s="31"/>
    </row>
    <row r="521">
      <c r="H521" s="31"/>
    </row>
    <row r="522">
      <c r="H522" s="31"/>
    </row>
    <row r="523">
      <c r="H523" s="31"/>
    </row>
    <row r="524">
      <c r="H524" s="31"/>
    </row>
    <row r="525">
      <c r="H525" s="31"/>
    </row>
    <row r="526">
      <c r="H526" s="31"/>
    </row>
    <row r="527">
      <c r="H527" s="31"/>
    </row>
    <row r="528">
      <c r="H528" s="31"/>
    </row>
    <row r="529">
      <c r="H529" s="31"/>
    </row>
    <row r="530">
      <c r="H530" s="31"/>
    </row>
    <row r="531">
      <c r="H531" s="31"/>
    </row>
    <row r="532">
      <c r="H532" s="31"/>
    </row>
    <row r="533">
      <c r="H533" s="31"/>
    </row>
    <row r="534">
      <c r="H534" s="31"/>
    </row>
    <row r="535">
      <c r="H535" s="31"/>
    </row>
    <row r="536">
      <c r="H536" s="31"/>
    </row>
    <row r="537">
      <c r="H537" s="31"/>
    </row>
    <row r="538">
      <c r="H538" s="31"/>
    </row>
    <row r="539">
      <c r="H539" s="31"/>
    </row>
    <row r="540">
      <c r="H540" s="31"/>
    </row>
    <row r="541">
      <c r="H541" s="31"/>
    </row>
    <row r="542">
      <c r="H542" s="31"/>
    </row>
    <row r="543">
      <c r="H543" s="31"/>
    </row>
    <row r="544">
      <c r="H544" s="31"/>
    </row>
    <row r="545">
      <c r="H545" s="31"/>
    </row>
    <row r="546">
      <c r="H546" s="31"/>
    </row>
    <row r="547">
      <c r="H547" s="31"/>
    </row>
    <row r="548">
      <c r="H548" s="31"/>
    </row>
    <row r="549">
      <c r="H549" s="31"/>
    </row>
    <row r="550">
      <c r="H550" s="31"/>
    </row>
    <row r="551">
      <c r="H551" s="31"/>
    </row>
    <row r="552">
      <c r="H552" s="31"/>
    </row>
    <row r="553">
      <c r="H553" s="31"/>
    </row>
    <row r="554">
      <c r="H554" s="31"/>
    </row>
    <row r="555">
      <c r="H555" s="31"/>
    </row>
    <row r="556">
      <c r="H556" s="31"/>
    </row>
    <row r="557">
      <c r="H557" s="31"/>
    </row>
    <row r="558">
      <c r="H558" s="31"/>
    </row>
    <row r="559">
      <c r="H559" s="31"/>
    </row>
    <row r="560">
      <c r="H560" s="31"/>
    </row>
    <row r="561">
      <c r="H561" s="31"/>
    </row>
    <row r="562">
      <c r="H562" s="31"/>
    </row>
    <row r="563">
      <c r="H563" s="31"/>
    </row>
    <row r="564">
      <c r="H564" s="31"/>
    </row>
    <row r="565">
      <c r="H565" s="31"/>
    </row>
    <row r="566">
      <c r="H566" s="31"/>
    </row>
    <row r="567">
      <c r="H567" s="31"/>
    </row>
    <row r="568">
      <c r="H568" s="31"/>
    </row>
    <row r="569">
      <c r="H569" s="31"/>
    </row>
    <row r="570">
      <c r="H570" s="31"/>
    </row>
    <row r="571">
      <c r="H571" s="31"/>
    </row>
    <row r="572">
      <c r="H572" s="31"/>
    </row>
    <row r="573">
      <c r="H573" s="31"/>
    </row>
    <row r="574">
      <c r="H574" s="31"/>
    </row>
    <row r="575">
      <c r="H575" s="31"/>
    </row>
    <row r="576">
      <c r="H576" s="31"/>
    </row>
    <row r="577">
      <c r="H577" s="31"/>
    </row>
    <row r="578">
      <c r="H578" s="31"/>
    </row>
    <row r="579">
      <c r="H579" s="31"/>
    </row>
    <row r="580">
      <c r="H580" s="31"/>
    </row>
    <row r="581">
      <c r="H581" s="31"/>
    </row>
    <row r="582">
      <c r="H582" s="31"/>
    </row>
    <row r="583">
      <c r="H583" s="31"/>
    </row>
    <row r="584">
      <c r="H584" s="31"/>
    </row>
    <row r="585">
      <c r="H585" s="31"/>
    </row>
    <row r="586">
      <c r="H586" s="31"/>
    </row>
    <row r="587">
      <c r="H587" s="31"/>
    </row>
    <row r="588">
      <c r="H588" s="31"/>
    </row>
    <row r="589">
      <c r="H589" s="31"/>
    </row>
    <row r="590">
      <c r="H590" s="31"/>
    </row>
    <row r="591">
      <c r="H591" s="31"/>
    </row>
    <row r="592">
      <c r="H592" s="31"/>
    </row>
    <row r="593">
      <c r="H593" s="31"/>
    </row>
    <row r="594">
      <c r="H594" s="31"/>
    </row>
    <row r="595">
      <c r="H595" s="31"/>
    </row>
    <row r="596">
      <c r="H596" s="31"/>
    </row>
    <row r="597">
      <c r="H597" s="31"/>
    </row>
    <row r="598">
      <c r="H598" s="31"/>
    </row>
    <row r="599">
      <c r="H599" s="31"/>
    </row>
    <row r="600">
      <c r="H600" s="31"/>
    </row>
    <row r="601">
      <c r="H601" s="31"/>
    </row>
    <row r="602">
      <c r="H602" s="31"/>
    </row>
    <row r="603">
      <c r="H603" s="31"/>
    </row>
    <row r="604">
      <c r="H604" s="31"/>
    </row>
    <row r="605">
      <c r="H605" s="31"/>
    </row>
    <row r="606">
      <c r="H606" s="31"/>
    </row>
    <row r="607">
      <c r="H607" s="31"/>
    </row>
    <row r="608">
      <c r="H608" s="31"/>
    </row>
    <row r="609">
      <c r="H609" s="31"/>
    </row>
    <row r="610">
      <c r="H610" s="31"/>
    </row>
    <row r="611">
      <c r="H611" s="31"/>
    </row>
    <row r="612">
      <c r="H612" s="31"/>
    </row>
    <row r="613">
      <c r="H613" s="31"/>
    </row>
    <row r="614">
      <c r="H614" s="31"/>
    </row>
    <row r="615">
      <c r="H615" s="31"/>
    </row>
    <row r="616">
      <c r="H616" s="31"/>
    </row>
    <row r="617">
      <c r="H617" s="31"/>
    </row>
    <row r="618">
      <c r="H618" s="31"/>
    </row>
    <row r="619">
      <c r="H619" s="31"/>
    </row>
    <row r="620">
      <c r="H620" s="31"/>
    </row>
    <row r="621">
      <c r="H621" s="31"/>
    </row>
    <row r="622">
      <c r="H622" s="31"/>
    </row>
    <row r="623">
      <c r="H623" s="31"/>
    </row>
    <row r="624">
      <c r="H624" s="31"/>
    </row>
    <row r="625">
      <c r="H625" s="31"/>
    </row>
    <row r="626">
      <c r="H626" s="31"/>
    </row>
    <row r="627">
      <c r="H627" s="31"/>
    </row>
    <row r="628">
      <c r="H628" s="31"/>
    </row>
    <row r="629">
      <c r="H629" s="31"/>
    </row>
    <row r="630">
      <c r="H630" s="31"/>
    </row>
    <row r="631">
      <c r="H631" s="31"/>
    </row>
    <row r="632">
      <c r="H632" s="31"/>
    </row>
    <row r="633">
      <c r="H633" s="31"/>
    </row>
    <row r="634">
      <c r="H634" s="31"/>
    </row>
    <row r="635">
      <c r="H635" s="31"/>
    </row>
    <row r="636">
      <c r="H636" s="31"/>
    </row>
    <row r="637">
      <c r="H637" s="31"/>
    </row>
    <row r="638">
      <c r="H638" s="31"/>
    </row>
    <row r="639">
      <c r="H639" s="31"/>
    </row>
    <row r="640">
      <c r="H640" s="31"/>
    </row>
    <row r="641">
      <c r="H641" s="31"/>
    </row>
    <row r="642">
      <c r="H642" s="31"/>
    </row>
    <row r="643">
      <c r="H643" s="31"/>
    </row>
    <row r="644">
      <c r="H644" s="31"/>
    </row>
    <row r="645">
      <c r="H645" s="31"/>
    </row>
    <row r="646">
      <c r="H646" s="31"/>
    </row>
    <row r="647">
      <c r="H647" s="31"/>
    </row>
    <row r="648">
      <c r="H648" s="31"/>
    </row>
    <row r="649">
      <c r="H649" s="31"/>
    </row>
    <row r="650">
      <c r="H650" s="31"/>
    </row>
    <row r="651">
      <c r="H651" s="31"/>
    </row>
    <row r="652">
      <c r="H652" s="31"/>
    </row>
    <row r="653">
      <c r="H653" s="31"/>
    </row>
    <row r="654">
      <c r="H654" s="31"/>
    </row>
    <row r="655">
      <c r="H655" s="31"/>
    </row>
    <row r="656">
      <c r="H656" s="31"/>
    </row>
    <row r="657">
      <c r="H657" s="31"/>
    </row>
    <row r="658">
      <c r="H658" s="31"/>
    </row>
    <row r="659">
      <c r="H659" s="31"/>
    </row>
    <row r="660">
      <c r="H660" s="31"/>
    </row>
    <row r="661">
      <c r="H661" s="31"/>
    </row>
    <row r="662">
      <c r="H662" s="31"/>
    </row>
    <row r="663">
      <c r="H663" s="31"/>
    </row>
    <row r="664">
      <c r="H664" s="31"/>
    </row>
    <row r="665">
      <c r="H665" s="31"/>
    </row>
    <row r="666">
      <c r="H666" s="31"/>
    </row>
    <row r="667">
      <c r="H667" s="31"/>
    </row>
    <row r="668">
      <c r="H668" s="31"/>
    </row>
    <row r="669">
      <c r="H669" s="31"/>
    </row>
    <row r="670">
      <c r="H670" s="31"/>
    </row>
    <row r="671">
      <c r="H671" s="31"/>
    </row>
    <row r="672">
      <c r="H672" s="31"/>
    </row>
    <row r="673">
      <c r="H673" s="31"/>
    </row>
    <row r="674">
      <c r="H674" s="31"/>
    </row>
    <row r="675">
      <c r="H675" s="31"/>
    </row>
    <row r="676">
      <c r="H676" s="31"/>
    </row>
    <row r="677">
      <c r="H677" s="31"/>
    </row>
    <row r="678">
      <c r="H678" s="31"/>
    </row>
    <row r="679">
      <c r="H679" s="31"/>
    </row>
    <row r="680">
      <c r="H680" s="31"/>
    </row>
    <row r="681">
      <c r="H681" s="31"/>
    </row>
    <row r="682">
      <c r="H682" s="31"/>
    </row>
    <row r="683">
      <c r="H683" s="31"/>
    </row>
    <row r="684">
      <c r="H684" s="31"/>
    </row>
    <row r="685">
      <c r="H685" s="31"/>
    </row>
    <row r="686">
      <c r="H686" s="31"/>
    </row>
    <row r="687">
      <c r="H687" s="31"/>
    </row>
    <row r="688">
      <c r="H688" s="31"/>
    </row>
    <row r="689">
      <c r="H689" s="31"/>
    </row>
    <row r="690">
      <c r="H690" s="31"/>
    </row>
    <row r="691">
      <c r="H691" s="31"/>
    </row>
    <row r="692">
      <c r="H692" s="31"/>
    </row>
    <row r="693">
      <c r="H693" s="31"/>
    </row>
    <row r="694">
      <c r="H694" s="31"/>
    </row>
    <row r="695">
      <c r="H695" s="31"/>
    </row>
    <row r="696">
      <c r="H696" s="31"/>
    </row>
    <row r="697">
      <c r="H697" s="31"/>
    </row>
    <row r="698">
      <c r="H698" s="31"/>
    </row>
    <row r="699">
      <c r="H699" s="31"/>
    </row>
    <row r="700">
      <c r="H700" s="31"/>
    </row>
    <row r="701">
      <c r="H701" s="31"/>
    </row>
    <row r="702">
      <c r="H702" s="31"/>
    </row>
    <row r="703">
      <c r="H703" s="31"/>
    </row>
    <row r="704">
      <c r="H704" s="31"/>
    </row>
    <row r="705">
      <c r="H705" s="31"/>
    </row>
    <row r="706">
      <c r="H706" s="31"/>
    </row>
    <row r="707">
      <c r="H707" s="31"/>
    </row>
    <row r="708">
      <c r="H708" s="31"/>
    </row>
    <row r="709">
      <c r="H709" s="31"/>
    </row>
    <row r="710">
      <c r="H710" s="31"/>
    </row>
    <row r="711">
      <c r="H711" s="31"/>
    </row>
    <row r="712">
      <c r="H712" s="31"/>
    </row>
    <row r="713">
      <c r="H713" s="31"/>
    </row>
    <row r="714">
      <c r="H714" s="31"/>
    </row>
    <row r="715">
      <c r="H715" s="31"/>
    </row>
    <row r="716">
      <c r="H716" s="31"/>
    </row>
    <row r="717">
      <c r="H717" s="31"/>
    </row>
    <row r="718">
      <c r="H718" s="31"/>
    </row>
    <row r="719">
      <c r="H719" s="31"/>
    </row>
    <row r="720">
      <c r="H720" s="31"/>
    </row>
    <row r="721">
      <c r="H721" s="31"/>
    </row>
    <row r="722">
      <c r="H722" s="31"/>
    </row>
    <row r="723">
      <c r="H723" s="31"/>
    </row>
    <row r="724">
      <c r="H724" s="31"/>
    </row>
    <row r="725">
      <c r="H725" s="31"/>
    </row>
    <row r="726">
      <c r="H726" s="31"/>
    </row>
    <row r="727">
      <c r="H727" s="31"/>
    </row>
    <row r="728">
      <c r="H728" s="31"/>
    </row>
    <row r="729">
      <c r="H729" s="31"/>
    </row>
    <row r="730">
      <c r="H730" s="31"/>
    </row>
    <row r="731">
      <c r="H731" s="31"/>
    </row>
    <row r="732">
      <c r="H732" s="31"/>
    </row>
    <row r="733">
      <c r="H733" s="31"/>
    </row>
    <row r="734">
      <c r="H734" s="31"/>
    </row>
    <row r="735">
      <c r="H735" s="31"/>
    </row>
    <row r="736">
      <c r="H736" s="31"/>
    </row>
    <row r="737">
      <c r="H737" s="31"/>
    </row>
    <row r="738">
      <c r="H738" s="31"/>
    </row>
    <row r="739">
      <c r="H739" s="31"/>
    </row>
    <row r="740">
      <c r="H740" s="31"/>
    </row>
    <row r="741">
      <c r="H741" s="31"/>
    </row>
    <row r="742">
      <c r="H742" s="31"/>
    </row>
    <row r="743">
      <c r="H743" s="31"/>
    </row>
    <row r="744">
      <c r="H744" s="31"/>
    </row>
    <row r="745">
      <c r="H745" s="31"/>
    </row>
    <row r="746">
      <c r="H746" s="31"/>
    </row>
    <row r="747">
      <c r="H747" s="31"/>
    </row>
    <row r="748">
      <c r="H748" s="31"/>
    </row>
    <row r="749">
      <c r="H749" s="31"/>
    </row>
    <row r="750">
      <c r="H750" s="31"/>
    </row>
    <row r="751">
      <c r="H751" s="31"/>
    </row>
    <row r="752">
      <c r="H752" s="31"/>
    </row>
    <row r="753">
      <c r="H753" s="31"/>
    </row>
    <row r="754">
      <c r="H754" s="31"/>
    </row>
    <row r="755">
      <c r="H755" s="31"/>
    </row>
    <row r="756">
      <c r="H756" s="31"/>
    </row>
    <row r="757">
      <c r="H757" s="31"/>
    </row>
    <row r="758">
      <c r="H758" s="31"/>
    </row>
    <row r="759">
      <c r="H759" s="31"/>
    </row>
    <row r="760">
      <c r="H760" s="31"/>
    </row>
    <row r="761">
      <c r="H761" s="31"/>
    </row>
    <row r="762">
      <c r="H762" s="31"/>
    </row>
    <row r="763">
      <c r="H763" s="31"/>
    </row>
    <row r="764">
      <c r="H764" s="31"/>
    </row>
    <row r="765">
      <c r="H765" s="31"/>
    </row>
    <row r="766">
      <c r="H766" s="31"/>
    </row>
    <row r="767">
      <c r="H767" s="31"/>
    </row>
    <row r="768">
      <c r="H768" s="31"/>
    </row>
    <row r="769">
      <c r="H769" s="31"/>
    </row>
    <row r="770">
      <c r="H770" s="31"/>
    </row>
    <row r="771">
      <c r="H771" s="31"/>
    </row>
    <row r="772">
      <c r="H772" s="31"/>
    </row>
    <row r="773">
      <c r="H773" s="31"/>
    </row>
    <row r="774">
      <c r="H774" s="31"/>
    </row>
    <row r="775">
      <c r="H775" s="31"/>
    </row>
    <row r="776">
      <c r="H776" s="31"/>
    </row>
    <row r="777">
      <c r="H777" s="31"/>
    </row>
    <row r="778">
      <c r="H778" s="31"/>
    </row>
    <row r="779">
      <c r="H779" s="31"/>
    </row>
    <row r="780">
      <c r="H780" s="31"/>
    </row>
    <row r="781">
      <c r="H781" s="31"/>
    </row>
    <row r="782">
      <c r="H782" s="31"/>
    </row>
    <row r="783">
      <c r="H783" s="31"/>
    </row>
    <row r="784">
      <c r="H784" s="31"/>
    </row>
    <row r="785">
      <c r="H785" s="31"/>
    </row>
    <row r="786">
      <c r="H786" s="31"/>
    </row>
    <row r="787">
      <c r="H787" s="31"/>
    </row>
    <row r="788">
      <c r="H788" s="31"/>
    </row>
    <row r="789">
      <c r="H789" s="31"/>
    </row>
    <row r="790">
      <c r="H790" s="31"/>
    </row>
    <row r="791">
      <c r="H791" s="31"/>
    </row>
    <row r="792">
      <c r="H792" s="31"/>
    </row>
    <row r="793">
      <c r="H793" s="31"/>
    </row>
    <row r="794">
      <c r="H794" s="31"/>
    </row>
    <row r="795">
      <c r="H795" s="31"/>
    </row>
    <row r="796">
      <c r="H796" s="31"/>
    </row>
    <row r="797">
      <c r="H797" s="31"/>
    </row>
    <row r="798">
      <c r="H798" s="31"/>
    </row>
    <row r="799">
      <c r="H799" s="31"/>
    </row>
    <row r="800">
      <c r="H800" s="31"/>
    </row>
    <row r="801">
      <c r="H801" s="31"/>
    </row>
    <row r="802">
      <c r="H802" s="31"/>
    </row>
    <row r="803">
      <c r="H803" s="31"/>
    </row>
    <row r="804">
      <c r="H804" s="31"/>
    </row>
    <row r="805">
      <c r="H805" s="31"/>
    </row>
    <row r="806">
      <c r="H806" s="31"/>
    </row>
    <row r="807">
      <c r="H807" s="31"/>
    </row>
    <row r="808">
      <c r="H808" s="31"/>
    </row>
    <row r="809">
      <c r="H809" s="31"/>
    </row>
    <row r="810">
      <c r="H810" s="31"/>
    </row>
    <row r="811">
      <c r="H811" s="31"/>
    </row>
    <row r="812">
      <c r="H812" s="31"/>
    </row>
    <row r="813">
      <c r="H813" s="31"/>
    </row>
    <row r="814">
      <c r="H814" s="31"/>
    </row>
    <row r="815">
      <c r="H815" s="31"/>
    </row>
    <row r="816">
      <c r="H816" s="31"/>
    </row>
    <row r="817">
      <c r="H817" s="31"/>
    </row>
    <row r="818">
      <c r="H818" s="31"/>
    </row>
    <row r="819">
      <c r="H819" s="31"/>
    </row>
    <row r="820">
      <c r="H820" s="31"/>
    </row>
    <row r="821">
      <c r="H821" s="31"/>
    </row>
    <row r="822">
      <c r="H822" s="31"/>
    </row>
    <row r="823">
      <c r="H823" s="31"/>
    </row>
    <row r="824">
      <c r="H824" s="31"/>
    </row>
    <row r="825">
      <c r="H825" s="31"/>
    </row>
    <row r="826">
      <c r="H826" s="31"/>
    </row>
    <row r="827">
      <c r="H827" s="31"/>
    </row>
    <row r="828">
      <c r="H828" s="31"/>
    </row>
    <row r="829">
      <c r="H829" s="31"/>
    </row>
    <row r="830">
      <c r="H830" s="31"/>
    </row>
    <row r="831">
      <c r="H831" s="31"/>
    </row>
    <row r="832">
      <c r="H832" s="31"/>
    </row>
    <row r="833">
      <c r="H833" s="31"/>
    </row>
    <row r="834">
      <c r="H834" s="31"/>
    </row>
    <row r="835">
      <c r="H835" s="31"/>
    </row>
    <row r="836">
      <c r="H836" s="31"/>
    </row>
    <row r="837">
      <c r="H837" s="31"/>
    </row>
    <row r="838">
      <c r="H838" s="31"/>
    </row>
    <row r="839">
      <c r="H839" s="31"/>
    </row>
    <row r="840">
      <c r="H840" s="31"/>
    </row>
    <row r="841">
      <c r="H841" s="31"/>
    </row>
    <row r="842">
      <c r="H842" s="31"/>
    </row>
    <row r="843">
      <c r="H843" s="31"/>
    </row>
    <row r="844">
      <c r="H844" s="31"/>
    </row>
    <row r="845">
      <c r="H845" s="31"/>
    </row>
    <row r="846">
      <c r="H846" s="31"/>
    </row>
    <row r="847">
      <c r="H847" s="31"/>
    </row>
    <row r="848">
      <c r="H848" s="31"/>
    </row>
    <row r="849">
      <c r="H849" s="31"/>
    </row>
    <row r="850">
      <c r="H850" s="31"/>
    </row>
    <row r="851">
      <c r="H851" s="31"/>
    </row>
    <row r="852">
      <c r="H852" s="31"/>
    </row>
    <row r="853">
      <c r="H853" s="31"/>
    </row>
    <row r="854">
      <c r="H854" s="31"/>
    </row>
    <row r="855">
      <c r="H855" s="31"/>
    </row>
    <row r="856">
      <c r="H856" s="31"/>
    </row>
    <row r="857">
      <c r="H857" s="31"/>
    </row>
    <row r="858">
      <c r="H858" s="31"/>
    </row>
    <row r="859">
      <c r="H859" s="31"/>
    </row>
    <row r="860">
      <c r="H860" s="31"/>
    </row>
    <row r="861">
      <c r="H861" s="31"/>
    </row>
    <row r="862">
      <c r="H862" s="31"/>
    </row>
    <row r="863">
      <c r="H863" s="31"/>
    </row>
    <row r="864">
      <c r="H864" s="31"/>
    </row>
    <row r="865">
      <c r="H865" s="31"/>
    </row>
    <row r="866">
      <c r="H866" s="31"/>
    </row>
    <row r="867">
      <c r="H867" s="31"/>
    </row>
    <row r="868">
      <c r="H868" s="31"/>
    </row>
    <row r="869">
      <c r="H869" s="31"/>
    </row>
    <row r="870">
      <c r="H870" s="31"/>
    </row>
    <row r="871">
      <c r="H871" s="31"/>
    </row>
    <row r="872">
      <c r="H872" s="31"/>
    </row>
    <row r="873">
      <c r="H873" s="31"/>
    </row>
    <row r="874">
      <c r="H874" s="31"/>
    </row>
    <row r="875">
      <c r="H875" s="31"/>
    </row>
    <row r="876">
      <c r="H876" s="31"/>
    </row>
    <row r="877">
      <c r="H877" s="31"/>
    </row>
    <row r="878">
      <c r="H878" s="31"/>
    </row>
    <row r="879">
      <c r="H879" s="31"/>
    </row>
    <row r="880">
      <c r="H880" s="31"/>
    </row>
    <row r="881">
      <c r="H881" s="31"/>
    </row>
    <row r="882">
      <c r="H882" s="31"/>
    </row>
    <row r="883">
      <c r="H883" s="31"/>
    </row>
    <row r="884">
      <c r="H884" s="31"/>
    </row>
    <row r="885">
      <c r="H885" s="31"/>
    </row>
    <row r="886">
      <c r="H886" s="31"/>
    </row>
    <row r="887">
      <c r="H887" s="31"/>
    </row>
    <row r="888">
      <c r="H888" s="31"/>
    </row>
    <row r="889">
      <c r="H889" s="31"/>
    </row>
    <row r="890">
      <c r="H890" s="31"/>
    </row>
    <row r="891">
      <c r="H891" s="31"/>
    </row>
    <row r="892">
      <c r="H892" s="31"/>
    </row>
    <row r="893">
      <c r="H893" s="31"/>
    </row>
    <row r="894">
      <c r="H894" s="31"/>
    </row>
    <row r="895">
      <c r="H895" s="31"/>
    </row>
    <row r="896">
      <c r="H896" s="31"/>
    </row>
    <row r="897">
      <c r="H897" s="31"/>
    </row>
    <row r="898">
      <c r="H898" s="31"/>
    </row>
    <row r="899">
      <c r="H899" s="31"/>
    </row>
    <row r="900">
      <c r="H900" s="31"/>
    </row>
    <row r="901">
      <c r="H901" s="31"/>
    </row>
    <row r="902">
      <c r="H902" s="31"/>
    </row>
    <row r="903">
      <c r="H903" s="31"/>
    </row>
    <row r="904">
      <c r="H904" s="31"/>
    </row>
    <row r="905">
      <c r="H905" s="31"/>
    </row>
    <row r="906">
      <c r="H906" s="31"/>
    </row>
    <row r="907">
      <c r="H907" s="31"/>
    </row>
    <row r="908">
      <c r="H908" s="31"/>
    </row>
    <row r="909">
      <c r="H909" s="31"/>
    </row>
    <row r="910">
      <c r="H910" s="31"/>
    </row>
    <row r="911">
      <c r="H911" s="31"/>
    </row>
    <row r="912">
      <c r="H912" s="31"/>
    </row>
    <row r="913">
      <c r="H913" s="31"/>
    </row>
    <row r="914">
      <c r="H914" s="31"/>
    </row>
    <row r="915">
      <c r="H915" s="31"/>
    </row>
    <row r="916">
      <c r="H916" s="31"/>
    </row>
    <row r="917">
      <c r="H917" s="31"/>
    </row>
    <row r="918">
      <c r="H918" s="31"/>
    </row>
    <row r="919">
      <c r="H919" s="31"/>
    </row>
    <row r="920">
      <c r="H920" s="31"/>
    </row>
    <row r="921">
      <c r="H921" s="31"/>
    </row>
    <row r="922">
      <c r="H922" s="31"/>
    </row>
    <row r="923">
      <c r="H923" s="31"/>
    </row>
    <row r="924">
      <c r="H924" s="31"/>
    </row>
    <row r="925">
      <c r="H925" s="31"/>
    </row>
    <row r="926">
      <c r="H926" s="31"/>
    </row>
    <row r="927">
      <c r="H927" s="31"/>
    </row>
    <row r="928">
      <c r="H928" s="31"/>
    </row>
    <row r="929">
      <c r="H929" s="31"/>
    </row>
    <row r="930">
      <c r="H930" s="31"/>
    </row>
    <row r="931">
      <c r="H931" s="31"/>
    </row>
    <row r="932">
      <c r="H932" s="31"/>
    </row>
    <row r="933">
      <c r="H933" s="31"/>
    </row>
    <row r="934">
      <c r="H934" s="31"/>
    </row>
    <row r="935">
      <c r="H935" s="31"/>
    </row>
    <row r="936">
      <c r="H936" s="31"/>
    </row>
    <row r="937">
      <c r="H937" s="31"/>
    </row>
    <row r="938">
      <c r="H938" s="31"/>
    </row>
    <row r="939">
      <c r="H939" s="31"/>
    </row>
    <row r="940">
      <c r="H940" s="31"/>
    </row>
    <row r="941">
      <c r="H941" s="31"/>
    </row>
    <row r="942">
      <c r="H942" s="31"/>
    </row>
    <row r="943">
      <c r="H943" s="31"/>
    </row>
    <row r="944">
      <c r="H944" s="31"/>
    </row>
    <row r="945">
      <c r="H945" s="31"/>
    </row>
    <row r="946">
      <c r="H946" s="31"/>
    </row>
    <row r="947">
      <c r="H947" s="31"/>
    </row>
    <row r="948">
      <c r="H948" s="31"/>
    </row>
    <row r="949">
      <c r="H949" s="31"/>
    </row>
    <row r="950">
      <c r="H950" s="31"/>
    </row>
    <row r="951">
      <c r="H951" s="31"/>
    </row>
    <row r="952">
      <c r="H952" s="31"/>
    </row>
    <row r="953">
      <c r="H953" s="31"/>
    </row>
    <row r="954">
      <c r="H954" s="31"/>
    </row>
    <row r="955">
      <c r="H955" s="31"/>
    </row>
    <row r="956">
      <c r="H956" s="31"/>
    </row>
    <row r="957">
      <c r="H957" s="31"/>
    </row>
    <row r="958">
      <c r="H958" s="31"/>
    </row>
    <row r="959">
      <c r="H959" s="31"/>
    </row>
    <row r="960">
      <c r="H960" s="31"/>
    </row>
    <row r="961">
      <c r="H961" s="31"/>
    </row>
    <row r="962">
      <c r="H962" s="31"/>
    </row>
    <row r="963">
      <c r="H963" s="31"/>
    </row>
    <row r="964">
      <c r="H964" s="31"/>
    </row>
    <row r="965">
      <c r="H965" s="31"/>
    </row>
    <row r="966">
      <c r="H966" s="31"/>
    </row>
    <row r="967">
      <c r="H967" s="31"/>
    </row>
    <row r="968">
      <c r="H968" s="31"/>
    </row>
    <row r="969">
      <c r="H969" s="31"/>
    </row>
    <row r="970">
      <c r="H970" s="31"/>
    </row>
    <row r="971">
      <c r="H971" s="31"/>
    </row>
    <row r="972">
      <c r="H972" s="31"/>
    </row>
    <row r="973">
      <c r="H973" s="31"/>
    </row>
    <row r="974">
      <c r="H974" s="31"/>
    </row>
    <row r="975">
      <c r="H975" s="31"/>
    </row>
    <row r="976">
      <c r="H976" s="31"/>
    </row>
    <row r="977">
      <c r="H977" s="31"/>
    </row>
    <row r="978">
      <c r="H978" s="31"/>
    </row>
    <row r="979">
      <c r="H979" s="31"/>
    </row>
    <row r="980">
      <c r="H980" s="31"/>
    </row>
    <row r="981">
      <c r="H981" s="31"/>
    </row>
    <row r="982">
      <c r="H982" s="31"/>
    </row>
    <row r="983">
      <c r="H983" s="31"/>
    </row>
    <row r="984">
      <c r="H984" s="31"/>
    </row>
    <row r="985">
      <c r="H985" s="31"/>
    </row>
    <row r="986">
      <c r="H986" s="31"/>
    </row>
    <row r="987">
      <c r="H987" s="31"/>
    </row>
    <row r="988">
      <c r="H988" s="31"/>
    </row>
    <row r="989">
      <c r="H989" s="31"/>
    </row>
    <row r="990">
      <c r="H990" s="31"/>
    </row>
    <row r="991">
      <c r="H991" s="31"/>
    </row>
    <row r="992">
      <c r="H992" s="31"/>
    </row>
    <row r="993">
      <c r="H993" s="31"/>
    </row>
    <row r="994">
      <c r="H994" s="31"/>
    </row>
    <row r="995">
      <c r="H995" s="31"/>
    </row>
    <row r="996">
      <c r="H996" s="31"/>
    </row>
    <row r="997">
      <c r="H997" s="31"/>
    </row>
    <row r="998">
      <c r="H998" s="31"/>
    </row>
    <row r="999">
      <c r="H999" s="31"/>
    </row>
    <row r="1000">
      <c r="H1000" s="31"/>
    </row>
  </sheetData>
  <mergeCells count="5">
    <mergeCell ref="A1:A2"/>
    <mergeCell ref="B1:B2"/>
    <mergeCell ref="C1:C2"/>
    <mergeCell ref="D1:D2"/>
    <mergeCell ref="E1:E2"/>
  </mergeCells>
  <conditionalFormatting sqref="F3:AU39 AV3:AY31">
    <cfRule type="cellIs" dxfId="3" priority="1" operator="equal">
      <formula>1</formula>
    </cfRule>
  </conditionalFormatting>
  <conditionalFormatting sqref="F3:AU39 AV8:AW8 AV38:AY38">
    <cfRule type="cellIs" dxfId="4" priority="2" operator="equal">
      <formula>"R"</formula>
    </cfRule>
  </conditionalFormatting>
  <conditionalFormatting sqref="B3:B31 C3:C39 B38">
    <cfRule type="cellIs" dxfId="5" priority="3" operator="greaterThanOrEqual">
      <formula>3</formula>
    </cfRule>
  </conditionalFormatting>
  <conditionalFormatting sqref="B3:B31 B38">
    <cfRule type="cellIs" dxfId="6" priority="4" operator="lessThan">
      <formula>1</formula>
    </cfRule>
  </conditionalFormatting>
  <conditionalFormatting sqref="B3:B32 C3:C42 B38">
    <cfRule type="cellIs" dxfId="7" priority="5" operator="equal">
      <formula>0</formula>
    </cfRule>
  </conditionalFormatting>
  <conditionalFormatting sqref="B3:B31 C3:C39 B38">
    <cfRule type="cellIs" dxfId="8" priority="6" operator="lessThan">
      <formula>2</formula>
    </cfRule>
  </conditionalFormatting>
  <conditionalFormatting sqref="B3:B31 C3:C39 B38">
    <cfRule type="cellIs" dxfId="9" priority="7" operator="lessThan">
      <formula>3</formula>
    </cfRule>
  </conditionalFormatting>
  <conditionalFormatting sqref="B3:B32 C3:C42 B38">
    <cfRule type="containsBlanks" dxfId="6" priority="8">
      <formula>LEN(TRIM(B3))=0</formula>
    </cfRule>
  </conditionalFormatting>
  <conditionalFormatting sqref="F3:AU39 AV8:AW8 AV38:AY38">
    <cfRule type="cellIs" dxfId="10" priority="9" operator="equal">
      <formula>"R2"</formula>
    </cfRule>
  </conditionalFormatting>
  <conditionalFormatting sqref="AP32:AY32 F40:AY40">
    <cfRule type="cellIs" dxfId="7" priority="10" operator="lessThan">
      <formula>1</formula>
    </cfRule>
  </conditionalFormatting>
  <conditionalFormatting sqref="AP32:AY32 F40:AY40">
    <cfRule type="cellIs" dxfId="3" priority="11" operator="equal">
      <formula>1</formula>
    </cfRule>
  </conditionalFormatting>
  <conditionalFormatting sqref="AP32:AY32 F40:AY40">
    <cfRule type="cellIs" dxfId="11" priority="12" operator="greaterThan">
      <formula>1</formula>
    </cfRule>
  </conditionalFormatting>
  <conditionalFormatting sqref="D3:E42">
    <cfRule type="cellIs" dxfId="9" priority="13" operator="equal">
      <formula>1</formula>
    </cfRule>
  </conditionalFormatting>
  <conditionalFormatting sqref="Z31:Z37 F33:Y37 AA33:AY37 F39:AY42">
    <cfRule type="cellIs" dxfId="7" priority="14" operator="lessThan">
      <formula>1</formula>
    </cfRule>
  </conditionalFormatting>
  <conditionalFormatting sqref="Z31:Z37 F33:Y37 AA33:AY37 F39:AY42">
    <cfRule type="cellIs" dxfId="12" priority="15" operator="equal">
      <formula>1</formula>
    </cfRule>
  </conditionalFormatting>
  <conditionalFormatting sqref="Z31:Z37 F33:Y37 AA33:AY37 F39:AY42">
    <cfRule type="cellIs" dxfId="11" priority="16" operator="greaterThan">
      <formula>1</formula>
    </cfRule>
  </conditionalFormatting>
  <conditionalFormatting sqref="D3:D42 E3:E39">
    <cfRule type="cellIs" dxfId="7" priority="17" operator="equal">
      <formula>0</formula>
    </cfRule>
  </conditionalFormatting>
  <conditionalFormatting sqref="D3:D42 E3:E39">
    <cfRule type="cellIs" dxfId="4" priority="18" operator="equal">
      <formula>2</formula>
    </cfRule>
  </conditionalFormatting>
  <conditionalFormatting sqref="E3:E42">
    <cfRule type="cellIs" dxfId="7" priority="19" operator="equal">
      <formula>0</formula>
    </cfRule>
  </conditionalFormatting>
  <conditionalFormatting sqref="E3:E42">
    <cfRule type="cellIs" dxfId="4" priority="20" operator="greaterThanOrEqual">
      <formula>2</formula>
    </cfRule>
  </conditionalFormatting>
  <conditionalFormatting sqref="C45">
    <cfRule type="notContainsBlanks" dxfId="3" priority="21">
      <formula>LEN(TRIM(C45))&gt;0</formula>
    </cfRule>
  </conditionalFormatting>
  <conditionalFormatting sqref="AS2:AY2">
    <cfRule type="containsText" dxfId="13" priority="22" operator="containsText" text="(PAM)">
      <formula>NOT(ISERROR(SEARCH(("(PAM)"),(AS2))))</formula>
    </cfRule>
  </conditionalFormatting>
  <conditionalFormatting sqref="AS2:AY2">
    <cfRule type="containsText" dxfId="13" priority="23" operator="containsText" text="(PPM)">
      <formula>NOT(ISERROR(SEARCH(("(PPM)"),(AS2))))</formula>
    </cfRule>
  </conditionalFormatting>
  <conditionalFormatting sqref="F2:AY2">
    <cfRule type="containsText" dxfId="13" priority="24" operator="containsText" text="PAM">
      <formula>NOT(ISERROR(SEARCH(("PAM"),(F2))))</formula>
    </cfRule>
  </conditionalFormatting>
  <conditionalFormatting sqref="F2:AY2">
    <cfRule type="containsText" dxfId="13" priority="25" operator="containsText" text="PPM">
      <formula>NOT(ISERROR(SEARCH(("PPM"),(F2))))</formula>
    </cfRule>
  </conditionalFormatting>
  <conditionalFormatting sqref="F2:AY2">
    <cfRule type="containsText" dxfId="11" priority="26" operator="containsText" text="(AM)">
      <formula>NOT(ISERROR(SEARCH(("(AM)"),(F2))))</formula>
    </cfRule>
  </conditionalFormatting>
  <conditionalFormatting sqref="F2:AY2">
    <cfRule type="containsText" dxfId="7" priority="27" operator="containsText" text="(PM)">
      <formula>NOT(ISERROR(SEARCH(("(PM)"),(F2))))</formula>
    </cfRule>
  </conditionalFormatting>
  <conditionalFormatting sqref="F2:AY2">
    <cfRule type="notContainsText" dxfId="15" priority="28" operator="notContains" text="(AM)">
      <formula>ISERROR(SEARCH(("(AM)"),(F2)))</formula>
    </cfRule>
  </conditionalFormatting>
  <conditionalFormatting sqref="F2:AY2">
    <cfRule type="notContainsText" dxfId="15" priority="29" operator="notContains" text="(PM)">
      <formula>ISERROR(SEARCH(("(PM)"),(F2)))</formula>
    </cfRule>
  </conditionalFormatting>
  <conditionalFormatting sqref="F2:AY2">
    <cfRule type="notContainsText" dxfId="15" priority="30" operator="notContains" text="(PM)">
      <formula>ISERROR(SEARCH(("(PM)"),(F2)))</formula>
    </cfRule>
  </conditionalFormatting>
  <dataValidations>
    <dataValidation type="list" allowBlank="1" showErrorMessage="1" sqref="A3:A31 A38">
      <formula1>'Personnel List'!$D$2:$D$36</formula1>
    </dataValidation>
  </dataValidations>
  <drawing r:id="rId2"/>
  <legacyDrawing r:id="rId3"/>
  <tableParts count="2">
    <tablePart r:id="rId6"/>
    <tablePart r:id="rId7"/>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14.63"/>
    <col customWidth="1" hidden="1" min="2" max="2" width="11.38"/>
    <col customWidth="1" min="4" max="4" width="14.13"/>
    <col customWidth="1" min="6" max="9" width="8.63"/>
    <col customWidth="1" min="10" max="10" width="8.38"/>
    <col customWidth="1" min="11" max="11" width="8.25"/>
    <col customWidth="1" min="12" max="44" width="8.63"/>
    <col customWidth="1" hidden="1" min="45" max="51" width="9.5"/>
  </cols>
  <sheetData>
    <row r="1">
      <c r="A1" s="1" t="s">
        <v>0</v>
      </c>
      <c r="B1" s="1" t="s">
        <v>1</v>
      </c>
      <c r="C1" s="1" t="s">
        <v>2</v>
      </c>
      <c r="D1" s="1" t="s">
        <v>3</v>
      </c>
      <c r="E1" s="1" t="s">
        <v>4</v>
      </c>
      <c r="F1" s="2" t="s">
        <v>318</v>
      </c>
      <c r="G1" s="2" t="s">
        <v>318</v>
      </c>
      <c r="H1" s="2" t="s">
        <v>9</v>
      </c>
      <c r="I1" s="2" t="s">
        <v>10</v>
      </c>
      <c r="J1" s="2" t="s">
        <v>11</v>
      </c>
      <c r="K1" s="2" t="s">
        <v>12</v>
      </c>
      <c r="L1" s="2" t="s">
        <v>13</v>
      </c>
      <c r="M1" s="2" t="s">
        <v>317</v>
      </c>
      <c r="N1" s="2" t="s">
        <v>317</v>
      </c>
      <c r="O1" s="2" t="s">
        <v>318</v>
      </c>
      <c r="P1" s="2" t="s">
        <v>318</v>
      </c>
      <c r="Q1" s="2" t="s">
        <v>9</v>
      </c>
      <c r="R1" s="2" t="s">
        <v>10</v>
      </c>
      <c r="S1" s="2" t="s">
        <v>11</v>
      </c>
      <c r="T1" s="2" t="s">
        <v>12</v>
      </c>
      <c r="U1" s="2" t="s">
        <v>13</v>
      </c>
      <c r="V1" s="2" t="s">
        <v>317</v>
      </c>
      <c r="W1" s="2" t="s">
        <v>317</v>
      </c>
      <c r="X1" s="2" t="s">
        <v>318</v>
      </c>
      <c r="Y1" s="2" t="s">
        <v>318</v>
      </c>
      <c r="Z1" s="2" t="s">
        <v>9</v>
      </c>
      <c r="AA1" s="2" t="s">
        <v>10</v>
      </c>
      <c r="AB1" s="2" t="s">
        <v>11</v>
      </c>
      <c r="AC1" s="2" t="s">
        <v>12</v>
      </c>
      <c r="AD1" s="2" t="s">
        <v>13</v>
      </c>
      <c r="AE1" s="3" t="s">
        <v>317</v>
      </c>
      <c r="AF1" s="3" t="s">
        <v>317</v>
      </c>
      <c r="AG1" s="2" t="s">
        <v>318</v>
      </c>
      <c r="AH1" s="2" t="s">
        <v>318</v>
      </c>
      <c r="AI1" s="2" t="s">
        <v>9</v>
      </c>
      <c r="AJ1" s="2" t="s">
        <v>10</v>
      </c>
      <c r="AK1" s="2" t="s">
        <v>11</v>
      </c>
      <c r="AL1" s="2" t="s">
        <v>12</v>
      </c>
      <c r="AM1" s="2" t="s">
        <v>13</v>
      </c>
      <c r="AN1" s="2" t="s">
        <v>317</v>
      </c>
      <c r="AO1" s="2" t="s">
        <v>317</v>
      </c>
      <c r="AP1" s="2" t="s">
        <v>318</v>
      </c>
      <c r="AQ1" s="2" t="s">
        <v>318</v>
      </c>
      <c r="AR1" s="2" t="s">
        <v>9</v>
      </c>
      <c r="AS1" s="2"/>
      <c r="AT1" s="55"/>
      <c r="AU1" s="2" t="s">
        <v>317</v>
      </c>
      <c r="AV1" s="55" t="s">
        <v>7</v>
      </c>
      <c r="AW1" s="55" t="s">
        <v>8</v>
      </c>
      <c r="AX1" s="55" t="s">
        <v>7</v>
      </c>
      <c r="AY1" s="55" t="s">
        <v>8</v>
      </c>
    </row>
    <row r="2">
      <c r="F2" s="88" t="s">
        <v>370</v>
      </c>
      <c r="G2" s="88" t="s">
        <v>371</v>
      </c>
      <c r="H2" s="87">
        <v>45810.0</v>
      </c>
      <c r="I2" s="87">
        <v>45811.0</v>
      </c>
      <c r="J2" s="87">
        <v>45812.0</v>
      </c>
      <c r="K2" s="87">
        <v>45813.0</v>
      </c>
      <c r="L2" s="87">
        <v>45814.0</v>
      </c>
      <c r="M2" s="88" t="s">
        <v>372</v>
      </c>
      <c r="N2" s="88" t="s">
        <v>373</v>
      </c>
      <c r="O2" s="88" t="s">
        <v>374</v>
      </c>
      <c r="P2" s="88" t="s">
        <v>375</v>
      </c>
      <c r="Q2" s="87">
        <v>45817.0</v>
      </c>
      <c r="R2" s="87">
        <v>45818.0</v>
      </c>
      <c r="S2" s="87">
        <v>45819.0</v>
      </c>
      <c r="T2" s="87">
        <v>45820.0</v>
      </c>
      <c r="U2" s="87">
        <v>45821.0</v>
      </c>
      <c r="V2" s="88" t="s">
        <v>376</v>
      </c>
      <c r="W2" s="88" t="s">
        <v>377</v>
      </c>
      <c r="X2" s="88" t="s">
        <v>378</v>
      </c>
      <c r="Y2" s="88" t="s">
        <v>379</v>
      </c>
      <c r="Z2" s="87">
        <v>45824.0</v>
      </c>
      <c r="AA2" s="87">
        <v>45825.0</v>
      </c>
      <c r="AB2" s="87">
        <v>45826.0</v>
      </c>
      <c r="AC2" s="87">
        <v>45827.0</v>
      </c>
      <c r="AD2" s="87">
        <v>45828.0</v>
      </c>
      <c r="AE2" s="88" t="s">
        <v>380</v>
      </c>
      <c r="AF2" s="88" t="s">
        <v>381</v>
      </c>
      <c r="AG2" s="88" t="s">
        <v>382</v>
      </c>
      <c r="AH2" s="88" t="s">
        <v>383</v>
      </c>
      <c r="AI2" s="87">
        <v>45831.0</v>
      </c>
      <c r="AJ2" s="87">
        <v>45832.0</v>
      </c>
      <c r="AK2" s="87">
        <v>45833.0</v>
      </c>
      <c r="AL2" s="87">
        <v>45834.0</v>
      </c>
      <c r="AM2" s="87">
        <v>45835.0</v>
      </c>
      <c r="AN2" s="88" t="s">
        <v>384</v>
      </c>
      <c r="AO2" s="88" t="s">
        <v>385</v>
      </c>
      <c r="AP2" s="88" t="s">
        <v>386</v>
      </c>
      <c r="AQ2" s="88" t="s">
        <v>387</v>
      </c>
      <c r="AR2" s="87">
        <v>45838.0</v>
      </c>
      <c r="AS2" s="87"/>
      <c r="AT2" s="51"/>
      <c r="AU2" s="51"/>
      <c r="AV2" s="51" t="s">
        <v>252</v>
      </c>
      <c r="AW2" s="51" t="s">
        <v>253</v>
      </c>
      <c r="AX2" s="51" t="s">
        <v>252</v>
      </c>
      <c r="AY2" s="51" t="s">
        <v>253</v>
      </c>
    </row>
    <row r="3">
      <c r="A3" s="39" t="s">
        <v>226</v>
      </c>
      <c r="B3" s="40">
        <f t="shared" ref="B3:B5" si="1">SUM(C3:D3)</f>
        <v>1</v>
      </c>
      <c r="C3" s="10">
        <f t="shared" ref="C3:C7" si="2">SUM(F3:AU3)</f>
        <v>1</v>
      </c>
      <c r="D3" s="11">
        <f t="array" ref="D3">SUM(IF(F3:AU3="R",1,0))</f>
        <v>0</v>
      </c>
      <c r="E3" s="11">
        <f t="array" ref="E3">SUM(IF(F3:AU3="R2",1,0))</f>
        <v>0</v>
      </c>
      <c r="F3" s="99"/>
      <c r="G3" s="99"/>
      <c r="H3" s="91"/>
      <c r="I3" s="16"/>
      <c r="J3" s="16"/>
      <c r="K3" s="16"/>
      <c r="L3" s="16"/>
      <c r="M3" s="91"/>
      <c r="N3" s="90">
        <v>1.0</v>
      </c>
      <c r="O3" s="91"/>
      <c r="P3" s="91"/>
      <c r="Q3" s="91"/>
      <c r="R3" s="91"/>
      <c r="S3" s="91"/>
      <c r="T3" s="16"/>
      <c r="U3" s="16"/>
      <c r="V3" s="16"/>
      <c r="W3" s="16"/>
      <c r="X3" s="16"/>
      <c r="Y3" s="16"/>
      <c r="Z3" s="91"/>
      <c r="AA3" s="91"/>
      <c r="AB3" s="91"/>
      <c r="AC3" s="91"/>
      <c r="AD3" s="91"/>
      <c r="AE3" s="91"/>
      <c r="AF3" s="91"/>
      <c r="AG3" s="91"/>
      <c r="AH3" s="91"/>
      <c r="AI3" s="91"/>
      <c r="AJ3" s="91"/>
      <c r="AK3" s="91"/>
      <c r="AL3" s="91"/>
      <c r="AM3" s="16"/>
      <c r="AN3" s="91"/>
      <c r="AO3" s="91"/>
      <c r="AP3" s="91"/>
      <c r="AQ3" s="91"/>
      <c r="AR3" s="16"/>
      <c r="AS3" s="91"/>
      <c r="AT3" s="91"/>
      <c r="AU3" s="91"/>
      <c r="AV3" s="91"/>
      <c r="AW3" s="91"/>
      <c r="AX3" s="91"/>
      <c r="AY3" s="91"/>
    </row>
    <row r="4">
      <c r="A4" s="14" t="s">
        <v>283</v>
      </c>
      <c r="B4" s="10">
        <f t="shared" si="1"/>
        <v>3</v>
      </c>
      <c r="C4" s="10">
        <f t="shared" si="2"/>
        <v>1</v>
      </c>
      <c r="D4" s="11">
        <f t="array" ref="D4">SUM(IF(F4:AU4="R",1,0))</f>
        <v>2</v>
      </c>
      <c r="E4" s="11">
        <f t="array" ref="E4">SUM(IF(F4:AU4="R2",1,0))</f>
        <v>2</v>
      </c>
      <c r="F4" s="90">
        <v>1.0</v>
      </c>
      <c r="G4" s="91"/>
      <c r="H4" s="91"/>
      <c r="I4" s="16"/>
      <c r="J4" s="16"/>
      <c r="K4" s="16"/>
      <c r="L4" s="16"/>
      <c r="M4" s="90" t="s">
        <v>39</v>
      </c>
      <c r="N4" s="91"/>
      <c r="O4" s="91"/>
      <c r="P4" s="90" t="s">
        <v>40</v>
      </c>
      <c r="Q4" s="16"/>
      <c r="R4" s="16"/>
      <c r="S4" s="16"/>
      <c r="T4" s="90" t="s">
        <v>39</v>
      </c>
      <c r="U4" s="16"/>
      <c r="V4" s="16"/>
      <c r="W4" s="16"/>
      <c r="X4" s="16"/>
      <c r="Y4" s="16"/>
      <c r="Z4" s="16"/>
      <c r="AA4" s="16"/>
      <c r="AB4" s="16"/>
      <c r="AC4" s="16"/>
      <c r="AD4" s="16"/>
      <c r="AE4" s="16"/>
      <c r="AF4" s="16"/>
      <c r="AG4" s="16"/>
      <c r="AH4" s="16"/>
      <c r="AI4" s="16"/>
      <c r="AJ4" s="16"/>
      <c r="AK4" s="16"/>
      <c r="AL4" s="16"/>
      <c r="AM4" s="16"/>
      <c r="AN4" s="90"/>
      <c r="AO4" s="90" t="s">
        <v>40</v>
      </c>
      <c r="AP4" s="91"/>
      <c r="AQ4" s="91"/>
      <c r="AR4" s="16"/>
      <c r="AS4" s="91"/>
      <c r="AT4" s="91"/>
      <c r="AU4" s="91"/>
      <c r="AV4" s="91"/>
      <c r="AW4" s="91"/>
      <c r="AX4" s="91"/>
      <c r="AY4" s="91"/>
    </row>
    <row r="5">
      <c r="A5" s="14" t="s">
        <v>44</v>
      </c>
      <c r="B5" s="10">
        <f t="shared" si="1"/>
        <v>4</v>
      </c>
      <c r="C5" s="10">
        <f t="shared" si="2"/>
        <v>2</v>
      </c>
      <c r="D5" s="11">
        <f t="array" ref="D5">SUM(IF(F5:AU5="R",1,0))</f>
        <v>2</v>
      </c>
      <c r="E5" s="11">
        <f t="array" ref="E5">SUM(IF(F5:AU5="R2",1,0))</f>
        <v>2</v>
      </c>
      <c r="F5" s="91"/>
      <c r="G5" s="90" t="s">
        <v>39</v>
      </c>
      <c r="H5" s="16"/>
      <c r="I5" s="16"/>
      <c r="J5" s="16"/>
      <c r="K5" s="16"/>
      <c r="L5" s="16"/>
      <c r="M5" s="91"/>
      <c r="N5" s="90"/>
      <c r="O5" s="90">
        <v>1.0</v>
      </c>
      <c r="P5" s="90"/>
      <c r="Q5" s="91"/>
      <c r="R5" s="90" t="s">
        <v>39</v>
      </c>
      <c r="S5" s="91"/>
      <c r="T5" s="91"/>
      <c r="U5" s="16"/>
      <c r="V5" s="16"/>
      <c r="W5" s="16"/>
      <c r="X5" s="16"/>
      <c r="Y5" s="16"/>
      <c r="Z5" s="16"/>
      <c r="AA5" s="16"/>
      <c r="AB5" s="16"/>
      <c r="AC5" s="90" t="s">
        <v>40</v>
      </c>
      <c r="AD5" s="91"/>
      <c r="AE5" s="91"/>
      <c r="AF5" s="90" t="s">
        <v>40</v>
      </c>
      <c r="AG5" s="91"/>
      <c r="AH5" s="91"/>
      <c r="AI5" s="91"/>
      <c r="AJ5" s="91"/>
      <c r="AK5" s="91"/>
      <c r="AL5" s="91"/>
      <c r="AM5" s="16"/>
      <c r="AN5" s="90">
        <v>1.0</v>
      </c>
      <c r="AO5" s="91"/>
      <c r="AP5" s="91"/>
      <c r="AQ5" s="91"/>
      <c r="AR5" s="16"/>
      <c r="AS5" s="91"/>
      <c r="AT5" s="91"/>
      <c r="AU5" s="91"/>
      <c r="AV5" s="91"/>
      <c r="AW5" s="91"/>
      <c r="AX5" s="91"/>
      <c r="AY5" s="91"/>
    </row>
    <row r="6" hidden="1">
      <c r="A6" s="14" t="s">
        <v>284</v>
      </c>
      <c r="B6" s="10"/>
      <c r="C6" s="10">
        <f t="shared" si="2"/>
        <v>0</v>
      </c>
      <c r="D6" s="11">
        <f t="array" ref="D6">SUM(IF(F6:AU6="R",1,0))</f>
        <v>0</v>
      </c>
      <c r="E6" s="11">
        <f t="array" ref="E6">SUM(IF(F6:AU6="R2",1,0))</f>
        <v>0</v>
      </c>
      <c r="F6" s="91"/>
      <c r="G6" s="91"/>
      <c r="H6" s="91"/>
      <c r="I6" s="16"/>
      <c r="J6" s="16"/>
      <c r="K6" s="16"/>
      <c r="L6" s="16"/>
      <c r="M6" s="91"/>
      <c r="N6" s="91"/>
      <c r="O6" s="91"/>
      <c r="P6" s="91"/>
      <c r="Q6" s="91"/>
      <c r="R6" s="91"/>
      <c r="S6" s="91"/>
      <c r="T6" s="91"/>
      <c r="U6" s="91"/>
      <c r="V6" s="91"/>
      <c r="W6" s="91"/>
      <c r="X6" s="16"/>
      <c r="Y6" s="16"/>
      <c r="Z6" s="16"/>
      <c r="AA6" s="91"/>
      <c r="AB6" s="91"/>
      <c r="AC6" s="91"/>
      <c r="AD6" s="91"/>
      <c r="AE6" s="91"/>
      <c r="AF6" s="91"/>
      <c r="AG6" s="91"/>
      <c r="AH6" s="91"/>
      <c r="AI6" s="91"/>
      <c r="AJ6" s="91"/>
      <c r="AK6" s="91"/>
      <c r="AL6" s="91"/>
      <c r="AM6" s="91"/>
      <c r="AN6" s="91"/>
      <c r="AO6" s="91"/>
      <c r="AP6" s="91"/>
      <c r="AQ6" s="91"/>
      <c r="AR6" s="91"/>
      <c r="AS6" s="91"/>
      <c r="AT6" s="91"/>
      <c r="AU6" s="91"/>
      <c r="AV6" s="91"/>
      <c r="AW6" s="91"/>
      <c r="AX6" s="91"/>
      <c r="AY6" s="91"/>
    </row>
    <row r="7">
      <c r="A7" s="26" t="s">
        <v>361</v>
      </c>
      <c r="B7" s="10">
        <f t="shared" ref="B7:B9" si="3">SUM(C7:D7)</f>
        <v>3</v>
      </c>
      <c r="C7" s="10">
        <f t="shared" si="2"/>
        <v>1</v>
      </c>
      <c r="D7" s="11">
        <f t="array" ref="D7">SUM(IF(F7:AU7="R",1,0))</f>
        <v>2</v>
      </c>
      <c r="E7" s="11">
        <f t="array" ref="E7">SUM(IF(F7:AU7="R2",1,0))</f>
        <v>2</v>
      </c>
      <c r="F7" s="90" t="s">
        <v>39</v>
      </c>
      <c r="G7" s="91"/>
      <c r="H7" s="91"/>
      <c r="I7" s="16"/>
      <c r="J7" s="16"/>
      <c r="K7" s="16"/>
      <c r="L7" s="16"/>
      <c r="M7" s="90" t="s">
        <v>40</v>
      </c>
      <c r="N7" s="91"/>
      <c r="O7" s="90"/>
      <c r="P7" s="91"/>
      <c r="Q7" s="91"/>
      <c r="R7" s="90" t="s">
        <v>40</v>
      </c>
      <c r="S7" s="90">
        <v>1.0</v>
      </c>
      <c r="T7" s="91"/>
      <c r="U7" s="91"/>
      <c r="V7" s="90" t="s">
        <v>39</v>
      </c>
      <c r="W7" s="91"/>
      <c r="X7" s="16"/>
      <c r="Y7" s="21"/>
      <c r="Z7" s="16"/>
      <c r="AA7" s="91"/>
      <c r="AB7" s="91"/>
      <c r="AC7" s="91"/>
      <c r="AD7" s="91"/>
      <c r="AE7" s="91"/>
      <c r="AF7" s="91"/>
      <c r="AG7" s="90"/>
      <c r="AH7" s="91"/>
      <c r="AI7" s="16"/>
      <c r="AJ7" s="16"/>
      <c r="AK7" s="16"/>
      <c r="AL7" s="16"/>
      <c r="AM7" s="16"/>
      <c r="AN7" s="16"/>
      <c r="AO7" s="16"/>
      <c r="AP7" s="91"/>
      <c r="AQ7" s="91"/>
      <c r="AR7" s="91"/>
      <c r="AS7" s="91"/>
      <c r="AT7" s="91"/>
      <c r="AU7" s="91"/>
      <c r="AV7" s="91"/>
      <c r="AW7" s="91"/>
      <c r="AX7" s="91"/>
      <c r="AY7" s="91"/>
    </row>
    <row r="8">
      <c r="A8" s="26" t="s">
        <v>55</v>
      </c>
      <c r="B8" s="10">
        <f t="shared" si="3"/>
        <v>3</v>
      </c>
      <c r="C8" s="10">
        <f>SUM(G8:AU8)</f>
        <v>1</v>
      </c>
      <c r="D8" s="11">
        <f t="array" ref="D8">SUM(IF(G8:AU8="R",1,0))</f>
        <v>2</v>
      </c>
      <c r="E8" s="11">
        <f t="array" ref="E8">SUM(IF(F8:AU8="R2",1,0))</f>
        <v>2</v>
      </c>
      <c r="F8" s="90" t="s">
        <v>40</v>
      </c>
      <c r="G8" s="91"/>
      <c r="H8" s="91"/>
      <c r="I8" s="91"/>
      <c r="J8" s="16"/>
      <c r="K8" s="16"/>
      <c r="L8" s="16"/>
      <c r="M8" s="91"/>
      <c r="N8" s="91"/>
      <c r="O8" s="90" t="s">
        <v>40</v>
      </c>
      <c r="P8" s="91"/>
      <c r="Q8" s="91"/>
      <c r="R8" s="91"/>
      <c r="S8" s="91"/>
      <c r="T8" s="91"/>
      <c r="U8" s="91"/>
      <c r="V8" s="91"/>
      <c r="W8" s="91"/>
      <c r="X8" s="90" t="s">
        <v>39</v>
      </c>
      <c r="Y8" s="91"/>
      <c r="Z8" s="91"/>
      <c r="AA8" s="91"/>
      <c r="AB8" s="91"/>
      <c r="AC8" s="91"/>
      <c r="AD8" s="91"/>
      <c r="AE8" s="90">
        <v>1.0</v>
      </c>
      <c r="AF8" s="91"/>
      <c r="AG8" s="90" t="s">
        <v>39</v>
      </c>
      <c r="AH8" s="91"/>
      <c r="AI8" s="91"/>
      <c r="AJ8" s="91"/>
      <c r="AK8" s="91"/>
      <c r="AL8" s="91"/>
      <c r="AM8" s="16"/>
      <c r="AN8" s="91"/>
      <c r="AO8" s="91"/>
      <c r="AP8" s="91"/>
      <c r="AQ8" s="91"/>
      <c r="AR8" s="91"/>
      <c r="AS8" s="91"/>
      <c r="AT8" s="91"/>
      <c r="AU8" s="91"/>
      <c r="AW8" s="61"/>
      <c r="AX8" s="91"/>
      <c r="AY8" s="91"/>
    </row>
    <row r="9">
      <c r="A9" s="22" t="s">
        <v>362</v>
      </c>
      <c r="B9" s="10">
        <f t="shared" si="3"/>
        <v>4</v>
      </c>
      <c r="C9" s="10">
        <f t="shared" ref="C9:C42" si="4">SUM(F9:AU9)</f>
        <v>2</v>
      </c>
      <c r="D9" s="11">
        <f t="array" ref="D9">SUM(IF(F9:AU9="R",1,0))</f>
        <v>2</v>
      </c>
      <c r="E9" s="11">
        <f t="array" ref="E9">SUM(IF(F9:AU9="R2",1,0))</f>
        <v>2</v>
      </c>
      <c r="F9" s="91"/>
      <c r="G9" s="91"/>
      <c r="H9" s="17" t="s">
        <v>39</v>
      </c>
      <c r="I9" s="91"/>
      <c r="J9" s="16"/>
      <c r="K9" s="16"/>
      <c r="L9" s="16"/>
      <c r="M9" s="91"/>
      <c r="N9" s="90" t="s">
        <v>39</v>
      </c>
      <c r="O9" s="91"/>
      <c r="P9" s="91"/>
      <c r="Q9" s="91"/>
      <c r="R9" s="90">
        <v>1.0</v>
      </c>
      <c r="S9" s="91"/>
      <c r="T9" s="91"/>
      <c r="U9" s="90" t="s">
        <v>40</v>
      </c>
      <c r="V9" s="16"/>
      <c r="W9" s="16"/>
      <c r="X9" s="16"/>
      <c r="Y9" s="16"/>
      <c r="Z9" s="91"/>
      <c r="AA9" s="90" t="s">
        <v>40</v>
      </c>
      <c r="AB9" s="91"/>
      <c r="AC9" s="91"/>
      <c r="AD9" s="91"/>
      <c r="AE9" s="91"/>
      <c r="AF9" s="91"/>
      <c r="AG9" s="91"/>
      <c r="AH9" s="91"/>
      <c r="AI9" s="91"/>
      <c r="AJ9" s="91"/>
      <c r="AK9" s="91"/>
      <c r="AL9" s="91"/>
      <c r="AM9" s="91"/>
      <c r="AN9" s="91"/>
      <c r="AO9" s="91"/>
      <c r="AP9" s="91"/>
      <c r="AQ9" s="91"/>
      <c r="AR9" s="90">
        <v>1.0</v>
      </c>
      <c r="AS9" s="91"/>
      <c r="AT9" s="91"/>
      <c r="AU9" s="91"/>
      <c r="AV9" s="91"/>
      <c r="AW9" s="91"/>
      <c r="AX9" s="91"/>
      <c r="AY9" s="91"/>
    </row>
    <row r="10" hidden="1">
      <c r="A10" s="22" t="s">
        <v>363</v>
      </c>
      <c r="B10" s="10"/>
      <c r="C10" s="10">
        <f t="shared" si="4"/>
        <v>0</v>
      </c>
      <c r="D10" s="11">
        <f t="array" ref="D10">SUM(IF(F10:AU10="R",1,0))</f>
        <v>0</v>
      </c>
      <c r="E10" s="11">
        <f t="array" ref="E10">SUM(IF(F10:AU10="R2",1,0))</f>
        <v>0</v>
      </c>
      <c r="F10" s="91"/>
      <c r="G10" s="91"/>
      <c r="H10" s="91"/>
      <c r="I10" s="91"/>
      <c r="J10" s="91"/>
      <c r="K10" s="91"/>
      <c r="L10" s="91"/>
      <c r="M10" s="91"/>
      <c r="N10" s="91"/>
      <c r="O10" s="91"/>
      <c r="P10" s="91"/>
      <c r="Q10" s="91"/>
      <c r="R10" s="91"/>
      <c r="S10" s="91"/>
      <c r="T10" s="91"/>
      <c r="U10" s="91"/>
      <c r="V10" s="91"/>
      <c r="W10" s="91"/>
      <c r="X10" s="91"/>
      <c r="Y10" s="90"/>
      <c r="Z10" s="91"/>
      <c r="AA10" s="91"/>
      <c r="AB10" s="91"/>
      <c r="AC10" s="91"/>
      <c r="AD10" s="91"/>
      <c r="AE10" s="91"/>
      <c r="AF10" s="91"/>
      <c r="AG10" s="91"/>
      <c r="AH10" s="91"/>
      <c r="AI10" s="91"/>
      <c r="AJ10" s="91"/>
      <c r="AK10" s="91"/>
      <c r="AL10" s="91"/>
      <c r="AM10" s="91"/>
      <c r="AN10" s="91"/>
      <c r="AO10" s="91"/>
      <c r="AP10" s="91"/>
      <c r="AQ10" s="91"/>
      <c r="AR10" s="91"/>
      <c r="AS10" s="91"/>
      <c r="AT10" s="91"/>
      <c r="AU10" s="91"/>
      <c r="AV10" s="91"/>
      <c r="AW10" s="91"/>
      <c r="AX10" s="91"/>
      <c r="AY10" s="91"/>
    </row>
    <row r="11" hidden="1">
      <c r="A11" s="22" t="s">
        <v>364</v>
      </c>
      <c r="B11" s="10"/>
      <c r="C11" s="10">
        <f t="shared" si="4"/>
        <v>0</v>
      </c>
      <c r="D11" s="11">
        <f t="array" ref="D11">SUM(IF(F11:AU11="R",1,0))</f>
        <v>0</v>
      </c>
      <c r="E11" s="11">
        <f t="array" ref="E11">SUM(IF(F11:AU11="R2",1,0))</f>
        <v>0</v>
      </c>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row>
    <row r="12">
      <c r="A12" s="20" t="s">
        <v>231</v>
      </c>
      <c r="B12" s="10"/>
      <c r="C12" s="10">
        <f t="shared" si="4"/>
        <v>1</v>
      </c>
      <c r="D12" s="11">
        <f t="array" ref="D12">SUM(IF(F12:AU12="R",1,0))</f>
        <v>2</v>
      </c>
      <c r="E12" s="11">
        <f t="array" ref="E12">SUM(IF(F12:AU12="R2",1,0))</f>
        <v>2</v>
      </c>
      <c r="F12" s="91"/>
      <c r="G12" s="91"/>
      <c r="H12" s="90">
        <v>1.0</v>
      </c>
      <c r="I12" s="90"/>
      <c r="J12" s="16"/>
      <c r="K12" s="16"/>
      <c r="L12" s="16"/>
      <c r="M12" s="91"/>
      <c r="N12" s="91"/>
      <c r="O12" s="90" t="s">
        <v>39</v>
      </c>
      <c r="P12" s="91"/>
      <c r="Q12" s="16"/>
      <c r="R12" s="91"/>
      <c r="S12" s="90" t="s">
        <v>39</v>
      </c>
      <c r="T12" s="91"/>
      <c r="U12" s="91"/>
      <c r="V12" s="91"/>
      <c r="W12" s="90" t="s">
        <v>40</v>
      </c>
      <c r="X12" s="91"/>
      <c r="Y12" s="91"/>
      <c r="Z12" s="90" t="s">
        <v>40</v>
      </c>
      <c r="AA12" s="91"/>
      <c r="AB12" s="91"/>
      <c r="AC12" s="91"/>
      <c r="AD12" s="91"/>
      <c r="AE12" s="91"/>
      <c r="AF12" s="91"/>
      <c r="AG12" s="91"/>
      <c r="AH12" s="91"/>
      <c r="AI12" s="91"/>
      <c r="AJ12" s="91"/>
      <c r="AK12" s="91"/>
      <c r="AL12" s="91"/>
      <c r="AM12" s="16"/>
      <c r="AN12" s="91"/>
      <c r="AO12" s="91"/>
      <c r="AP12" s="91"/>
      <c r="AQ12" s="91"/>
      <c r="AR12" s="91"/>
      <c r="AS12" s="91"/>
      <c r="AT12" s="91"/>
      <c r="AU12" s="91"/>
      <c r="AV12" s="91"/>
      <c r="AW12" s="91"/>
      <c r="AX12" s="91"/>
      <c r="AY12" s="91"/>
    </row>
    <row r="13">
      <c r="A13" s="20" t="s">
        <v>202</v>
      </c>
      <c r="B13" s="10"/>
      <c r="C13" s="10">
        <f t="shared" si="4"/>
        <v>2</v>
      </c>
      <c r="D13" s="11">
        <f t="array" ref="D13">SUM(IF(F13:AU13="R",1,0))</f>
        <v>2</v>
      </c>
      <c r="E13" s="11">
        <f t="array" ref="E13">SUM(IF(F13:AU13="R2",1,0))</f>
        <v>2</v>
      </c>
      <c r="F13" s="91"/>
      <c r="G13" s="90" t="s">
        <v>40</v>
      </c>
      <c r="H13" s="91"/>
      <c r="I13" s="16"/>
      <c r="J13" s="16"/>
      <c r="K13" s="16"/>
      <c r="L13" s="16"/>
      <c r="M13" s="90"/>
      <c r="N13" s="90" t="s">
        <v>40</v>
      </c>
      <c r="O13" s="91"/>
      <c r="P13" s="91"/>
      <c r="Q13" s="90" t="s">
        <v>39</v>
      </c>
      <c r="R13" s="91"/>
      <c r="S13" s="91"/>
      <c r="T13" s="91"/>
      <c r="U13" s="90" t="s">
        <v>39</v>
      </c>
      <c r="V13" s="91"/>
      <c r="W13" s="91"/>
      <c r="X13" s="90"/>
      <c r="Y13" s="91"/>
      <c r="Z13" s="91"/>
      <c r="AA13" s="91"/>
      <c r="AB13" s="90">
        <v>1.0</v>
      </c>
      <c r="AC13" s="91"/>
      <c r="AD13" s="91"/>
      <c r="AE13" s="91"/>
      <c r="AF13" s="91"/>
      <c r="AG13" s="91"/>
      <c r="AH13" s="91"/>
      <c r="AI13" s="90">
        <v>1.0</v>
      </c>
      <c r="AJ13" s="91"/>
      <c r="AK13" s="90"/>
      <c r="AL13" s="16"/>
      <c r="AM13" s="16"/>
      <c r="AN13" s="91"/>
      <c r="AO13" s="91"/>
      <c r="AP13" s="91"/>
      <c r="AQ13" s="91"/>
      <c r="AR13" s="91"/>
      <c r="AS13" s="91"/>
      <c r="AT13" s="91"/>
      <c r="AU13" s="91"/>
      <c r="AV13" s="91"/>
      <c r="AW13" s="91"/>
      <c r="AX13" s="91"/>
      <c r="AY13" s="91"/>
    </row>
    <row r="14" hidden="1">
      <c r="A14" s="20" t="s">
        <v>365</v>
      </c>
      <c r="B14" s="10">
        <f>SUM(C14:D14)</f>
        <v>0</v>
      </c>
      <c r="C14" s="10">
        <f t="shared" si="4"/>
        <v>0</v>
      </c>
      <c r="D14" s="11">
        <f t="array" ref="D14">SUM(IF(F14:AU14="R",1,0))</f>
        <v>0</v>
      </c>
      <c r="E14" s="11">
        <f t="array" ref="E14">SUM(IF(F14:AU14="R2",1,0))</f>
        <v>0</v>
      </c>
      <c r="F14" s="91"/>
      <c r="G14" s="91"/>
      <c r="H14" s="91"/>
      <c r="I14" s="91"/>
      <c r="J14" s="91"/>
      <c r="K14" s="91"/>
      <c r="L14" s="91"/>
      <c r="M14" s="91"/>
      <c r="N14" s="91"/>
      <c r="O14" s="91"/>
      <c r="P14" s="91"/>
      <c r="Q14" s="91"/>
      <c r="R14" s="91"/>
      <c r="S14" s="91"/>
      <c r="T14" s="91"/>
      <c r="U14" s="91"/>
      <c r="V14" s="91"/>
      <c r="W14" s="91"/>
      <c r="X14" s="91"/>
      <c r="Y14" s="90"/>
      <c r="Z14" s="90"/>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row>
    <row r="15">
      <c r="A15" s="20" t="s">
        <v>287</v>
      </c>
      <c r="B15" s="10"/>
      <c r="C15" s="10">
        <f t="shared" si="4"/>
        <v>1</v>
      </c>
      <c r="D15" s="11">
        <f t="array" ref="D15">SUM(IF(F15:AU15="R",1,0))</f>
        <v>2</v>
      </c>
      <c r="E15" s="11">
        <f t="array" ref="E15">SUM(IF(F15:AU15="R2",1,0))</f>
        <v>2</v>
      </c>
      <c r="F15" s="21"/>
      <c r="G15" s="21"/>
      <c r="H15" s="90" t="s">
        <v>40</v>
      </c>
      <c r="I15" s="16"/>
      <c r="J15" s="16"/>
      <c r="K15" s="16"/>
      <c r="L15" s="16"/>
      <c r="M15" s="90"/>
      <c r="N15" s="91"/>
      <c r="O15" s="91"/>
      <c r="P15" s="90" t="s">
        <v>39</v>
      </c>
      <c r="Q15" s="91"/>
      <c r="R15" s="91"/>
      <c r="S15" s="90" t="s">
        <v>40</v>
      </c>
      <c r="T15" s="91"/>
      <c r="U15" s="91"/>
      <c r="V15" s="91"/>
      <c r="W15" s="90" t="s">
        <v>39</v>
      </c>
      <c r="X15" s="90"/>
      <c r="Y15" s="90"/>
      <c r="Z15" s="90"/>
      <c r="AA15" s="91"/>
      <c r="AB15" s="91"/>
      <c r="AC15" s="90">
        <v>1.0</v>
      </c>
      <c r="AD15" s="91"/>
      <c r="AE15" s="16"/>
      <c r="AF15" s="16"/>
      <c r="AG15" s="91"/>
      <c r="AH15" s="91"/>
      <c r="AI15" s="16"/>
      <c r="AJ15" s="16"/>
      <c r="AK15" s="16"/>
      <c r="AL15" s="91"/>
      <c r="AM15" s="16"/>
      <c r="AN15" s="90"/>
      <c r="AO15" s="91"/>
      <c r="AP15" s="91"/>
      <c r="AQ15" s="91"/>
      <c r="AR15" s="91"/>
      <c r="AS15" s="91"/>
      <c r="AT15" s="91"/>
      <c r="AU15" s="91"/>
      <c r="AV15" s="91"/>
      <c r="AW15" s="91"/>
      <c r="AX15" s="91"/>
      <c r="AY15" s="91"/>
    </row>
    <row r="16" ht="15.0" hidden="1" customHeight="1">
      <c r="A16" s="23" t="s">
        <v>366</v>
      </c>
      <c r="B16" s="10">
        <f>SUM(C16:D16)</f>
        <v>0</v>
      </c>
      <c r="C16" s="10">
        <f t="shared" si="4"/>
        <v>0</v>
      </c>
      <c r="D16" s="11">
        <f t="array" ref="D16">SUM(IF(F16:AU16="R",1,0))</f>
        <v>0</v>
      </c>
      <c r="E16" s="11">
        <f t="array" ref="E16">SUM(IF(F16:AU16="R2",1,0))</f>
        <v>0</v>
      </c>
      <c r="F16" s="91"/>
      <c r="G16" s="91"/>
      <c r="H16" s="90"/>
      <c r="I16" s="91"/>
      <c r="J16" s="91"/>
      <c r="K16" s="91"/>
      <c r="L16" s="91"/>
      <c r="M16" s="91"/>
      <c r="N16" s="91"/>
      <c r="O16" s="91"/>
      <c r="P16" s="91"/>
      <c r="Q16" s="91"/>
      <c r="R16" s="91"/>
      <c r="S16" s="91"/>
      <c r="T16" s="91"/>
      <c r="U16" s="91"/>
      <c r="V16" s="91"/>
      <c r="W16" s="91"/>
      <c r="X16" s="91"/>
      <c r="Y16" s="91"/>
      <c r="Z16" s="91"/>
      <c r="AA16" s="90"/>
      <c r="AB16" s="91"/>
      <c r="AC16" s="91"/>
      <c r="AD16" s="91"/>
      <c r="AE16" s="91"/>
      <c r="AF16" s="91"/>
      <c r="AG16" s="91"/>
      <c r="AH16" s="91"/>
      <c r="AI16" s="91"/>
      <c r="AJ16" s="91"/>
      <c r="AK16" s="91"/>
      <c r="AL16" s="91"/>
      <c r="AM16" s="91"/>
      <c r="AN16" s="91"/>
      <c r="AO16" s="90"/>
      <c r="AP16" s="91"/>
      <c r="AQ16" s="91"/>
      <c r="AR16" s="91"/>
      <c r="AS16" s="91"/>
      <c r="AT16" s="91"/>
      <c r="AU16" s="91"/>
      <c r="AV16" s="91"/>
      <c r="AW16" s="91"/>
      <c r="AX16" s="91"/>
      <c r="AY16" s="91"/>
    </row>
    <row r="17" hidden="1">
      <c r="A17" s="23" t="s">
        <v>53</v>
      </c>
      <c r="B17" s="10"/>
      <c r="C17" s="10">
        <f t="shared" si="4"/>
        <v>0</v>
      </c>
      <c r="D17" s="11">
        <f t="array" ref="D17">SUM(IF(F17:AU17="R",1,0))</f>
        <v>0</v>
      </c>
      <c r="E17" s="11">
        <f t="array" ref="E17">SUM(IF(F17:AU17="R2",1,0))</f>
        <v>0</v>
      </c>
      <c r="F17" s="91"/>
      <c r="G17" s="91"/>
      <c r="H17" s="91"/>
      <c r="I17" s="91"/>
      <c r="J17" s="91"/>
      <c r="K17" s="91"/>
      <c r="L17" s="91"/>
      <c r="M17" s="91"/>
      <c r="N17" s="91"/>
      <c r="O17" s="91"/>
      <c r="P17" s="91"/>
      <c r="Q17" s="9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row>
    <row r="18" hidden="1">
      <c r="A18" s="23" t="s">
        <v>258</v>
      </c>
      <c r="B18" s="10">
        <f t="shared" ref="B18:B20" si="5">SUM(C18:D18)</f>
        <v>0</v>
      </c>
      <c r="C18" s="10">
        <f t="shared" si="4"/>
        <v>0</v>
      </c>
      <c r="D18" s="11">
        <f t="array" ref="D18">SUM(IF(F18:AU18="R",1,0))</f>
        <v>0</v>
      </c>
      <c r="E18" s="11">
        <f t="array" ref="E18">SUM(IF(F18:AU18="R2",1,0))</f>
        <v>0</v>
      </c>
      <c r="F18" s="91"/>
      <c r="G18" s="91"/>
      <c r="H18" s="91"/>
      <c r="I18" s="91"/>
      <c r="J18" s="91"/>
      <c r="K18" s="91"/>
      <c r="L18" s="91"/>
      <c r="M18" s="91"/>
      <c r="N18" s="91"/>
      <c r="O18" s="91"/>
      <c r="P18" s="91"/>
      <c r="Q18" s="91"/>
      <c r="R18" s="91"/>
      <c r="S18" s="91"/>
      <c r="T18" s="91"/>
      <c r="U18" s="91"/>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row>
    <row r="19">
      <c r="A19" s="20" t="s">
        <v>388</v>
      </c>
      <c r="B19" s="10">
        <f t="shared" si="5"/>
        <v>4</v>
      </c>
      <c r="C19" s="10">
        <f t="shared" si="4"/>
        <v>2</v>
      </c>
      <c r="D19" s="11">
        <f t="array" ref="D19">SUM(IF(F19:AU19="R",1,0))</f>
        <v>2</v>
      </c>
      <c r="E19" s="11">
        <f t="array" ref="E19">SUM(IF(F19:AU19="R2",1,0))</f>
        <v>2</v>
      </c>
      <c r="F19" s="91"/>
      <c r="G19" s="90"/>
      <c r="H19" s="91"/>
      <c r="I19" s="90" t="s">
        <v>39</v>
      </c>
      <c r="J19" s="91"/>
      <c r="K19" s="90" t="s">
        <v>40</v>
      </c>
      <c r="L19" s="91"/>
      <c r="M19" s="91"/>
      <c r="N19" s="91"/>
      <c r="O19" s="91"/>
      <c r="P19" s="91"/>
      <c r="Q19" s="90" t="s">
        <v>40</v>
      </c>
      <c r="R19" s="91"/>
      <c r="S19" s="91"/>
      <c r="T19" s="91"/>
      <c r="U19" s="90">
        <v>1.0</v>
      </c>
      <c r="V19" s="91"/>
      <c r="W19" s="91"/>
      <c r="X19" s="91"/>
      <c r="Y19" s="90" t="s">
        <v>39</v>
      </c>
      <c r="Z19" s="91"/>
      <c r="AA19" s="91"/>
      <c r="AB19" s="91"/>
      <c r="AC19" s="91"/>
      <c r="AD19" s="91"/>
      <c r="AE19" s="91"/>
      <c r="AF19" s="91"/>
      <c r="AG19" s="91"/>
      <c r="AH19" s="91"/>
      <c r="AI19" s="91"/>
      <c r="AJ19" s="91"/>
      <c r="AK19" s="91"/>
      <c r="AL19" s="91"/>
      <c r="AM19" s="91"/>
      <c r="AN19" s="91"/>
      <c r="AO19" s="90">
        <v>1.0</v>
      </c>
      <c r="AP19" s="91"/>
      <c r="AQ19" s="91"/>
      <c r="AR19" s="91"/>
      <c r="AS19" s="91"/>
      <c r="AT19" s="91"/>
      <c r="AU19" s="91"/>
      <c r="AV19" s="91"/>
      <c r="AW19" s="91"/>
      <c r="AX19" s="91"/>
      <c r="AY19" s="91"/>
    </row>
    <row r="20">
      <c r="A20" s="26" t="s">
        <v>367</v>
      </c>
      <c r="B20" s="10">
        <f t="shared" si="5"/>
        <v>3</v>
      </c>
      <c r="C20" s="10">
        <f t="shared" si="4"/>
        <v>2</v>
      </c>
      <c r="D20" s="11">
        <f t="array" ref="D20">SUM(IF(F20:AU20="R",1,0))</f>
        <v>1</v>
      </c>
      <c r="E20" s="11">
        <f t="array" ref="E20">SUM(IF(F20:AU20="R2",1,0))</f>
        <v>1</v>
      </c>
      <c r="F20" s="91"/>
      <c r="G20" s="91"/>
      <c r="H20" s="91"/>
      <c r="I20" s="91"/>
      <c r="J20" s="91"/>
      <c r="K20" s="91"/>
      <c r="L20" s="91"/>
      <c r="M20" s="91"/>
      <c r="N20" s="16"/>
      <c r="O20" s="16"/>
      <c r="P20" s="16"/>
      <c r="Q20" s="16"/>
      <c r="R20" s="16"/>
      <c r="S20" s="16"/>
      <c r="T20" s="16"/>
      <c r="U20" s="16"/>
      <c r="V20" s="16"/>
      <c r="W20" s="16"/>
      <c r="X20" s="16"/>
      <c r="Y20" s="16"/>
      <c r="Z20" s="91"/>
      <c r="AA20" s="91"/>
      <c r="AB20" s="91"/>
      <c r="AC20" s="91"/>
      <c r="AD20" s="91"/>
      <c r="AE20" s="90" t="s">
        <v>39</v>
      </c>
      <c r="AF20" s="91"/>
      <c r="AG20" s="90">
        <v>1.0</v>
      </c>
      <c r="AH20" s="91"/>
      <c r="AI20" s="91"/>
      <c r="AJ20" s="91"/>
      <c r="AK20" s="91"/>
      <c r="AL20" s="91"/>
      <c r="AM20" s="91"/>
      <c r="AN20" s="90" t="s">
        <v>40</v>
      </c>
      <c r="AO20" s="91"/>
      <c r="AP20" s="90">
        <v>1.0</v>
      </c>
      <c r="AQ20" s="91"/>
      <c r="AR20" s="91"/>
      <c r="AS20" s="91"/>
      <c r="AT20" s="91"/>
      <c r="AU20" s="91"/>
      <c r="AV20" s="91"/>
      <c r="AW20" s="91"/>
      <c r="AX20" s="91"/>
      <c r="AY20" s="91"/>
    </row>
    <row r="21" hidden="1">
      <c r="A21" s="9" t="s">
        <v>56</v>
      </c>
      <c r="B21" s="10"/>
      <c r="C21" s="10">
        <f t="shared" si="4"/>
        <v>0</v>
      </c>
      <c r="D21" s="11">
        <f t="array" ref="D21">SUM(IF(F21:AU21="R",1,0))</f>
        <v>0</v>
      </c>
      <c r="E21" s="11">
        <f t="array" ref="E21">SUM(IF(F21:AU21="R2",1,0))</f>
        <v>0</v>
      </c>
      <c r="F21" s="91"/>
      <c r="G21" s="91"/>
      <c r="H21" s="91"/>
      <c r="I21" s="91"/>
      <c r="J21" s="91"/>
      <c r="K21" s="91"/>
      <c r="L21" s="91"/>
      <c r="M21" s="91"/>
      <c r="N21" s="91"/>
      <c r="O21" s="91"/>
      <c r="P21" s="91"/>
      <c r="Q21" s="9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1"/>
      <c r="AR21" s="91"/>
      <c r="AS21" s="91"/>
      <c r="AT21" s="91"/>
      <c r="AU21" s="91"/>
      <c r="AV21" s="91"/>
      <c r="AW21" s="91"/>
      <c r="AX21" s="91"/>
      <c r="AY21" s="91"/>
    </row>
    <row r="22">
      <c r="A22" s="25" t="s">
        <v>389</v>
      </c>
      <c r="B22" s="10">
        <f t="shared" ref="B22:B23" si="6">SUM(C22:D22)</f>
        <v>4</v>
      </c>
      <c r="C22" s="10">
        <f t="shared" si="4"/>
        <v>2</v>
      </c>
      <c r="D22" s="11">
        <f t="array" ref="D22">SUM(IF(F22:AU22="R",1,0))</f>
        <v>2</v>
      </c>
      <c r="E22" s="11">
        <f t="array" ref="E22">SUM(IF(F22:AU22="R2",1,0))</f>
        <v>2</v>
      </c>
      <c r="F22" s="91"/>
      <c r="G22" s="91"/>
      <c r="H22" s="91"/>
      <c r="I22" s="91"/>
      <c r="J22" s="91"/>
      <c r="K22" s="91"/>
      <c r="L22" s="91"/>
      <c r="M22" s="91"/>
      <c r="N22" s="91"/>
      <c r="O22" s="91"/>
      <c r="P22" s="91"/>
      <c r="Q22" s="91"/>
      <c r="R22" s="91"/>
      <c r="S22" s="91"/>
      <c r="T22" s="90" t="s">
        <v>40</v>
      </c>
      <c r="U22" s="91"/>
      <c r="V22" s="91"/>
      <c r="W22" s="91"/>
      <c r="X22" s="90" t="s">
        <v>40</v>
      </c>
      <c r="Y22" s="91"/>
      <c r="Z22" s="91"/>
      <c r="AA22" s="90" t="s">
        <v>39</v>
      </c>
      <c r="AB22" s="91"/>
      <c r="AC22" s="91"/>
      <c r="AD22" s="90">
        <v>1.0</v>
      </c>
      <c r="AE22" s="90"/>
      <c r="AF22" s="91"/>
      <c r="AG22" s="91"/>
      <c r="AH22" s="90" t="s">
        <v>39</v>
      </c>
      <c r="AI22" s="91"/>
      <c r="AJ22" s="91"/>
      <c r="AK22" s="91"/>
      <c r="AL22" s="91"/>
      <c r="AM22" s="91"/>
      <c r="AN22" s="91"/>
      <c r="AO22" s="91"/>
      <c r="AP22" s="91"/>
      <c r="AQ22" s="90">
        <v>1.0</v>
      </c>
      <c r="AR22" s="91"/>
      <c r="AS22" s="91"/>
      <c r="AT22" s="91"/>
      <c r="AU22" s="91"/>
      <c r="AV22" s="91"/>
      <c r="AW22" s="91"/>
      <c r="AX22" s="91"/>
      <c r="AY22" s="91"/>
    </row>
    <row r="23">
      <c r="A23" s="9" t="s">
        <v>390</v>
      </c>
      <c r="B23" s="10">
        <f t="shared" si="6"/>
        <v>3</v>
      </c>
      <c r="C23" s="10">
        <f t="shared" si="4"/>
        <v>1</v>
      </c>
      <c r="D23" s="11">
        <f t="array" ref="D23">SUM(IF(F23:AU23="R",1,0))</f>
        <v>2</v>
      </c>
      <c r="E23" s="11">
        <f t="array" ref="E23">SUM(IF(F23:AU23="R2",1,0))</f>
        <v>2</v>
      </c>
      <c r="F23" s="90"/>
      <c r="G23" s="90"/>
      <c r="H23" s="91"/>
      <c r="I23" s="90"/>
      <c r="J23" s="90">
        <v>1.0</v>
      </c>
      <c r="K23" s="91"/>
      <c r="L23" s="90" t="s">
        <v>39</v>
      </c>
      <c r="M23" s="91"/>
      <c r="N23" s="91"/>
      <c r="O23" s="91"/>
      <c r="P23" s="91"/>
      <c r="Q23" s="91"/>
      <c r="R23" s="91"/>
      <c r="S23" s="91"/>
      <c r="T23" s="91"/>
      <c r="U23" s="91"/>
      <c r="V23" s="90" t="s">
        <v>40</v>
      </c>
      <c r="W23" s="91"/>
      <c r="X23" s="91"/>
      <c r="Y23" s="91"/>
      <c r="Z23" s="16"/>
      <c r="AA23" s="16"/>
      <c r="AB23" s="90" t="s">
        <v>39</v>
      </c>
      <c r="AC23" s="91"/>
      <c r="AD23" s="91"/>
      <c r="AE23" s="90" t="s">
        <v>40</v>
      </c>
      <c r="AF23" s="91"/>
      <c r="AG23" s="91"/>
      <c r="AH23" s="91"/>
      <c r="AI23" s="91"/>
      <c r="AJ23" s="91"/>
      <c r="AK23" s="91"/>
      <c r="AL23" s="91"/>
      <c r="AM23" s="91"/>
      <c r="AN23" s="91"/>
      <c r="AO23" s="91"/>
      <c r="AP23" s="91"/>
      <c r="AQ23" s="91"/>
      <c r="AR23" s="16"/>
      <c r="AS23" s="91"/>
      <c r="AT23" s="91"/>
      <c r="AU23" s="91"/>
      <c r="AV23" s="91"/>
      <c r="AW23" s="91"/>
      <c r="AX23" s="91"/>
      <c r="AY23" s="91"/>
    </row>
    <row r="24" hidden="1">
      <c r="A24" s="62" t="s">
        <v>199</v>
      </c>
      <c r="B24" s="10"/>
      <c r="C24" s="10">
        <f t="shared" si="4"/>
        <v>0</v>
      </c>
      <c r="D24" s="11">
        <f t="array" ref="D24">SUM(IF(F24:AU24="R",1,0))</f>
        <v>0</v>
      </c>
      <c r="E24" s="11">
        <f t="array" ref="E24">SUM(IF(F24:AU24="R2",1,0))</f>
        <v>0</v>
      </c>
      <c r="F24" s="91"/>
      <c r="G24" s="91"/>
      <c r="H24" s="91"/>
      <c r="I24" s="91"/>
      <c r="J24" s="91"/>
      <c r="K24" s="91"/>
      <c r="L24" s="91"/>
      <c r="M24" s="91"/>
      <c r="N24" s="91"/>
      <c r="O24" s="91"/>
      <c r="P24" s="91"/>
      <c r="Q24" s="91"/>
      <c r="R24" s="91"/>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row>
    <row r="25" hidden="1">
      <c r="A25" s="62" t="s">
        <v>200</v>
      </c>
      <c r="B25" s="10">
        <f>SUM(C25:D25)</f>
        <v>0</v>
      </c>
      <c r="C25" s="10">
        <f t="shared" si="4"/>
        <v>0</v>
      </c>
      <c r="D25" s="11">
        <f t="array" ref="D25">SUM(IF(F25:AU25="R",1,0))</f>
        <v>0</v>
      </c>
      <c r="E25" s="11">
        <f t="array" ref="E25">SUM(IF(F25:AU25="R2",1,0))</f>
        <v>0</v>
      </c>
      <c r="F25" s="91"/>
      <c r="G25" s="91"/>
      <c r="H25" s="91"/>
      <c r="I25" s="91"/>
      <c r="J25" s="91"/>
      <c r="K25" s="91"/>
      <c r="L25" s="91"/>
      <c r="M25" s="91"/>
      <c r="N25" s="91"/>
      <c r="O25" s="91"/>
      <c r="P25" s="91"/>
      <c r="Q25" s="9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row>
    <row r="26">
      <c r="A26" s="62" t="s">
        <v>368</v>
      </c>
      <c r="B26" s="10"/>
      <c r="C26" s="10">
        <f t="shared" si="4"/>
        <v>2</v>
      </c>
      <c r="D26" s="11">
        <f t="array" ref="D26">SUM(IF(F26:AU26="R",1,0))</f>
        <v>2</v>
      </c>
      <c r="E26" s="11">
        <f t="array" ref="E26">SUM(IF(F26:AU26="R2",1,0))</f>
        <v>1</v>
      </c>
      <c r="F26" s="16"/>
      <c r="G26" s="16"/>
      <c r="H26" s="16"/>
      <c r="I26" s="16"/>
      <c r="J26" s="16"/>
      <c r="K26" s="16"/>
      <c r="L26" s="16"/>
      <c r="M26" s="91"/>
      <c r="N26" s="91"/>
      <c r="O26" s="91"/>
      <c r="P26" s="91"/>
      <c r="Q26" s="91"/>
      <c r="R26" s="91"/>
      <c r="S26" s="91"/>
      <c r="T26" s="91"/>
      <c r="U26" s="91"/>
      <c r="V26" s="91"/>
      <c r="W26" s="90">
        <v>1.0</v>
      </c>
      <c r="X26" s="91"/>
      <c r="Y26" s="91"/>
      <c r="Z26" s="16"/>
      <c r="AA26" s="91"/>
      <c r="AB26" s="91"/>
      <c r="AC26" s="90" t="s">
        <v>39</v>
      </c>
      <c r="AD26" s="16"/>
      <c r="AE26" s="91"/>
      <c r="AF26" s="90">
        <v>1.0</v>
      </c>
      <c r="AG26" s="91"/>
      <c r="AH26" s="91"/>
      <c r="AI26" s="90" t="s">
        <v>40</v>
      </c>
      <c r="AJ26" s="91"/>
      <c r="AK26" s="91"/>
      <c r="AL26" s="90" t="s">
        <v>39</v>
      </c>
      <c r="AM26" s="91"/>
      <c r="AN26" s="91"/>
      <c r="AO26" s="91"/>
      <c r="AP26" s="91"/>
      <c r="AQ26" s="91"/>
      <c r="AR26" s="91"/>
      <c r="AS26" s="91"/>
      <c r="AT26" s="91"/>
      <c r="AU26" s="91"/>
      <c r="AV26" s="91"/>
      <c r="AW26" s="91"/>
      <c r="AX26" s="91"/>
      <c r="AY26" s="91"/>
    </row>
    <row r="27">
      <c r="A27" s="62" t="s">
        <v>391</v>
      </c>
      <c r="B27" s="10">
        <f>SUM(C27:D27)</f>
        <v>4</v>
      </c>
      <c r="C27" s="10">
        <f t="shared" si="4"/>
        <v>2</v>
      </c>
      <c r="D27" s="11">
        <f t="array" ref="D27">SUM(IF(F27:AU27="R",1,0))</f>
        <v>2</v>
      </c>
      <c r="E27" s="11">
        <f t="array" ref="E27">SUM(IF(F27:AU27="R2",1,0))</f>
        <v>2</v>
      </c>
      <c r="F27" s="21"/>
      <c r="G27" s="16"/>
      <c r="H27" s="16"/>
      <c r="I27" s="16"/>
      <c r="J27" s="16"/>
      <c r="K27" s="16"/>
      <c r="L27" s="16"/>
      <c r="M27" s="91"/>
      <c r="N27" s="91"/>
      <c r="O27" s="91"/>
      <c r="P27" s="91"/>
      <c r="Q27" s="91"/>
      <c r="R27" s="91"/>
      <c r="S27" s="91"/>
      <c r="T27" s="91"/>
      <c r="U27" s="91"/>
      <c r="V27" s="90">
        <v>1.0</v>
      </c>
      <c r="W27" s="91"/>
      <c r="X27" s="91"/>
      <c r="Y27" s="90" t="s">
        <v>40</v>
      </c>
      <c r="Z27" s="16"/>
      <c r="AA27" s="91"/>
      <c r="AB27" s="90" t="s">
        <v>40</v>
      </c>
      <c r="AC27" s="91"/>
      <c r="AD27" s="16"/>
      <c r="AE27" s="91"/>
      <c r="AF27" s="90" t="s">
        <v>39</v>
      </c>
      <c r="AG27" s="91"/>
      <c r="AH27" s="91"/>
      <c r="AI27" s="90"/>
      <c r="AJ27" s="90" t="s">
        <v>39</v>
      </c>
      <c r="AK27" s="91"/>
      <c r="AL27" s="90">
        <v>1.0</v>
      </c>
      <c r="AM27" s="91"/>
      <c r="AN27" s="91"/>
      <c r="AO27" s="91"/>
      <c r="AP27" s="91"/>
      <c r="AQ27" s="91"/>
      <c r="AR27" s="91"/>
      <c r="AS27" s="91"/>
      <c r="AT27" s="91"/>
      <c r="AU27" s="91"/>
      <c r="AV27" s="91"/>
      <c r="AW27" s="91"/>
      <c r="AX27" s="91"/>
      <c r="AY27" s="91"/>
    </row>
    <row r="28">
      <c r="A28" s="62" t="s">
        <v>175</v>
      </c>
      <c r="B28" s="10"/>
      <c r="C28" s="10">
        <f t="shared" si="4"/>
        <v>1</v>
      </c>
      <c r="D28" s="11">
        <f t="array" ref="D28">SUM(IF(F28:AU28="R",1,0))</f>
        <v>2</v>
      </c>
      <c r="E28" s="11">
        <f t="array" ref="E28">SUM(IF(F28:AU28="R2",1,0))</f>
        <v>2</v>
      </c>
      <c r="F28" s="16"/>
      <c r="G28" s="16"/>
      <c r="H28" s="16"/>
      <c r="I28" s="16"/>
      <c r="J28" s="16"/>
      <c r="K28" s="16"/>
      <c r="L28" s="16"/>
      <c r="M28" s="91"/>
      <c r="N28" s="91"/>
      <c r="O28" s="91"/>
      <c r="P28" s="91"/>
      <c r="Q28" s="91"/>
      <c r="R28" s="91"/>
      <c r="S28" s="91"/>
      <c r="T28" s="91"/>
      <c r="U28" s="91"/>
      <c r="V28" s="91"/>
      <c r="W28" s="91"/>
      <c r="X28" s="90">
        <v>1.0</v>
      </c>
      <c r="Y28" s="91"/>
      <c r="Z28" s="90" t="s">
        <v>39</v>
      </c>
      <c r="AA28" s="91"/>
      <c r="AB28" s="91"/>
      <c r="AC28" s="91"/>
      <c r="AD28" s="90" t="s">
        <v>40</v>
      </c>
      <c r="AE28" s="91"/>
      <c r="AF28" s="91"/>
      <c r="AG28" s="90"/>
      <c r="AH28" s="91"/>
      <c r="AI28" s="90" t="s">
        <v>39</v>
      </c>
      <c r="AJ28" s="91"/>
      <c r="AK28" s="91"/>
      <c r="AL28" s="90" t="s">
        <v>40</v>
      </c>
      <c r="AM28" s="91"/>
      <c r="AN28" s="91"/>
      <c r="AO28" s="91"/>
      <c r="AP28" s="91"/>
      <c r="AQ28" s="91"/>
      <c r="AR28" s="91"/>
      <c r="AS28" s="91"/>
      <c r="AT28" s="91"/>
      <c r="AU28" s="91"/>
      <c r="AV28" s="91"/>
      <c r="AW28" s="91"/>
      <c r="AX28" s="91"/>
      <c r="AY28" s="91"/>
    </row>
    <row r="29">
      <c r="A29" s="62" t="s">
        <v>369</v>
      </c>
      <c r="B29" s="10">
        <f t="shared" ref="B29:B30" si="7">SUM(C29:D29)</f>
        <v>3</v>
      </c>
      <c r="C29" s="10">
        <f t="shared" si="4"/>
        <v>1</v>
      </c>
      <c r="D29" s="11">
        <f t="array" ref="D29">SUM(IF(F29:AU29="R",1,0))</f>
        <v>2</v>
      </c>
      <c r="E29" s="11">
        <f t="array" ref="E29">SUM(IF(F29:AU29="R2",1,0))</f>
        <v>2</v>
      </c>
      <c r="F29" s="16"/>
      <c r="G29" s="21"/>
      <c r="H29" s="16"/>
      <c r="I29" s="16"/>
      <c r="J29" s="16"/>
      <c r="K29" s="21"/>
      <c r="L29" s="16"/>
      <c r="M29" s="91"/>
      <c r="N29" s="91"/>
      <c r="O29" s="91"/>
      <c r="P29" s="91"/>
      <c r="Q29" s="91"/>
      <c r="R29" s="91"/>
      <c r="S29" s="91"/>
      <c r="T29" s="91"/>
      <c r="U29" s="91"/>
      <c r="V29" s="91"/>
      <c r="W29" s="91"/>
      <c r="X29" s="91"/>
      <c r="Y29" s="91"/>
      <c r="Z29" s="91"/>
      <c r="AA29" s="91"/>
      <c r="AB29" s="91"/>
      <c r="AC29" s="91"/>
      <c r="AD29" s="90"/>
      <c r="AE29" s="91"/>
      <c r="AF29" s="91"/>
      <c r="AG29" s="90" t="s">
        <v>40</v>
      </c>
      <c r="AH29" s="91"/>
      <c r="AI29" s="91"/>
      <c r="AJ29" s="90" t="s">
        <v>40</v>
      </c>
      <c r="AK29" s="91"/>
      <c r="AL29" s="91"/>
      <c r="AM29" s="90">
        <v>1.0</v>
      </c>
      <c r="AN29" s="91"/>
      <c r="AO29" s="91"/>
      <c r="AP29" s="90" t="s">
        <v>39</v>
      </c>
      <c r="AQ29" s="91"/>
      <c r="AR29" s="90" t="s">
        <v>39</v>
      </c>
      <c r="AS29" s="91"/>
      <c r="AT29" s="91"/>
      <c r="AU29" s="91"/>
      <c r="AV29" s="91"/>
      <c r="AW29" s="91"/>
      <c r="AX29" s="91"/>
      <c r="AY29" s="91"/>
    </row>
    <row r="30">
      <c r="A30" s="27" t="s">
        <v>259</v>
      </c>
      <c r="B30" s="10">
        <f t="shared" si="7"/>
        <v>4</v>
      </c>
      <c r="C30" s="10">
        <f t="shared" si="4"/>
        <v>2</v>
      </c>
      <c r="D30" s="11">
        <f t="array" ref="D30">SUM(IF(F30:AU30="R",1,0))</f>
        <v>2</v>
      </c>
      <c r="E30" s="11">
        <f t="array" ref="E30">SUM(IF(F30:AU30="R2",1,0))</f>
        <v>2</v>
      </c>
      <c r="F30" s="91"/>
      <c r="G30" s="91"/>
      <c r="H30" s="91"/>
      <c r="I30" s="16"/>
      <c r="J30" s="16"/>
      <c r="K30" s="16"/>
      <c r="L30" s="16"/>
      <c r="M30" s="91"/>
      <c r="N30" s="91"/>
      <c r="O30" s="91"/>
      <c r="P30" s="91"/>
      <c r="Q30" s="91"/>
      <c r="R30" s="91"/>
      <c r="S30" s="91"/>
      <c r="T30" s="91"/>
      <c r="U30" s="91"/>
      <c r="V30" s="91"/>
      <c r="W30" s="91"/>
      <c r="X30" s="91"/>
      <c r="Y30" s="91"/>
      <c r="Z30" s="91"/>
      <c r="AA30" s="90">
        <v>1.0</v>
      </c>
      <c r="AB30" s="91"/>
      <c r="AC30" s="90"/>
      <c r="AD30" s="90" t="s">
        <v>39</v>
      </c>
      <c r="AE30" s="91"/>
      <c r="AF30" s="91"/>
      <c r="AG30" s="91"/>
      <c r="AH30" s="90" t="s">
        <v>40</v>
      </c>
      <c r="AI30" s="91"/>
      <c r="AJ30" s="90">
        <v>1.0</v>
      </c>
      <c r="AK30" s="91"/>
      <c r="AL30" s="91"/>
      <c r="AM30" s="90" t="s">
        <v>39</v>
      </c>
      <c r="AN30" s="91"/>
      <c r="AO30" s="91"/>
      <c r="AP30" s="90" t="s">
        <v>40</v>
      </c>
      <c r="AQ30" s="91"/>
      <c r="AR30" s="91"/>
      <c r="AS30" s="91"/>
      <c r="AT30" s="91"/>
      <c r="AU30" s="91"/>
      <c r="AV30" s="91"/>
      <c r="AW30" s="91"/>
      <c r="AX30" s="91"/>
      <c r="AY30" s="91"/>
    </row>
    <row r="31">
      <c r="A31" s="27" t="s">
        <v>392</v>
      </c>
      <c r="B31" s="10"/>
      <c r="C31" s="10">
        <f t="shared" si="4"/>
        <v>1</v>
      </c>
      <c r="D31" s="11">
        <f t="array" ref="D31">SUM(IF(F31:AU31="R",1,0))</f>
        <v>2</v>
      </c>
      <c r="E31" s="11">
        <f t="array" ref="E31">SUM(IF(F31:AU31="R2",1,0))</f>
        <v>2</v>
      </c>
      <c r="F31" s="91"/>
      <c r="G31" s="91"/>
      <c r="H31" s="91"/>
      <c r="I31" s="90" t="s">
        <v>40</v>
      </c>
      <c r="J31" s="91"/>
      <c r="K31" s="90">
        <v>1.0</v>
      </c>
      <c r="L31" s="91"/>
      <c r="M31" s="91"/>
      <c r="N31" s="91"/>
      <c r="O31" s="91"/>
      <c r="P31" s="91"/>
      <c r="Q31" s="91"/>
      <c r="R31" s="91"/>
      <c r="S31" s="91"/>
      <c r="T31" s="91"/>
      <c r="U31" s="91"/>
      <c r="V31" s="91"/>
      <c r="W31" s="91"/>
      <c r="X31" s="90"/>
      <c r="Y31" s="91"/>
      <c r="Z31" s="91"/>
      <c r="AA31" s="91"/>
      <c r="AB31" s="91"/>
      <c r="AC31" s="91"/>
      <c r="AD31" s="91"/>
      <c r="AE31" s="91"/>
      <c r="AF31" s="91"/>
      <c r="AG31" s="91"/>
      <c r="AH31" s="91"/>
      <c r="AI31" s="91"/>
      <c r="AJ31" s="91"/>
      <c r="AK31" s="90" t="s">
        <v>39</v>
      </c>
      <c r="AL31" s="91"/>
      <c r="AM31" s="91"/>
      <c r="AN31" s="91"/>
      <c r="AO31" s="90" t="s">
        <v>39</v>
      </c>
      <c r="AP31" s="91"/>
      <c r="AQ31" s="91"/>
      <c r="AR31" s="90" t="s">
        <v>40</v>
      </c>
      <c r="AS31" s="91"/>
      <c r="AT31" s="91"/>
      <c r="AU31" s="91"/>
      <c r="AV31" s="91"/>
      <c r="AW31" s="91"/>
      <c r="AX31" s="91"/>
      <c r="AY31" s="91"/>
    </row>
    <row r="32">
      <c r="A32" s="27" t="s">
        <v>393</v>
      </c>
      <c r="B32" s="10" t="str">
        <f>SUM(B4:B38)</f>
        <v>#REF!</v>
      </c>
      <c r="C32" s="10">
        <f t="shared" si="4"/>
        <v>2</v>
      </c>
      <c r="D32" s="11">
        <f t="array" ref="D32">SUM(IF(F32:AU32="R",1,0))</f>
        <v>1</v>
      </c>
      <c r="E32" s="11">
        <f t="array" ref="E32">SUM(IF(F32:AU32="R2",1,0))</f>
        <v>1</v>
      </c>
      <c r="F32" s="100"/>
      <c r="G32" s="100"/>
      <c r="H32" s="100"/>
      <c r="I32" s="101">
        <v>1.0</v>
      </c>
      <c r="J32" s="100"/>
      <c r="K32" s="101" t="s">
        <v>39</v>
      </c>
      <c r="L32" s="100"/>
      <c r="M32" s="100"/>
      <c r="N32" s="100"/>
      <c r="O32" s="100"/>
      <c r="P32" s="101">
        <v>1.0</v>
      </c>
      <c r="Q32" s="100"/>
      <c r="R32" s="100"/>
      <c r="S32" s="100"/>
      <c r="T32" s="100"/>
      <c r="U32" s="100"/>
      <c r="V32" s="100"/>
      <c r="W32" s="100"/>
      <c r="X32" s="102"/>
      <c r="Y32" s="100"/>
      <c r="Z32" s="100"/>
      <c r="AA32" s="100"/>
      <c r="AB32" s="100"/>
      <c r="AC32" s="100"/>
      <c r="AD32" s="100"/>
      <c r="AE32" s="100"/>
      <c r="AF32" s="100"/>
      <c r="AG32" s="100"/>
      <c r="AH32" s="100"/>
      <c r="AI32" s="100"/>
      <c r="AJ32" s="100"/>
      <c r="AK32" s="100"/>
      <c r="AL32" s="100"/>
      <c r="AM32" s="101" t="s">
        <v>40</v>
      </c>
      <c r="AN32" s="100"/>
      <c r="AO32" s="100"/>
      <c r="AP32" s="100"/>
      <c r="AQ32" s="100"/>
      <c r="AR32" s="100"/>
      <c r="AS32" s="100"/>
      <c r="AT32" s="100"/>
      <c r="AU32" s="100"/>
      <c r="AV32" s="100"/>
      <c r="AW32" s="100"/>
      <c r="AX32" s="100"/>
      <c r="AY32" s="100"/>
    </row>
    <row r="33">
      <c r="A33" s="27" t="s">
        <v>149</v>
      </c>
      <c r="B33" s="28">
        <f t="shared" ref="B33:B34" si="8">SUM(F33:AS33)</f>
        <v>1</v>
      </c>
      <c r="C33" s="10">
        <f t="shared" si="4"/>
        <v>1</v>
      </c>
      <c r="D33" s="11">
        <f t="array" ref="D33">SUM(IF(F33:AU33="R",1,0))</f>
        <v>0</v>
      </c>
      <c r="E33" s="11">
        <f t="array" ref="E33">SUM(IF(F33:AU33="R2",1,0))</f>
        <v>0</v>
      </c>
      <c r="F33" s="100"/>
      <c r="G33" s="100"/>
      <c r="H33" s="100"/>
      <c r="I33" s="103"/>
      <c r="J33" s="16"/>
      <c r="K33" s="103"/>
      <c r="L33" s="16"/>
      <c r="M33" s="100"/>
      <c r="N33" s="100"/>
      <c r="O33" s="100"/>
      <c r="P33" s="100"/>
      <c r="Q33" s="100"/>
      <c r="R33" s="100"/>
      <c r="S33" s="100"/>
      <c r="T33" s="100"/>
      <c r="U33" s="100"/>
      <c r="V33" s="100"/>
      <c r="W33" s="100"/>
      <c r="X33" s="101"/>
      <c r="Y33" s="100"/>
      <c r="Z33" s="100"/>
      <c r="AA33" s="100"/>
      <c r="AB33" s="100"/>
      <c r="AC33" s="100"/>
      <c r="AD33" s="100"/>
      <c r="AE33" s="100"/>
      <c r="AF33" s="100"/>
      <c r="AG33" s="100"/>
      <c r="AH33" s="100"/>
      <c r="AI33" s="100"/>
      <c r="AJ33" s="100"/>
      <c r="AK33" s="101">
        <v>1.0</v>
      </c>
      <c r="AL33" s="100"/>
      <c r="AM33" s="100"/>
      <c r="AN33" s="100"/>
      <c r="AO33" s="100"/>
      <c r="AP33" s="100"/>
      <c r="AQ33" s="100"/>
      <c r="AR33" s="100"/>
      <c r="AS33" s="100"/>
      <c r="AT33" s="100"/>
      <c r="AU33" s="100"/>
      <c r="AV33" s="104"/>
      <c r="AW33" s="104"/>
      <c r="AX33" s="104"/>
      <c r="AY33" s="104"/>
    </row>
    <row r="34">
      <c r="A34" s="27" t="s">
        <v>229</v>
      </c>
      <c r="B34" s="28">
        <f t="shared" si="8"/>
        <v>2</v>
      </c>
      <c r="C34" s="10">
        <f t="shared" si="4"/>
        <v>2</v>
      </c>
      <c r="D34" s="11">
        <f t="array" ref="D34">SUM(IF(F34:AU34="R",1,0))</f>
        <v>0</v>
      </c>
      <c r="E34" s="11">
        <f t="array" ref="E34">SUM(IF(F34:AU34="R2",1,0))</f>
        <v>0</v>
      </c>
      <c r="F34" s="91"/>
      <c r="G34" s="91"/>
      <c r="H34" s="91"/>
      <c r="I34" s="16"/>
      <c r="J34" s="16"/>
      <c r="K34" s="16"/>
      <c r="L34" s="16"/>
      <c r="M34" s="90"/>
      <c r="N34" s="91"/>
      <c r="O34" s="91"/>
      <c r="P34" s="91"/>
      <c r="Q34" s="91"/>
      <c r="R34" s="91"/>
      <c r="S34" s="91"/>
      <c r="T34" s="91"/>
      <c r="U34" s="91"/>
      <c r="V34" s="91"/>
      <c r="W34" s="91"/>
      <c r="X34" s="91"/>
      <c r="Y34" s="90">
        <v>1.0</v>
      </c>
      <c r="Z34" s="91"/>
      <c r="AA34" s="91"/>
      <c r="AB34" s="91"/>
      <c r="AC34" s="91"/>
      <c r="AD34" s="91"/>
      <c r="AE34" s="91"/>
      <c r="AF34" s="91"/>
      <c r="AG34" s="91"/>
      <c r="AH34" s="90">
        <v>1.0</v>
      </c>
      <c r="AI34" s="91"/>
      <c r="AJ34" s="91"/>
      <c r="AK34" s="91"/>
      <c r="AL34" s="91"/>
      <c r="AM34" s="91"/>
      <c r="AN34" s="91"/>
      <c r="AO34" s="91"/>
      <c r="AP34" s="91"/>
      <c r="AQ34" s="91"/>
      <c r="AR34" s="91"/>
      <c r="AS34" s="91"/>
      <c r="AT34" s="91"/>
      <c r="AU34" s="91"/>
      <c r="AV34" s="96"/>
      <c r="AW34" s="96"/>
      <c r="AX34" s="96"/>
      <c r="AY34" s="96"/>
    </row>
    <row r="35">
      <c r="A35" s="44" t="s">
        <v>292</v>
      </c>
      <c r="C35" s="10">
        <f t="shared" si="4"/>
        <v>1</v>
      </c>
      <c r="D35" s="11">
        <f t="array" ref="D35">SUM(IF(F35:AU35="R",1,0))</f>
        <v>1</v>
      </c>
      <c r="E35" s="11">
        <f t="array" ref="E35">SUM(IF(F35:AU35="R2",1,0))</f>
        <v>0</v>
      </c>
      <c r="F35" s="96"/>
      <c r="G35" s="97">
        <v>1.0</v>
      </c>
      <c r="H35" s="97"/>
      <c r="I35" s="98"/>
      <c r="J35" s="98"/>
      <c r="K35" s="79"/>
      <c r="L35" s="79"/>
      <c r="M35" s="96"/>
      <c r="N35" s="96"/>
      <c r="O35" s="96"/>
      <c r="P35" s="97"/>
      <c r="Q35" s="96"/>
      <c r="R35" s="97"/>
      <c r="S35" s="97"/>
      <c r="T35" s="79"/>
      <c r="U35" s="79"/>
      <c r="V35" s="96"/>
      <c r="W35" s="97"/>
      <c r="X35" s="96"/>
      <c r="Y35" s="96"/>
      <c r="Z35" s="98"/>
      <c r="AA35" s="96"/>
      <c r="AB35" s="96"/>
      <c r="AC35" s="97"/>
      <c r="AD35" s="96"/>
      <c r="AE35" s="97"/>
      <c r="AF35" s="97"/>
      <c r="AG35" s="96"/>
      <c r="AH35" s="97"/>
      <c r="AI35" s="97"/>
      <c r="AJ35" s="96"/>
      <c r="AK35" s="96"/>
      <c r="AL35" s="97"/>
      <c r="AM35" s="79"/>
      <c r="AN35" s="97"/>
      <c r="AO35" s="97"/>
      <c r="AP35" s="96"/>
      <c r="AQ35" s="97" t="s">
        <v>39</v>
      </c>
      <c r="AR35" s="96"/>
      <c r="AS35" s="97"/>
      <c r="AT35" s="96"/>
      <c r="AU35" s="97"/>
      <c r="AV35" s="96"/>
      <c r="AW35" s="96"/>
      <c r="AX35" s="96"/>
      <c r="AY35" s="96"/>
    </row>
    <row r="36">
      <c r="A36" s="44" t="s">
        <v>337</v>
      </c>
      <c r="C36" s="10">
        <f t="shared" si="4"/>
        <v>2</v>
      </c>
      <c r="D36" s="11">
        <f t="array" ref="D36">SUM(IF(F36:AU36="R",1,0))</f>
        <v>1</v>
      </c>
      <c r="E36" s="11">
        <f t="array" ref="E36">SUM(IF(G36:AV36="R2",1,0))</f>
        <v>1</v>
      </c>
      <c r="F36" s="96"/>
      <c r="G36" s="97"/>
      <c r="H36" s="98"/>
      <c r="I36" s="98"/>
      <c r="J36" s="98"/>
      <c r="K36" s="98"/>
      <c r="L36" s="98"/>
      <c r="M36" s="96"/>
      <c r="N36" s="96"/>
      <c r="O36" s="96"/>
      <c r="P36" s="96"/>
      <c r="Q36" s="97">
        <v>1.0</v>
      </c>
      <c r="R36" s="97"/>
      <c r="S36" s="97"/>
      <c r="T36" s="97">
        <v>1.0</v>
      </c>
      <c r="U36" s="96"/>
      <c r="V36" s="97"/>
      <c r="W36" s="96"/>
      <c r="X36" s="96"/>
      <c r="Y36" s="97"/>
      <c r="Z36" s="96"/>
      <c r="AA36" s="96"/>
      <c r="AB36" s="97"/>
      <c r="AC36" s="96"/>
      <c r="AD36" s="96"/>
      <c r="AE36" s="97"/>
      <c r="AF36" s="97"/>
      <c r="AG36" s="96"/>
      <c r="AH36" s="96"/>
      <c r="AI36" s="96"/>
      <c r="AJ36" s="96"/>
      <c r="AK36" s="97" t="s">
        <v>40</v>
      </c>
      <c r="AL36" s="96"/>
      <c r="AM36" s="96"/>
      <c r="AN36" s="97" t="s">
        <v>39</v>
      </c>
      <c r="AO36" s="96"/>
      <c r="AP36" s="97"/>
      <c r="AQ36" s="96"/>
      <c r="AR36" s="96"/>
      <c r="AS36" s="96"/>
      <c r="AT36" s="97"/>
      <c r="AU36" s="97"/>
      <c r="AV36" s="96"/>
      <c r="AW36" s="96"/>
      <c r="AX36" s="96"/>
      <c r="AY36" s="96"/>
    </row>
    <row r="37">
      <c r="A37" s="44" t="s">
        <v>338</v>
      </c>
      <c r="C37" s="10">
        <f t="shared" si="4"/>
        <v>2</v>
      </c>
      <c r="D37" s="11">
        <f t="array" ref="D37">SUM(IF(F37:AU37="R",1,0))</f>
        <v>0</v>
      </c>
      <c r="E37" s="11">
        <f t="array" ref="E37">SUM(IF(G37:AV37="R2",1,0))</f>
        <v>1</v>
      </c>
      <c r="F37" s="97"/>
      <c r="G37" s="97"/>
      <c r="H37" s="98"/>
      <c r="I37" s="97"/>
      <c r="J37" s="98"/>
      <c r="K37" s="96"/>
      <c r="L37" s="97">
        <v>1.0</v>
      </c>
      <c r="M37" s="97"/>
      <c r="N37" s="91"/>
      <c r="O37" s="96"/>
      <c r="P37" s="96"/>
      <c r="Q37" s="96"/>
      <c r="R37" s="97"/>
      <c r="S37" s="79"/>
      <c r="T37" s="97"/>
      <c r="U37" s="96"/>
      <c r="V37" s="96"/>
      <c r="W37" s="96"/>
      <c r="X37" s="97"/>
      <c r="Y37" s="96"/>
      <c r="Z37" s="97">
        <v>1.0</v>
      </c>
      <c r="AA37" s="96"/>
      <c r="AB37" s="96"/>
      <c r="AC37" s="96"/>
      <c r="AD37" s="97"/>
      <c r="AE37" s="98"/>
      <c r="AF37" s="98"/>
      <c r="AG37" s="96"/>
      <c r="AH37" s="96"/>
      <c r="AI37" s="79"/>
      <c r="AJ37" s="96"/>
      <c r="AK37" s="97"/>
      <c r="AL37" s="97"/>
      <c r="AM37" s="96"/>
      <c r="AN37" s="97"/>
      <c r="AO37" s="96"/>
      <c r="AP37" s="97"/>
      <c r="AQ37" s="97" t="s">
        <v>40</v>
      </c>
      <c r="AR37" s="96"/>
      <c r="AS37" s="96"/>
      <c r="AT37" s="96"/>
      <c r="AU37" s="97"/>
      <c r="AV37" s="96"/>
      <c r="AW37" s="96"/>
      <c r="AX37" s="96"/>
      <c r="AY37" s="96"/>
    </row>
    <row r="38">
      <c r="A38" s="26" t="s">
        <v>46</v>
      </c>
      <c r="B38" s="10">
        <f>SUM(C38:D38)</f>
        <v>1</v>
      </c>
      <c r="C38" s="10">
        <f t="shared" si="4"/>
        <v>1</v>
      </c>
      <c r="D38" s="11">
        <f t="array" ref="D38">SUM(IF(F38:AU38="R",1,0))</f>
        <v>0</v>
      </c>
      <c r="E38" s="11">
        <f t="array" ref="E38">SUM(IF(F38:AU38="R2",1,0))</f>
        <v>0</v>
      </c>
      <c r="F38" s="91"/>
      <c r="G38" s="91"/>
      <c r="H38" s="91"/>
      <c r="I38" s="91"/>
      <c r="J38" s="91"/>
      <c r="K38" s="91"/>
      <c r="L38" s="91"/>
      <c r="M38" s="84">
        <v>1.0</v>
      </c>
      <c r="N38" s="91"/>
      <c r="O38" s="91"/>
      <c r="P38" s="91"/>
      <c r="Q38" s="9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78"/>
      <c r="AQ38" s="91"/>
      <c r="AR38" s="91"/>
      <c r="AS38" s="91"/>
      <c r="AT38" s="91"/>
      <c r="AU38" s="91"/>
      <c r="AV38" s="90"/>
      <c r="AW38" s="90"/>
      <c r="AX38" s="90"/>
      <c r="AY38" s="90"/>
    </row>
    <row r="39" hidden="1">
      <c r="A39" s="26" t="s">
        <v>201</v>
      </c>
      <c r="C39" s="10">
        <f t="shared" si="4"/>
        <v>0</v>
      </c>
      <c r="D39" s="11">
        <f t="array" ref="D39">SUM(IF(F39:AU39="R",1,0))</f>
        <v>0</v>
      </c>
      <c r="E39" s="11">
        <f t="array" ref="E39">SUM(IF(F39:AU39="R2",1,0))</f>
        <v>0</v>
      </c>
      <c r="F39" s="86"/>
      <c r="G39" s="85"/>
      <c r="H39" s="86"/>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6"/>
      <c r="AH39" s="85"/>
      <c r="AI39" s="86"/>
      <c r="AJ39" s="85"/>
      <c r="AK39" s="85"/>
      <c r="AL39" s="85"/>
      <c r="AM39" s="85"/>
      <c r="AN39" s="85"/>
      <c r="AO39" s="86"/>
      <c r="AP39" s="86"/>
      <c r="AQ39" s="86"/>
      <c r="AR39" s="86"/>
      <c r="AS39" s="86"/>
      <c r="AT39" s="86"/>
      <c r="AU39" s="86"/>
      <c r="AV39" s="11"/>
      <c r="AW39" s="11"/>
      <c r="AX39" s="11"/>
      <c r="AY39" s="11"/>
    </row>
    <row r="40">
      <c r="A40" s="17" t="s">
        <v>68</v>
      </c>
      <c r="C40" s="10">
        <f t="shared" si="4"/>
        <v>39</v>
      </c>
      <c r="D40" s="11"/>
      <c r="E40" s="11"/>
      <c r="F40" s="28">
        <f t="shared" ref="F40:AY40" si="9">SUM(F3:F39)</f>
        <v>1</v>
      </c>
      <c r="G40" s="28">
        <f t="shared" si="9"/>
        <v>1</v>
      </c>
      <c r="H40" s="28">
        <f t="shared" si="9"/>
        <v>1</v>
      </c>
      <c r="I40" s="28">
        <f t="shared" si="9"/>
        <v>1</v>
      </c>
      <c r="J40" s="28">
        <f t="shared" si="9"/>
        <v>1</v>
      </c>
      <c r="K40" s="28">
        <f t="shared" si="9"/>
        <v>1</v>
      </c>
      <c r="L40" s="28">
        <f t="shared" si="9"/>
        <v>1</v>
      </c>
      <c r="M40" s="28">
        <f t="shared" si="9"/>
        <v>1</v>
      </c>
      <c r="N40" s="28">
        <f t="shared" si="9"/>
        <v>1</v>
      </c>
      <c r="O40" s="28">
        <f t="shared" si="9"/>
        <v>1</v>
      </c>
      <c r="P40" s="28">
        <f t="shared" si="9"/>
        <v>1</v>
      </c>
      <c r="Q40" s="28">
        <f t="shared" si="9"/>
        <v>1</v>
      </c>
      <c r="R40" s="28">
        <f t="shared" si="9"/>
        <v>1</v>
      </c>
      <c r="S40" s="28">
        <f t="shared" si="9"/>
        <v>1</v>
      </c>
      <c r="T40" s="28">
        <f t="shared" si="9"/>
        <v>1</v>
      </c>
      <c r="U40" s="28">
        <f t="shared" si="9"/>
        <v>1</v>
      </c>
      <c r="V40" s="28">
        <f t="shared" si="9"/>
        <v>1</v>
      </c>
      <c r="W40" s="28">
        <f t="shared" si="9"/>
        <v>1</v>
      </c>
      <c r="X40" s="28">
        <f t="shared" si="9"/>
        <v>1</v>
      </c>
      <c r="Y40" s="28">
        <f t="shared" si="9"/>
        <v>1</v>
      </c>
      <c r="Z40" s="28">
        <f t="shared" si="9"/>
        <v>1</v>
      </c>
      <c r="AA40" s="28">
        <f t="shared" si="9"/>
        <v>1</v>
      </c>
      <c r="AB40" s="28">
        <f t="shared" si="9"/>
        <v>1</v>
      </c>
      <c r="AC40" s="28">
        <f t="shared" si="9"/>
        <v>1</v>
      </c>
      <c r="AD40" s="28">
        <f t="shared" si="9"/>
        <v>1</v>
      </c>
      <c r="AE40" s="28">
        <f t="shared" si="9"/>
        <v>1</v>
      </c>
      <c r="AF40" s="28">
        <f t="shared" si="9"/>
        <v>1</v>
      </c>
      <c r="AG40" s="28">
        <f t="shared" si="9"/>
        <v>1</v>
      </c>
      <c r="AH40" s="28">
        <f t="shared" si="9"/>
        <v>1</v>
      </c>
      <c r="AI40" s="28">
        <f t="shared" si="9"/>
        <v>1</v>
      </c>
      <c r="AJ40" s="28">
        <f t="shared" si="9"/>
        <v>1</v>
      </c>
      <c r="AK40" s="28">
        <f t="shared" si="9"/>
        <v>1</v>
      </c>
      <c r="AL40" s="28">
        <f t="shared" si="9"/>
        <v>1</v>
      </c>
      <c r="AM40" s="28">
        <f t="shared" si="9"/>
        <v>1</v>
      </c>
      <c r="AN40" s="28">
        <f t="shared" si="9"/>
        <v>1</v>
      </c>
      <c r="AO40" s="28">
        <f t="shared" si="9"/>
        <v>1</v>
      </c>
      <c r="AP40" s="28">
        <f t="shared" si="9"/>
        <v>1</v>
      </c>
      <c r="AQ40" s="28">
        <f t="shared" si="9"/>
        <v>1</v>
      </c>
      <c r="AR40" s="28">
        <f t="shared" si="9"/>
        <v>1</v>
      </c>
      <c r="AS40" s="28">
        <f t="shared" si="9"/>
        <v>0</v>
      </c>
      <c r="AT40" s="28">
        <f t="shared" si="9"/>
        <v>0</v>
      </c>
      <c r="AU40" s="28">
        <f t="shared" si="9"/>
        <v>0</v>
      </c>
      <c r="AV40" s="28">
        <f t="shared" si="9"/>
        <v>0</v>
      </c>
      <c r="AW40" s="28">
        <f t="shared" si="9"/>
        <v>0</v>
      </c>
      <c r="AX40" s="28">
        <f t="shared" si="9"/>
        <v>0</v>
      </c>
      <c r="AY40" s="28">
        <f t="shared" si="9"/>
        <v>0</v>
      </c>
    </row>
    <row r="41">
      <c r="A41" s="17" t="s">
        <v>69</v>
      </c>
      <c r="C41" s="10">
        <f t="shared" si="4"/>
        <v>38</v>
      </c>
      <c r="D41" s="11"/>
      <c r="E41" s="11"/>
      <c r="F41" s="11">
        <f t="array" ref="F41">SUM(IF(F3:F39="R",1,0))</f>
        <v>1</v>
      </c>
      <c r="G41" s="11">
        <f t="array" ref="G41">SUM(IF(G3:G39="R",1,0))</f>
        <v>1</v>
      </c>
      <c r="H41" s="11">
        <f t="array" ref="H41">SUM(IF(H3:H39="R",1,0))</f>
        <v>1</v>
      </c>
      <c r="I41" s="11">
        <f t="array" ref="I41">SUM(IF(I3:I39="R",1,0))</f>
        <v>1</v>
      </c>
      <c r="J41" s="11">
        <f t="array" ref="J41">SUM(IF(J3:J39="R",1,0))</f>
        <v>0</v>
      </c>
      <c r="K41" s="11">
        <f t="array" ref="K41">SUM(IF(K3:K39="R",1,0))</f>
        <v>1</v>
      </c>
      <c r="L41" s="11">
        <f t="array" ref="L41">SUM(IF(L3:L39="R",1,0))</f>
        <v>1</v>
      </c>
      <c r="M41" s="11">
        <f t="array" ref="M41">SUM(IF(M3:M39="R",1,0))</f>
        <v>1</v>
      </c>
      <c r="N41" s="11">
        <f t="array" ref="N41">SUM(IF(N3:N39="R",1,0))</f>
        <v>1</v>
      </c>
      <c r="O41" s="11">
        <f t="array" ref="O41">SUM(IF(O3:O39="R",1,0))</f>
        <v>1</v>
      </c>
      <c r="P41" s="11">
        <f t="array" ref="P41">SUM(IF(P3:P39="R",1,0))</f>
        <v>1</v>
      </c>
      <c r="Q41" s="11">
        <f t="array" ref="Q41">SUM(IF(Q3:Q39="R",1,0))</f>
        <v>1</v>
      </c>
      <c r="R41" s="11">
        <f t="array" ref="R41">SUM(IF(R3:R39="R",1,0))</f>
        <v>1</v>
      </c>
      <c r="S41" s="11">
        <f t="array" ref="S41">SUM(IF(S3:S39="R",1,0))</f>
        <v>1</v>
      </c>
      <c r="T41" s="11">
        <f t="array" ref="T41">SUM(IF(T3:T39="R",1,0))</f>
        <v>1</v>
      </c>
      <c r="U41" s="11">
        <f t="array" ref="U41">SUM(IF(U3:U39="R",1,0))</f>
        <v>1</v>
      </c>
      <c r="V41" s="11">
        <f t="array" ref="V41">SUM(IF(V3:V39="R",1,0))</f>
        <v>1</v>
      </c>
      <c r="W41" s="11">
        <f t="array" ref="W41">SUM(IF(W3:W39="R",1,0))</f>
        <v>1</v>
      </c>
      <c r="X41" s="11">
        <f t="array" ref="X41">SUM(IF(X3:X39="R",1,0))</f>
        <v>1</v>
      </c>
      <c r="Y41" s="11">
        <f t="array" ref="Y41">SUM(IF(Y3:Y39="R",1,0))</f>
        <v>1</v>
      </c>
      <c r="Z41" s="11">
        <f t="array" ref="Z41">SUM(IF(Z3:Z39="R",1,0))</f>
        <v>1</v>
      </c>
      <c r="AA41" s="11">
        <f t="array" ref="AA41">SUM(IF(AA3:AA39="R",1,0))</f>
        <v>1</v>
      </c>
      <c r="AB41" s="11">
        <f t="array" ref="AB41">SUM(IF(AB3:AB39="R",1,0))</f>
        <v>1</v>
      </c>
      <c r="AC41" s="11">
        <f t="array" ref="AC41">SUM(IF(AC3:AC39="R",1,0))</f>
        <v>1</v>
      </c>
      <c r="AD41" s="11">
        <f t="array" ref="AD41">SUM(IF(AD3:AD39="R",1,0))</f>
        <v>1</v>
      </c>
      <c r="AE41" s="11">
        <f t="array" ref="AE41">SUM(IF(AE3:AE39="R",1,0))</f>
        <v>1</v>
      </c>
      <c r="AF41" s="11">
        <f t="array" ref="AF41">SUM(IF(AF3:AF39="R",1,0))</f>
        <v>1</v>
      </c>
      <c r="AG41" s="11">
        <f t="array" ref="AG41">SUM(IF(AG3:AG39="R",1,0))</f>
        <v>1</v>
      </c>
      <c r="AH41" s="11">
        <f t="array" ref="AH41">SUM(IF(AH3:AH39="R",1,0))</f>
        <v>1</v>
      </c>
      <c r="AI41" s="11">
        <f t="array" ref="AI41">SUM(IF(AI3:AI39="R",1,0))</f>
        <v>1</v>
      </c>
      <c r="AJ41" s="11">
        <f t="array" ref="AJ41">SUM(IF(AJ3:AJ39="R",1,0))</f>
        <v>1</v>
      </c>
      <c r="AK41" s="11">
        <f t="array" ref="AK41">SUM(IF(AK3:AK39="R",1,0))</f>
        <v>1</v>
      </c>
      <c r="AL41" s="11">
        <f t="array" ref="AL41">SUM(IF(AL3:AL39="R",1,0))</f>
        <v>1</v>
      </c>
      <c r="AM41" s="11">
        <f t="array" ref="AM41">SUM(IF(AM3:AM39="R",1,0))</f>
        <v>1</v>
      </c>
      <c r="AN41" s="11">
        <f t="array" ref="AN41">SUM(IF(AN3:AN39="R",1,0))</f>
        <v>1</v>
      </c>
      <c r="AO41" s="11">
        <f t="array" ref="AO41">SUM(IF(AO3:AO39="R",1,0))</f>
        <v>1</v>
      </c>
      <c r="AP41" s="11">
        <f t="array" ref="AP41">SUM(IF(AP3:AP39="R",1,0))</f>
        <v>1</v>
      </c>
      <c r="AQ41" s="11">
        <f t="array" ref="AQ41">SUM(IF(AQ3:AQ39="R",1,0))</f>
        <v>1</v>
      </c>
      <c r="AR41" s="11">
        <f t="array" ref="AR41">SUM(IF(AR3:AR39="R",1,0))</f>
        <v>1</v>
      </c>
      <c r="AS41" s="11">
        <f t="array" ref="AS41">SUM(IF(AS3:AS39="R",1,0))</f>
        <v>0</v>
      </c>
      <c r="AT41" s="11">
        <f t="array" ref="AT41">SUM(IF(AT3:AT39="R",1,0))</f>
        <v>0</v>
      </c>
      <c r="AU41" s="11">
        <f t="array" ref="AU41">SUM(IF(AU3:AU39="R",1,0))</f>
        <v>0</v>
      </c>
      <c r="AV41" s="11">
        <f t="array" ref="AV41">SUM(IF(AV3:AV39="R",1,0))</f>
        <v>0</v>
      </c>
      <c r="AW41" s="11">
        <f t="array" ref="AW41">SUM(IF(AW3:AW39="R",1,0))</f>
        <v>0</v>
      </c>
      <c r="AX41" s="11">
        <f t="array" ref="AX41">SUM(IF(AX3:AX39="R",1,0))</f>
        <v>0</v>
      </c>
      <c r="AY41" s="11">
        <f t="array" ref="AY41">SUM(IF(AY3:AY39="R",1,0))</f>
        <v>0</v>
      </c>
    </row>
    <row r="42">
      <c r="A42" s="17" t="s">
        <v>70</v>
      </c>
      <c r="C42" s="10">
        <f t="shared" si="4"/>
        <v>37</v>
      </c>
      <c r="D42" s="11"/>
      <c r="E42" s="11"/>
      <c r="F42" s="11">
        <f t="array" ref="F42">SUM(IF(F3:F39="R2",1,0))</f>
        <v>1</v>
      </c>
      <c r="G42" s="11">
        <f t="array" ref="G42">SUM(IF(G3:G39="R2",1,0))</f>
        <v>1</v>
      </c>
      <c r="H42" s="11">
        <f t="array" ref="H42">SUM(IF(H3:H39="R2",1,0))</f>
        <v>1</v>
      </c>
      <c r="I42" s="11">
        <f t="array" ref="I42">SUM(IF(I3:I39="R2",1,0))</f>
        <v>1</v>
      </c>
      <c r="J42" s="11">
        <f t="array" ref="J42">SUM(IF(J3:J39="R2",1,0))</f>
        <v>0</v>
      </c>
      <c r="K42" s="11">
        <f t="array" ref="K42">SUM(IF(K3:K39="R2",1,0))</f>
        <v>1</v>
      </c>
      <c r="L42" s="11">
        <f t="array" ref="L42">SUM(IF(L3:L39="R2",1,0))</f>
        <v>0</v>
      </c>
      <c r="M42" s="11">
        <f t="array" ref="M42">SUM(IF(M3:M39="R2",1,0))</f>
        <v>1</v>
      </c>
      <c r="N42" s="11">
        <f t="array" ref="N42">SUM(IF(N3:N39="R2",1,0))</f>
        <v>1</v>
      </c>
      <c r="O42" s="11">
        <f t="array" ref="O42">SUM(IF(O3:O39="R2",1,0))</f>
        <v>1</v>
      </c>
      <c r="P42" s="11">
        <f t="array" ref="P42">SUM(IF(P3:P39="R2",1,0))</f>
        <v>1</v>
      </c>
      <c r="Q42" s="11">
        <f t="array" ref="Q42">SUM(IF(Q3:Q39="R2",1,0))</f>
        <v>1</v>
      </c>
      <c r="R42" s="11">
        <f t="array" ref="R42">SUM(IF(R3:R39="R2",1,0))</f>
        <v>1</v>
      </c>
      <c r="S42" s="11">
        <f t="array" ref="S42">SUM(IF(S3:S39="R2",1,0))</f>
        <v>1</v>
      </c>
      <c r="T42" s="11">
        <f t="array" ref="T42">SUM(IF(T3:T39="R2",1,0))</f>
        <v>1</v>
      </c>
      <c r="U42" s="11">
        <f t="array" ref="U42">SUM(IF(U3:U39="R2",1,0))</f>
        <v>1</v>
      </c>
      <c r="V42" s="11">
        <f t="array" ref="V42">SUM(IF(V3:V39="R2",1,0))</f>
        <v>1</v>
      </c>
      <c r="W42" s="11">
        <f t="array" ref="W42">SUM(IF(W3:W39="R2",1,0))</f>
        <v>1</v>
      </c>
      <c r="X42" s="11">
        <f t="array" ref="X42">SUM(IF(X3:X39="R2",1,0))</f>
        <v>1</v>
      </c>
      <c r="Y42" s="11">
        <f t="array" ref="Y42">SUM(IF(Y3:Y39="R2",1,0))</f>
        <v>1</v>
      </c>
      <c r="Z42" s="11">
        <f t="array" ref="Z42">SUM(IF(Z3:Z39="R2",1,0))</f>
        <v>1</v>
      </c>
      <c r="AA42" s="11">
        <f t="array" ref="AA42">SUM(IF(AA3:AA39="R2",1,0))</f>
        <v>1</v>
      </c>
      <c r="AB42" s="11">
        <f t="array" ref="AB42">SUM(IF(AB3:AB39="R2",1,0))</f>
        <v>1</v>
      </c>
      <c r="AC42" s="11">
        <f t="array" ref="AC42">SUM(IF(AC3:AC39="R2",1,0))</f>
        <v>1</v>
      </c>
      <c r="AD42" s="11">
        <f t="array" ref="AD42">SUM(IF(AD3:AD39="R2",1,0))</f>
        <v>1</v>
      </c>
      <c r="AE42" s="11">
        <f t="array" ref="AE42">SUM(IF(AE3:AE39="R2",1,0))</f>
        <v>1</v>
      </c>
      <c r="AF42" s="11">
        <f t="array" ref="AF42">SUM(IF(AF3:AF39="R2",1,0))</f>
        <v>1</v>
      </c>
      <c r="AG42" s="11">
        <f t="array" ref="AG42">SUM(IF(AG3:AG39="R2",1,0))</f>
        <v>1</v>
      </c>
      <c r="AH42" s="11">
        <f t="array" ref="AH42">SUM(IF(AH3:AH39="R2",1,0))</f>
        <v>1</v>
      </c>
      <c r="AI42" s="11">
        <f t="array" ref="AI42">SUM(IF(AI3:AI39="R2",1,0))</f>
        <v>1</v>
      </c>
      <c r="AJ42" s="11">
        <f t="array" ref="AJ42">SUM(IF(AJ3:AJ39="R2",1,0))</f>
        <v>1</v>
      </c>
      <c r="AK42" s="11">
        <f t="array" ref="AK42">SUM(IF(AK3:AK39="R2",1,0))</f>
        <v>1</v>
      </c>
      <c r="AL42" s="11">
        <f t="array" ref="AL42">SUM(IF(AL3:AL39="R2",1,0))</f>
        <v>1</v>
      </c>
      <c r="AM42" s="11">
        <f t="array" ref="AM42">SUM(IF(AM3:AM39="R2",1,0))</f>
        <v>1</v>
      </c>
      <c r="AN42" s="11">
        <f t="array" ref="AN42">SUM(IF(AN3:AN39="R2",1,0))</f>
        <v>1</v>
      </c>
      <c r="AO42" s="11">
        <f t="array" ref="AO42">SUM(IF(AO3:AO39="R2",1,0))</f>
        <v>1</v>
      </c>
      <c r="AP42" s="11">
        <f t="array" ref="AP42">SUM(IF(AP3:AP39="R2",1,0))</f>
        <v>1</v>
      </c>
      <c r="AQ42" s="11">
        <f t="array" ref="AQ42">SUM(IF(AQ3:AQ39="R2",1,0))</f>
        <v>1</v>
      </c>
      <c r="AR42" s="11">
        <f t="array" ref="AR42">SUM(IF(AR3:AR39="R2",1,0))</f>
        <v>1</v>
      </c>
      <c r="AS42" s="11">
        <f t="array" ref="AS42">SUM(IF(AS3:AS39="R2",1,0))</f>
        <v>0</v>
      </c>
      <c r="AT42" s="11">
        <f t="array" ref="AT42">SUM(IF(AT3:AT39="R2",1,0))</f>
        <v>0</v>
      </c>
      <c r="AU42" s="11">
        <f t="array" ref="AU42">SUM(IF(AU3:AU39="R2",1,0))</f>
        <v>0</v>
      </c>
      <c r="AV42" s="11">
        <f t="array" ref="AV42">SUM(IF(AV3:AV39="R2",1,0))</f>
        <v>0</v>
      </c>
      <c r="AW42" s="11">
        <f t="array" ref="AW42">SUM(IF(AW3:AW39="R2",1,0))</f>
        <v>0</v>
      </c>
      <c r="AX42" s="11">
        <f t="array" ref="AX42">SUM(IF(AX3:AX39="R2",1,0))</f>
        <v>0</v>
      </c>
      <c r="AY42" s="11">
        <f t="array" ref="AY42">SUM(IF(AY3:AY39="R2",1,0))</f>
        <v>0</v>
      </c>
    </row>
    <row r="43">
      <c r="E43" s="46" t="s">
        <v>71</v>
      </c>
      <c r="F43" s="29" t="str">
        <f t="shared" ref="F43:V43" si="10">IFERROR(INDEX($A$3:$A$39, MATCH(1, INDEX($F$3:$AU$39, 0, MATCH(F2, $F$2:$AU$2, 0)), 0)), INDEX($A$3:$A$39, MATCH(1, INDEX($F$3:$AU$39, 0, MATCH(F2&amp;" AM", $F$2:$AU$2, 0)), 0)))</f>
        <v>CPL FIRMAN</v>
      </c>
      <c r="G43" s="29" t="str">
        <f t="shared" si="10"/>
        <v>CPL JIREH</v>
      </c>
      <c r="H43" s="29" t="str">
        <f t="shared" si="10"/>
        <v>PTE INDRA</v>
      </c>
      <c r="I43" s="29" t="str">
        <f t="shared" si="10"/>
        <v>PTE BARATHAN</v>
      </c>
      <c r="J43" s="29" t="str">
        <f t="shared" si="10"/>
        <v>LCP ISAAC</v>
      </c>
      <c r="K43" s="29" t="str">
        <f t="shared" si="10"/>
        <v>PTE BRYAN</v>
      </c>
      <c r="L43" s="29" t="str">
        <f t="shared" si="10"/>
        <v>PTE SUSHIL</v>
      </c>
      <c r="M43" s="29" t="str">
        <f t="shared" si="10"/>
        <v>PTE REUVEN</v>
      </c>
      <c r="N43" s="29" t="str">
        <f t="shared" si="10"/>
        <v>LCP EZRA</v>
      </c>
      <c r="O43" s="29" t="str">
        <f t="shared" si="10"/>
        <v>PTE AFIF</v>
      </c>
      <c r="P43" s="29" t="str">
        <f t="shared" si="10"/>
        <v>PTE BARATHAN</v>
      </c>
      <c r="Q43" s="29" t="str">
        <f t="shared" si="10"/>
        <v>PTE NATHAN</v>
      </c>
      <c r="R43" s="29" t="str">
        <f t="shared" si="10"/>
        <v>LCP MITCHELL</v>
      </c>
      <c r="S43" s="29" t="str">
        <f t="shared" si="10"/>
        <v>PTE TRISTEN</v>
      </c>
      <c r="T43" s="29" t="str">
        <f t="shared" si="10"/>
        <v>PTE NATHAN</v>
      </c>
      <c r="U43" s="29" t="str">
        <f t="shared" si="10"/>
        <v>PTE HARITH</v>
      </c>
      <c r="V43" s="29" t="str">
        <f t="shared" si="10"/>
        <v>LCP NICO</v>
      </c>
      <c r="W43" s="29" t="str">
        <f t="shared" ref="W43:AC43" si="11">IFERROR(INDEX($A$3:$A$39, MATCH(1, INDEX($F$3:$AU$39, 0, MATCH(W2, $F$2:$AU$2, 0)), 0)), INDEX($A$3:$A$39, MATCH(1, INDEX($F$3:$AU$39, 0, MATCH(X2&amp;" AM", $F$2:$AU$2, 0)), 0)))</f>
        <v>LCP SURIA</v>
      </c>
      <c r="X43" s="29" t="str">
        <f t="shared" si="11"/>
        <v>PTE DYLAN</v>
      </c>
      <c r="Y43" s="29" t="str">
        <f t="shared" si="11"/>
        <v>PTE GABRIEL</v>
      </c>
      <c r="Z43" s="29" t="str">
        <f t="shared" si="11"/>
        <v>PTE SUSHIL</v>
      </c>
      <c r="AA43" s="29" t="str">
        <f t="shared" si="11"/>
        <v>PTE RYAN</v>
      </c>
      <c r="AB43" s="29" t="str">
        <f t="shared" si="11"/>
        <v>PTE KRISHAN</v>
      </c>
      <c r="AC43" s="29" t="str">
        <f t="shared" si="11"/>
        <v>PTE CLARENCE</v>
      </c>
      <c r="AD43" s="29" t="str">
        <f t="shared" ref="AD43:AY43" si="12">IFERROR(INDEX($A$3:$A$39, MATCH(1, INDEX($F$3:$AU$39, 0, MATCH(AD2, $F$2:$AU$2, 0)), 0)), INDEX($A$3:$A$39, MATCH(1, INDEX($F$3:$AU$39, 0, MATCH(AD2&amp;" AM", $F$2:$AU$2, 0)), 0)))</f>
        <v>PTE SYAFIQ</v>
      </c>
      <c r="AE43" s="29" t="str">
        <f t="shared" si="12"/>
        <v>REC RUI FENG</v>
      </c>
      <c r="AF43" s="29" t="str">
        <f t="shared" si="12"/>
        <v>LCP SURIA</v>
      </c>
      <c r="AG43" s="29" t="str">
        <f t="shared" si="12"/>
        <v>PTE PARAM</v>
      </c>
      <c r="AH43" s="29" t="str">
        <f t="shared" si="12"/>
        <v>PTE GABRIEL</v>
      </c>
      <c r="AI43" s="29" t="str">
        <f t="shared" si="12"/>
        <v>PTE KRISHAN</v>
      </c>
      <c r="AJ43" s="29" t="str">
        <f t="shared" si="12"/>
        <v>PTE RYAN</v>
      </c>
      <c r="AK43" s="29" t="str">
        <f t="shared" si="12"/>
        <v>REC ASH</v>
      </c>
      <c r="AL43" s="29" t="str">
        <f t="shared" si="12"/>
        <v>LCP NICO</v>
      </c>
      <c r="AM43" s="29" t="str">
        <f t="shared" si="12"/>
        <v>LCP JERRYL</v>
      </c>
      <c r="AN43" s="29" t="str">
        <f t="shared" si="12"/>
        <v>PTE AFIF</v>
      </c>
      <c r="AO43" s="29" t="str">
        <f t="shared" si="12"/>
        <v>PTE HARITH</v>
      </c>
      <c r="AP43" s="29" t="str">
        <f t="shared" si="12"/>
        <v>PTE PARAM</v>
      </c>
      <c r="AQ43" s="29" t="str">
        <f t="shared" si="12"/>
        <v>PTE SYAFIQ</v>
      </c>
      <c r="AR43" s="29" t="str">
        <f t="shared" si="12"/>
        <v>LCP MITCHELL</v>
      </c>
      <c r="AS43" s="29" t="str">
        <f t="shared" si="12"/>
        <v>#N/A</v>
      </c>
      <c r="AT43" s="29" t="str">
        <f t="shared" si="12"/>
        <v>#N/A</v>
      </c>
      <c r="AU43" s="29" t="str">
        <f t="shared" si="12"/>
        <v>#N/A</v>
      </c>
      <c r="AV43" s="29" t="str">
        <f t="shared" si="12"/>
        <v>#N/A</v>
      </c>
      <c r="AW43" s="29" t="str">
        <f t="shared" si="12"/>
        <v>#N/A</v>
      </c>
      <c r="AX43" s="29" t="str">
        <f t="shared" si="12"/>
        <v>#N/A</v>
      </c>
      <c r="AY43" s="29" t="str">
        <f t="shared" si="12"/>
        <v>#N/A</v>
      </c>
    </row>
    <row r="44">
      <c r="E44" s="46" t="s">
        <v>72</v>
      </c>
      <c r="F44" s="28" t="str">
        <f t="shared" ref="F44:AY44" si="13">INDEX($A$3:$A$39, MATCH("R", INDEX($F$3:$AU$39, 0, MATCH(F2, $F$2:$AU$2, 0)), 0))</f>
        <v>PTE TRISTEN</v>
      </c>
      <c r="G44" s="28" t="str">
        <f t="shared" si="13"/>
        <v>PTE AFIF</v>
      </c>
      <c r="H44" s="28" t="str">
        <f t="shared" si="13"/>
        <v>LCP MITCHELL</v>
      </c>
      <c r="I44" s="28" t="str">
        <f t="shared" si="13"/>
        <v>PTE HARITH</v>
      </c>
      <c r="J44" s="28" t="str">
        <f t="shared" si="13"/>
        <v>#N/A</v>
      </c>
      <c r="K44" s="28" t="str">
        <f t="shared" si="13"/>
        <v>PTE BARATHAN</v>
      </c>
      <c r="L44" s="28" t="str">
        <f t="shared" si="13"/>
        <v>LCP ISAAC</v>
      </c>
      <c r="M44" s="28" t="str">
        <f t="shared" si="13"/>
        <v>CPL FIRMAN</v>
      </c>
      <c r="N44" s="28" t="str">
        <f t="shared" si="13"/>
        <v>LCP MITCHELL</v>
      </c>
      <c r="O44" s="28" t="str">
        <f t="shared" si="13"/>
        <v>PTE INDRA</v>
      </c>
      <c r="P44" s="28" t="str">
        <f t="shared" si="13"/>
        <v>PTE CLARENCE</v>
      </c>
      <c r="Q44" s="28" t="str">
        <f t="shared" si="13"/>
        <v>PTE KRISHAN</v>
      </c>
      <c r="R44" s="28" t="str">
        <f t="shared" si="13"/>
        <v>PTE AFIF</v>
      </c>
      <c r="S44" s="28" t="str">
        <f t="shared" si="13"/>
        <v>PTE INDRA</v>
      </c>
      <c r="T44" s="28" t="str">
        <f t="shared" si="13"/>
        <v>CPL FIRMAN</v>
      </c>
      <c r="U44" s="28" t="str">
        <f t="shared" si="13"/>
        <v>PTE KRISHAN</v>
      </c>
      <c r="V44" s="28" t="str">
        <f t="shared" si="13"/>
        <v>PTE TRISTEN</v>
      </c>
      <c r="W44" s="28" t="str">
        <f t="shared" si="13"/>
        <v>PTE CLARENCE</v>
      </c>
      <c r="X44" s="28" t="str">
        <f t="shared" si="13"/>
        <v>REC RUI FENG</v>
      </c>
      <c r="Y44" s="28" t="str">
        <f t="shared" si="13"/>
        <v>PTE HARITH</v>
      </c>
      <c r="Z44" s="28" t="str">
        <f t="shared" si="13"/>
        <v>PTE DYLAN</v>
      </c>
      <c r="AA44" s="28" t="str">
        <f t="shared" si="13"/>
        <v>PTE SYAFIQ</v>
      </c>
      <c r="AB44" s="28" t="str">
        <f t="shared" si="13"/>
        <v>LCP ISAAC</v>
      </c>
      <c r="AC44" s="28" t="str">
        <f t="shared" si="13"/>
        <v>LCP SURIA</v>
      </c>
      <c r="AD44" s="28" t="str">
        <f t="shared" si="13"/>
        <v>PTE RYAN</v>
      </c>
      <c r="AE44" s="28" t="str">
        <f t="shared" si="13"/>
        <v>PTE PARAM</v>
      </c>
      <c r="AF44" s="28" t="str">
        <f t="shared" si="13"/>
        <v>LCP NICO</v>
      </c>
      <c r="AG44" s="28" t="str">
        <f t="shared" si="13"/>
        <v>REC RUI FENG</v>
      </c>
      <c r="AH44" s="28" t="str">
        <f t="shared" si="13"/>
        <v>PTE SYAFIQ</v>
      </c>
      <c r="AI44" s="28" t="str">
        <f t="shared" si="13"/>
        <v>PTE DYLAN</v>
      </c>
      <c r="AJ44" s="28" t="str">
        <f t="shared" si="13"/>
        <v>LCP NICO</v>
      </c>
      <c r="AK44" s="28" t="str">
        <f t="shared" si="13"/>
        <v>PTE BRYAN</v>
      </c>
      <c r="AL44" s="28" t="str">
        <f t="shared" si="13"/>
        <v>LCP SURIA</v>
      </c>
      <c r="AM44" s="28" t="str">
        <f t="shared" si="13"/>
        <v>PTE RYAN</v>
      </c>
      <c r="AN44" s="28" t="str">
        <f t="shared" si="13"/>
        <v>PTE NATHAN</v>
      </c>
      <c r="AO44" s="28" t="str">
        <f t="shared" si="13"/>
        <v>PTE BRYAN</v>
      </c>
      <c r="AP44" s="28" t="str">
        <f t="shared" si="13"/>
        <v>LCP JERRYL</v>
      </c>
      <c r="AQ44" s="28" t="str">
        <f t="shared" si="13"/>
        <v>CPL JIREH</v>
      </c>
      <c r="AR44" s="28" t="str">
        <f t="shared" si="13"/>
        <v>LCP JERRYL</v>
      </c>
      <c r="AS44" s="28" t="str">
        <f t="shared" si="13"/>
        <v>#N/A</v>
      </c>
      <c r="AT44" s="28" t="str">
        <f t="shared" si="13"/>
        <v>#N/A</v>
      </c>
      <c r="AU44" s="28" t="str">
        <f t="shared" si="13"/>
        <v>#N/A</v>
      </c>
      <c r="AV44" s="28" t="str">
        <f t="shared" si="13"/>
        <v>#N/A</v>
      </c>
      <c r="AW44" s="28" t="str">
        <f t="shared" si="13"/>
        <v>#N/A</v>
      </c>
      <c r="AX44" s="28" t="str">
        <f t="shared" si="13"/>
        <v>#N/A</v>
      </c>
      <c r="AY44" s="28" t="str">
        <f t="shared" si="13"/>
        <v>#N/A</v>
      </c>
    </row>
    <row r="45">
      <c r="A45" s="17" t="s">
        <v>232</v>
      </c>
      <c r="C45" s="49">
        <f>COUNTA($F$1:$AR1)</f>
        <v>39</v>
      </c>
      <c r="E45" s="46" t="s">
        <v>70</v>
      </c>
      <c r="F45" s="30" t="str">
        <f t="shared" ref="F45:AY45" si="14">INDEX($A$3:$A$39, MATCH("R2", INDEX($F$3:$AU$39, 0, MATCH(F2, $F$2:$AU$2, 0)), 0))</f>
        <v>REC RUI FENG</v>
      </c>
      <c r="G45" s="30" t="str">
        <f t="shared" si="14"/>
        <v>PTE KRISHAN</v>
      </c>
      <c r="H45" s="30" t="str">
        <f t="shared" si="14"/>
        <v>PTE CLARENCE</v>
      </c>
      <c r="I45" s="30" t="str">
        <f t="shared" si="14"/>
        <v>PTE BRYAN</v>
      </c>
      <c r="J45" s="30" t="str">
        <f t="shared" si="14"/>
        <v>#N/A</v>
      </c>
      <c r="K45" s="30" t="str">
        <f t="shared" si="14"/>
        <v>PTE HARITH</v>
      </c>
      <c r="L45" s="30" t="str">
        <f t="shared" si="14"/>
        <v>#N/A</v>
      </c>
      <c r="M45" s="30" t="str">
        <f t="shared" si="14"/>
        <v>PTE TRISTEN</v>
      </c>
      <c r="N45" s="30" t="str">
        <f t="shared" si="14"/>
        <v>PTE KRISHAN</v>
      </c>
      <c r="O45" s="30" t="str">
        <f t="shared" si="14"/>
        <v>REC RUI FENG</v>
      </c>
      <c r="P45" s="30" t="str">
        <f t="shared" si="14"/>
        <v>CPL FIRMAN</v>
      </c>
      <c r="Q45" s="30" t="str">
        <f t="shared" si="14"/>
        <v>PTE HARITH</v>
      </c>
      <c r="R45" s="30" t="str">
        <f t="shared" si="14"/>
        <v>PTE TRISTEN</v>
      </c>
      <c r="S45" s="30" t="str">
        <f t="shared" si="14"/>
        <v>PTE CLARENCE</v>
      </c>
      <c r="T45" s="30" t="str">
        <f t="shared" si="14"/>
        <v>PTE SYAFIQ</v>
      </c>
      <c r="U45" s="30" t="str">
        <f t="shared" si="14"/>
        <v>LCP MITCHELL</v>
      </c>
      <c r="V45" s="30" t="str">
        <f t="shared" si="14"/>
        <v>LCP ISAAC</v>
      </c>
      <c r="W45" s="30" t="str">
        <f t="shared" si="14"/>
        <v>PTE INDRA</v>
      </c>
      <c r="X45" s="30" t="str">
        <f t="shared" si="14"/>
        <v>PTE SYAFIQ</v>
      </c>
      <c r="Y45" s="30" t="str">
        <f t="shared" si="14"/>
        <v>LCP NICO</v>
      </c>
      <c r="Z45" s="30" t="str">
        <f t="shared" si="14"/>
        <v>PTE INDRA</v>
      </c>
      <c r="AA45" s="30" t="str">
        <f t="shared" si="14"/>
        <v>LCP MITCHELL</v>
      </c>
      <c r="AB45" s="30" t="str">
        <f t="shared" si="14"/>
        <v>LCP NICO</v>
      </c>
      <c r="AC45" s="30" t="str">
        <f t="shared" si="14"/>
        <v>PTE AFIF</v>
      </c>
      <c r="AD45" s="30" t="str">
        <f t="shared" si="14"/>
        <v>PTE DYLAN</v>
      </c>
      <c r="AE45" s="30" t="str">
        <f t="shared" si="14"/>
        <v>LCP ISAAC</v>
      </c>
      <c r="AF45" s="30" t="str">
        <f t="shared" si="14"/>
        <v>PTE AFIF</v>
      </c>
      <c r="AG45" s="30" t="str">
        <f t="shared" si="14"/>
        <v>LCP JERRYL</v>
      </c>
      <c r="AH45" s="30" t="str">
        <f t="shared" si="14"/>
        <v>PTE RYAN</v>
      </c>
      <c r="AI45" s="30" t="str">
        <f t="shared" si="14"/>
        <v>LCP SURIA</v>
      </c>
      <c r="AJ45" s="30" t="str">
        <f t="shared" si="14"/>
        <v>LCP JERRYL</v>
      </c>
      <c r="AK45" s="30" t="str">
        <f t="shared" si="14"/>
        <v>PTE NATHAN</v>
      </c>
      <c r="AL45" s="30" t="str">
        <f t="shared" si="14"/>
        <v>PTE DYLAN</v>
      </c>
      <c r="AM45" s="30" t="str">
        <f t="shared" si="14"/>
        <v>PTE BARATHAN</v>
      </c>
      <c r="AN45" s="30" t="str">
        <f t="shared" si="14"/>
        <v>PTE PARAM</v>
      </c>
      <c r="AO45" s="30" t="str">
        <f t="shared" si="14"/>
        <v>CPL FIRMAN</v>
      </c>
      <c r="AP45" s="30" t="str">
        <f t="shared" si="14"/>
        <v>PTE RYAN</v>
      </c>
      <c r="AQ45" s="30" t="str">
        <f t="shared" si="14"/>
        <v>PTE SUSHIL</v>
      </c>
      <c r="AR45" s="30" t="str">
        <f t="shared" si="14"/>
        <v>PTE BRYAN</v>
      </c>
      <c r="AS45" s="30" t="str">
        <f t="shared" si="14"/>
        <v>#N/A</v>
      </c>
      <c r="AT45" s="30" t="str">
        <f t="shared" si="14"/>
        <v>#N/A</v>
      </c>
      <c r="AU45" s="30" t="str">
        <f t="shared" si="14"/>
        <v>#N/A</v>
      </c>
      <c r="AV45" s="30" t="str">
        <f t="shared" si="14"/>
        <v>#N/A</v>
      </c>
      <c r="AW45" s="30" t="str">
        <f t="shared" si="14"/>
        <v>#N/A</v>
      </c>
      <c r="AX45" s="30" t="str">
        <f t="shared" si="14"/>
        <v>#N/A</v>
      </c>
      <c r="AY45" s="30" t="str">
        <f t="shared" si="14"/>
        <v>#N/A</v>
      </c>
    </row>
    <row r="46">
      <c r="A46" s="17" t="s">
        <v>154</v>
      </c>
      <c r="C46" s="50">
        <f>SUBTOTAL(103, $A$3:$A$39)
</f>
        <v>26</v>
      </c>
      <c r="H46" s="31"/>
    </row>
    <row r="47">
      <c r="H47" s="31"/>
    </row>
    <row r="48">
      <c r="H48" s="31"/>
    </row>
    <row r="49">
      <c r="A49" s="26" t="s">
        <v>118</v>
      </c>
      <c r="H49" s="31"/>
    </row>
    <row r="50">
      <c r="A50" s="25" t="s">
        <v>119</v>
      </c>
      <c r="H50" s="31"/>
    </row>
    <row r="51">
      <c r="A51" s="22" t="s">
        <v>120</v>
      </c>
      <c r="H51" s="31"/>
    </row>
    <row r="52">
      <c r="A52" s="20" t="s">
        <v>121</v>
      </c>
      <c r="H52" s="31"/>
    </row>
    <row r="53">
      <c r="A53" s="23" t="s">
        <v>122</v>
      </c>
      <c r="H53" s="31"/>
    </row>
    <row r="54">
      <c r="A54" s="14" t="s">
        <v>123</v>
      </c>
      <c r="H54" s="31"/>
    </row>
    <row r="55">
      <c r="A55" s="9" t="s">
        <v>125</v>
      </c>
      <c r="H55" s="31"/>
    </row>
    <row r="56">
      <c r="A56" s="44" t="s">
        <v>126</v>
      </c>
      <c r="C56" s="31"/>
      <c r="H56" s="31"/>
    </row>
    <row r="57">
      <c r="A57" s="62" t="s">
        <v>203</v>
      </c>
      <c r="H57" s="31"/>
    </row>
    <row r="58">
      <c r="A58" s="70" t="s">
        <v>233</v>
      </c>
      <c r="H58" s="31"/>
    </row>
    <row r="59">
      <c r="A59" s="69" t="s">
        <v>234</v>
      </c>
      <c r="H59" s="31"/>
    </row>
    <row r="60">
      <c r="A60" s="27" t="s">
        <v>124</v>
      </c>
      <c r="H60" s="31"/>
    </row>
    <row r="61">
      <c r="H61" s="31"/>
    </row>
    <row r="62">
      <c r="H62" s="31"/>
    </row>
    <row r="63">
      <c r="H63" s="31"/>
    </row>
    <row r="64">
      <c r="H64" s="31"/>
    </row>
    <row r="65">
      <c r="H65" s="31"/>
    </row>
    <row r="66">
      <c r="H66" s="31"/>
    </row>
    <row r="67">
      <c r="H67" s="31"/>
    </row>
    <row r="68">
      <c r="H68" s="31"/>
    </row>
    <row r="69">
      <c r="H69" s="31"/>
    </row>
    <row r="70">
      <c r="H70" s="31"/>
    </row>
    <row r="71">
      <c r="H71" s="31"/>
    </row>
    <row r="72">
      <c r="H72" s="31"/>
    </row>
    <row r="73">
      <c r="H73" s="31"/>
    </row>
    <row r="74">
      <c r="H74" s="31"/>
    </row>
    <row r="75">
      <c r="H75" s="31"/>
    </row>
    <row r="76">
      <c r="H76" s="31"/>
    </row>
    <row r="77">
      <c r="H77" s="31"/>
    </row>
    <row r="78">
      <c r="H78" s="31"/>
    </row>
    <row r="79">
      <c r="H79" s="31"/>
    </row>
    <row r="80">
      <c r="H80" s="31"/>
    </row>
    <row r="81">
      <c r="H81" s="31"/>
    </row>
    <row r="82">
      <c r="H82" s="31"/>
    </row>
    <row r="83">
      <c r="H83" s="31"/>
    </row>
    <row r="84">
      <c r="H84" s="31"/>
    </row>
    <row r="85">
      <c r="H85" s="31"/>
    </row>
    <row r="86">
      <c r="H86" s="31"/>
    </row>
    <row r="87">
      <c r="H87" s="31"/>
    </row>
    <row r="88">
      <c r="H88" s="31"/>
    </row>
    <row r="89">
      <c r="H89" s="31"/>
    </row>
    <row r="90">
      <c r="H90" s="31"/>
    </row>
    <row r="91">
      <c r="H91" s="31"/>
    </row>
    <row r="92">
      <c r="H92" s="31"/>
    </row>
    <row r="93">
      <c r="H93" s="31"/>
    </row>
    <row r="94">
      <c r="H94" s="31"/>
    </row>
    <row r="95">
      <c r="H95" s="31"/>
    </row>
    <row r="96">
      <c r="H96" s="31"/>
    </row>
    <row r="97">
      <c r="H97" s="31"/>
    </row>
    <row r="98">
      <c r="H98" s="31"/>
    </row>
    <row r="99">
      <c r="H99" s="31"/>
    </row>
    <row r="100">
      <c r="H100" s="31"/>
    </row>
    <row r="101">
      <c r="H101" s="31"/>
    </row>
    <row r="102">
      <c r="H102" s="31"/>
    </row>
    <row r="103">
      <c r="H103" s="31"/>
    </row>
    <row r="104">
      <c r="H104" s="31"/>
    </row>
    <row r="105">
      <c r="H105" s="31"/>
    </row>
    <row r="106">
      <c r="H106" s="31"/>
    </row>
    <row r="107">
      <c r="H107" s="31"/>
    </row>
    <row r="108">
      <c r="H108" s="31"/>
    </row>
    <row r="109">
      <c r="H109" s="31"/>
    </row>
    <row r="110">
      <c r="H110" s="31"/>
    </row>
    <row r="111">
      <c r="H111" s="31"/>
    </row>
    <row r="112">
      <c r="H112" s="31"/>
    </row>
    <row r="113">
      <c r="H113" s="31"/>
    </row>
    <row r="114">
      <c r="H114" s="31"/>
    </row>
    <row r="115">
      <c r="H115" s="31"/>
    </row>
    <row r="116">
      <c r="H116" s="31"/>
    </row>
    <row r="117">
      <c r="H117" s="31"/>
    </row>
    <row r="118">
      <c r="H118" s="31"/>
    </row>
    <row r="119">
      <c r="H119" s="31"/>
    </row>
    <row r="120">
      <c r="H120" s="31"/>
    </row>
    <row r="121">
      <c r="H121" s="31"/>
    </row>
    <row r="122">
      <c r="H122" s="31"/>
    </row>
    <row r="123">
      <c r="H123" s="31"/>
    </row>
    <row r="124">
      <c r="H124" s="31"/>
    </row>
    <row r="125">
      <c r="H125" s="31"/>
    </row>
    <row r="126">
      <c r="H126" s="31"/>
    </row>
    <row r="127">
      <c r="H127" s="31"/>
    </row>
    <row r="128">
      <c r="H128" s="31"/>
    </row>
    <row r="129">
      <c r="H129" s="31"/>
    </row>
    <row r="130">
      <c r="H130" s="31"/>
    </row>
    <row r="131">
      <c r="H131" s="31"/>
    </row>
    <row r="132">
      <c r="H132" s="31"/>
    </row>
    <row r="133">
      <c r="H133" s="31"/>
    </row>
    <row r="134">
      <c r="H134" s="31"/>
    </row>
    <row r="135">
      <c r="H135" s="31"/>
    </row>
    <row r="136">
      <c r="H136" s="31"/>
    </row>
    <row r="137">
      <c r="H137" s="31"/>
    </row>
    <row r="138">
      <c r="H138" s="31"/>
    </row>
    <row r="139">
      <c r="H139" s="31"/>
    </row>
    <row r="140">
      <c r="H140" s="31"/>
    </row>
    <row r="141">
      <c r="H141" s="31"/>
    </row>
    <row r="142">
      <c r="H142" s="31"/>
    </row>
    <row r="143">
      <c r="H143" s="31"/>
    </row>
    <row r="144">
      <c r="H144" s="31"/>
    </row>
    <row r="145">
      <c r="H145" s="31"/>
    </row>
    <row r="146">
      <c r="H146" s="31"/>
    </row>
    <row r="147">
      <c r="H147" s="31"/>
    </row>
    <row r="148">
      <c r="H148" s="31"/>
    </row>
    <row r="149">
      <c r="H149" s="31"/>
    </row>
    <row r="150">
      <c r="H150" s="31"/>
    </row>
    <row r="151">
      <c r="H151" s="31"/>
    </row>
    <row r="152">
      <c r="H152" s="31"/>
    </row>
    <row r="153">
      <c r="H153" s="31"/>
    </row>
    <row r="154">
      <c r="H154" s="31"/>
    </row>
    <row r="155">
      <c r="H155" s="31"/>
    </row>
    <row r="156">
      <c r="H156" s="31"/>
    </row>
    <row r="157">
      <c r="H157" s="31"/>
    </row>
    <row r="158">
      <c r="H158" s="31"/>
    </row>
    <row r="159">
      <c r="H159" s="31"/>
    </row>
    <row r="160">
      <c r="H160" s="31"/>
    </row>
    <row r="161">
      <c r="H161" s="31"/>
    </row>
    <row r="162">
      <c r="H162" s="31"/>
    </row>
    <row r="163">
      <c r="H163" s="31"/>
    </row>
    <row r="164">
      <c r="H164" s="31"/>
    </row>
    <row r="165">
      <c r="H165" s="31"/>
    </row>
    <row r="166">
      <c r="H166" s="31"/>
    </row>
    <row r="167">
      <c r="H167" s="31"/>
    </row>
    <row r="168">
      <c r="H168" s="31"/>
    </row>
    <row r="169">
      <c r="H169" s="31"/>
    </row>
    <row r="170">
      <c r="H170" s="31"/>
    </row>
    <row r="171">
      <c r="H171" s="31"/>
    </row>
    <row r="172">
      <c r="H172" s="31"/>
    </row>
    <row r="173">
      <c r="H173" s="31"/>
    </row>
    <row r="174">
      <c r="H174" s="31"/>
    </row>
    <row r="175">
      <c r="H175" s="31"/>
    </row>
    <row r="176">
      <c r="H176" s="31"/>
    </row>
    <row r="177">
      <c r="H177" s="31"/>
    </row>
    <row r="178">
      <c r="H178" s="31"/>
    </row>
    <row r="179">
      <c r="H179" s="31"/>
    </row>
    <row r="180">
      <c r="H180" s="31"/>
    </row>
    <row r="181">
      <c r="H181" s="31"/>
    </row>
    <row r="182">
      <c r="H182" s="31"/>
    </row>
    <row r="183">
      <c r="H183" s="31"/>
    </row>
    <row r="184">
      <c r="H184" s="31"/>
    </row>
    <row r="185">
      <c r="H185" s="31"/>
    </row>
    <row r="186">
      <c r="H186" s="31"/>
    </row>
    <row r="187">
      <c r="H187" s="31"/>
    </row>
    <row r="188">
      <c r="H188" s="31"/>
    </row>
    <row r="189">
      <c r="H189" s="31"/>
    </row>
    <row r="190">
      <c r="H190" s="31"/>
    </row>
    <row r="191">
      <c r="H191" s="31"/>
    </row>
    <row r="192">
      <c r="H192" s="31"/>
    </row>
    <row r="193">
      <c r="H193" s="31"/>
    </row>
    <row r="194">
      <c r="H194" s="31"/>
    </row>
    <row r="195">
      <c r="H195" s="31"/>
    </row>
    <row r="196">
      <c r="H196" s="31"/>
    </row>
    <row r="197">
      <c r="H197" s="31"/>
    </row>
    <row r="198">
      <c r="H198" s="31"/>
    </row>
    <row r="199">
      <c r="H199" s="31"/>
    </row>
    <row r="200">
      <c r="H200" s="31"/>
    </row>
    <row r="201">
      <c r="H201" s="31"/>
    </row>
    <row r="202">
      <c r="H202" s="31"/>
    </row>
    <row r="203">
      <c r="H203" s="31"/>
    </row>
    <row r="204">
      <c r="H204" s="31"/>
    </row>
    <row r="205">
      <c r="H205" s="31"/>
    </row>
    <row r="206">
      <c r="H206" s="31"/>
    </row>
    <row r="207">
      <c r="H207" s="31"/>
    </row>
    <row r="208">
      <c r="H208" s="31"/>
    </row>
    <row r="209">
      <c r="H209" s="31"/>
    </row>
    <row r="210">
      <c r="H210" s="31"/>
    </row>
    <row r="211">
      <c r="H211" s="31"/>
    </row>
    <row r="212">
      <c r="H212" s="31"/>
    </row>
    <row r="213">
      <c r="H213" s="31"/>
    </row>
    <row r="214">
      <c r="H214" s="31"/>
    </row>
    <row r="215">
      <c r="H215" s="31"/>
    </row>
    <row r="216">
      <c r="H216" s="31"/>
    </row>
    <row r="217">
      <c r="H217" s="31"/>
    </row>
    <row r="218">
      <c r="H218" s="31"/>
    </row>
    <row r="219">
      <c r="H219" s="31"/>
    </row>
    <row r="220">
      <c r="H220" s="31"/>
    </row>
    <row r="221">
      <c r="H221" s="31"/>
    </row>
    <row r="222">
      <c r="H222" s="31"/>
    </row>
    <row r="223">
      <c r="H223" s="31"/>
    </row>
    <row r="224">
      <c r="H224" s="31"/>
    </row>
    <row r="225">
      <c r="H225" s="31"/>
    </row>
    <row r="226">
      <c r="H226" s="31"/>
    </row>
    <row r="227">
      <c r="H227" s="31"/>
    </row>
    <row r="228">
      <c r="H228" s="31"/>
    </row>
    <row r="229">
      <c r="H229" s="31"/>
    </row>
    <row r="230">
      <c r="H230" s="31"/>
    </row>
    <row r="231">
      <c r="H231" s="31"/>
    </row>
    <row r="232">
      <c r="H232" s="31"/>
    </row>
    <row r="233">
      <c r="H233" s="31"/>
    </row>
    <row r="234">
      <c r="H234" s="31"/>
    </row>
    <row r="235">
      <c r="H235" s="31"/>
    </row>
    <row r="236">
      <c r="H236" s="31"/>
    </row>
    <row r="237">
      <c r="H237" s="31"/>
    </row>
    <row r="238">
      <c r="H238" s="31"/>
    </row>
    <row r="239">
      <c r="H239" s="31"/>
    </row>
    <row r="240">
      <c r="H240" s="31"/>
    </row>
    <row r="241">
      <c r="H241" s="31"/>
    </row>
    <row r="242">
      <c r="H242" s="31"/>
    </row>
    <row r="243">
      <c r="H243" s="31"/>
    </row>
    <row r="244">
      <c r="H244" s="31"/>
    </row>
    <row r="245">
      <c r="H245" s="31"/>
    </row>
    <row r="246">
      <c r="H246" s="31"/>
    </row>
    <row r="247">
      <c r="H247" s="31"/>
    </row>
    <row r="248">
      <c r="H248" s="31"/>
    </row>
    <row r="249">
      <c r="H249" s="31"/>
    </row>
    <row r="250">
      <c r="H250" s="31"/>
    </row>
    <row r="251">
      <c r="H251" s="31"/>
    </row>
    <row r="252">
      <c r="H252" s="31"/>
    </row>
    <row r="253">
      <c r="H253" s="31"/>
    </row>
    <row r="254">
      <c r="H254" s="31"/>
    </row>
    <row r="255">
      <c r="H255" s="31"/>
    </row>
    <row r="256">
      <c r="H256" s="31"/>
    </row>
    <row r="257">
      <c r="H257" s="31"/>
    </row>
    <row r="258">
      <c r="H258" s="31"/>
    </row>
    <row r="259">
      <c r="H259" s="31"/>
    </row>
    <row r="260">
      <c r="H260" s="31"/>
    </row>
    <row r="261">
      <c r="H261" s="31"/>
    </row>
    <row r="262">
      <c r="H262" s="31"/>
    </row>
    <row r="263">
      <c r="H263" s="31"/>
    </row>
    <row r="264">
      <c r="H264" s="31"/>
    </row>
    <row r="265">
      <c r="H265" s="31"/>
    </row>
    <row r="266">
      <c r="H266" s="31"/>
    </row>
    <row r="267">
      <c r="H267" s="31"/>
    </row>
    <row r="268">
      <c r="H268" s="31"/>
    </row>
    <row r="269">
      <c r="H269" s="31"/>
    </row>
    <row r="270">
      <c r="H270" s="31"/>
    </row>
    <row r="271">
      <c r="H271" s="31"/>
    </row>
    <row r="272">
      <c r="H272" s="31"/>
    </row>
    <row r="273">
      <c r="H273" s="31"/>
    </row>
    <row r="274">
      <c r="H274" s="31"/>
    </row>
    <row r="275">
      <c r="H275" s="31"/>
    </row>
    <row r="276">
      <c r="H276" s="31"/>
    </row>
    <row r="277">
      <c r="H277" s="31"/>
    </row>
    <row r="278">
      <c r="H278" s="31"/>
    </row>
    <row r="279">
      <c r="H279" s="31"/>
    </row>
    <row r="280">
      <c r="H280" s="31"/>
    </row>
    <row r="281">
      <c r="H281" s="31"/>
    </row>
    <row r="282">
      <c r="H282" s="31"/>
    </row>
    <row r="283">
      <c r="H283" s="31"/>
    </row>
    <row r="284">
      <c r="H284" s="31"/>
    </row>
    <row r="285">
      <c r="H285" s="31"/>
    </row>
    <row r="286">
      <c r="H286" s="31"/>
    </row>
    <row r="287">
      <c r="H287" s="31"/>
    </row>
    <row r="288">
      <c r="H288" s="31"/>
    </row>
    <row r="289">
      <c r="H289" s="31"/>
    </row>
    <row r="290">
      <c r="H290" s="31"/>
    </row>
    <row r="291">
      <c r="H291" s="31"/>
    </row>
    <row r="292">
      <c r="H292" s="31"/>
    </row>
    <row r="293">
      <c r="H293" s="31"/>
    </row>
    <row r="294">
      <c r="H294" s="31"/>
    </row>
    <row r="295">
      <c r="H295" s="31"/>
    </row>
    <row r="296">
      <c r="H296" s="31"/>
    </row>
    <row r="297">
      <c r="H297" s="31"/>
    </row>
    <row r="298">
      <c r="H298" s="31"/>
    </row>
    <row r="299">
      <c r="H299" s="31"/>
    </row>
    <row r="300">
      <c r="H300" s="31"/>
    </row>
    <row r="301">
      <c r="H301" s="31"/>
    </row>
    <row r="302">
      <c r="H302" s="31"/>
    </row>
    <row r="303">
      <c r="H303" s="31"/>
    </row>
    <row r="304">
      <c r="H304" s="31"/>
    </row>
    <row r="305">
      <c r="H305" s="31"/>
    </row>
    <row r="306">
      <c r="H306" s="31"/>
    </row>
    <row r="307">
      <c r="H307" s="31"/>
    </row>
    <row r="308">
      <c r="H308" s="31"/>
    </row>
    <row r="309">
      <c r="H309" s="31"/>
    </row>
    <row r="310">
      <c r="H310" s="31"/>
    </row>
    <row r="311">
      <c r="H311" s="31"/>
    </row>
    <row r="312">
      <c r="H312" s="31"/>
    </row>
    <row r="313">
      <c r="H313" s="31"/>
    </row>
    <row r="314">
      <c r="H314" s="31"/>
    </row>
    <row r="315">
      <c r="H315" s="31"/>
    </row>
    <row r="316">
      <c r="H316" s="31"/>
    </row>
    <row r="317">
      <c r="H317" s="31"/>
    </row>
    <row r="318">
      <c r="H318" s="31"/>
    </row>
    <row r="319">
      <c r="H319" s="31"/>
    </row>
    <row r="320">
      <c r="H320" s="31"/>
    </row>
    <row r="321">
      <c r="H321" s="31"/>
    </row>
    <row r="322">
      <c r="H322" s="31"/>
    </row>
    <row r="323">
      <c r="H323" s="31"/>
    </row>
    <row r="324">
      <c r="H324" s="31"/>
    </row>
    <row r="325">
      <c r="H325" s="31"/>
    </row>
    <row r="326">
      <c r="H326" s="31"/>
    </row>
    <row r="327">
      <c r="H327" s="31"/>
    </row>
    <row r="328">
      <c r="H328" s="31"/>
    </row>
    <row r="329">
      <c r="H329" s="31"/>
    </row>
    <row r="330">
      <c r="H330" s="31"/>
    </row>
    <row r="331">
      <c r="H331" s="31"/>
    </row>
    <row r="332">
      <c r="H332" s="31"/>
    </row>
    <row r="333">
      <c r="H333" s="31"/>
    </row>
    <row r="334">
      <c r="H334" s="31"/>
    </row>
    <row r="335">
      <c r="H335" s="31"/>
    </row>
    <row r="336">
      <c r="H336" s="31"/>
    </row>
    <row r="337">
      <c r="H337" s="31"/>
    </row>
    <row r="338">
      <c r="H338" s="31"/>
    </row>
    <row r="339">
      <c r="H339" s="31"/>
    </row>
    <row r="340">
      <c r="H340" s="31"/>
    </row>
    <row r="341">
      <c r="H341" s="31"/>
    </row>
    <row r="342">
      <c r="H342" s="31"/>
    </row>
    <row r="343">
      <c r="H343" s="31"/>
    </row>
    <row r="344">
      <c r="H344" s="31"/>
    </row>
    <row r="345">
      <c r="H345" s="31"/>
    </row>
    <row r="346">
      <c r="H346" s="31"/>
    </row>
    <row r="347">
      <c r="H347" s="31"/>
    </row>
    <row r="348">
      <c r="H348" s="31"/>
    </row>
    <row r="349">
      <c r="H349" s="31"/>
    </row>
    <row r="350">
      <c r="H350" s="31"/>
    </row>
    <row r="351">
      <c r="H351" s="31"/>
    </row>
    <row r="352">
      <c r="H352" s="31"/>
    </row>
    <row r="353">
      <c r="H353" s="31"/>
    </row>
    <row r="354">
      <c r="H354" s="31"/>
    </row>
    <row r="355">
      <c r="H355" s="31"/>
    </row>
    <row r="356">
      <c r="H356" s="31"/>
    </row>
    <row r="357">
      <c r="H357" s="31"/>
    </row>
    <row r="358">
      <c r="H358" s="31"/>
    </row>
    <row r="359">
      <c r="H359" s="31"/>
    </row>
    <row r="360">
      <c r="H360" s="31"/>
    </row>
    <row r="361">
      <c r="H361" s="31"/>
    </row>
    <row r="362">
      <c r="H362" s="31"/>
    </row>
    <row r="363">
      <c r="H363" s="31"/>
    </row>
    <row r="364">
      <c r="H364" s="31"/>
    </row>
    <row r="365">
      <c r="H365" s="31"/>
    </row>
    <row r="366">
      <c r="H366" s="31"/>
    </row>
    <row r="367">
      <c r="H367" s="31"/>
    </row>
    <row r="368">
      <c r="H368" s="31"/>
    </row>
    <row r="369">
      <c r="H369" s="31"/>
    </row>
    <row r="370">
      <c r="H370" s="31"/>
    </row>
    <row r="371">
      <c r="H371" s="31"/>
    </row>
    <row r="372">
      <c r="H372" s="31"/>
    </row>
    <row r="373">
      <c r="H373" s="31"/>
    </row>
    <row r="374">
      <c r="H374" s="31"/>
    </row>
    <row r="375">
      <c r="H375" s="31"/>
    </row>
    <row r="376">
      <c r="H376" s="31"/>
    </row>
    <row r="377">
      <c r="H377" s="31"/>
    </row>
    <row r="378">
      <c r="H378" s="31"/>
    </row>
    <row r="379">
      <c r="H379" s="31"/>
    </row>
    <row r="380">
      <c r="H380" s="31"/>
    </row>
    <row r="381">
      <c r="H381" s="31"/>
    </row>
    <row r="382">
      <c r="H382" s="31"/>
    </row>
    <row r="383">
      <c r="H383" s="31"/>
    </row>
    <row r="384">
      <c r="H384" s="31"/>
    </row>
    <row r="385">
      <c r="H385" s="31"/>
    </row>
    <row r="386">
      <c r="H386" s="31"/>
    </row>
    <row r="387">
      <c r="H387" s="31"/>
    </row>
    <row r="388">
      <c r="H388" s="31"/>
    </row>
    <row r="389">
      <c r="H389" s="31"/>
    </row>
    <row r="390">
      <c r="H390" s="31"/>
    </row>
    <row r="391">
      <c r="H391" s="31"/>
    </row>
    <row r="392">
      <c r="H392" s="31"/>
    </row>
    <row r="393">
      <c r="H393" s="31"/>
    </row>
    <row r="394">
      <c r="H394" s="31"/>
    </row>
    <row r="395">
      <c r="H395" s="31"/>
    </row>
    <row r="396">
      <c r="H396" s="31"/>
    </row>
    <row r="397">
      <c r="H397" s="31"/>
    </row>
    <row r="398">
      <c r="H398" s="31"/>
    </row>
    <row r="399">
      <c r="H399" s="31"/>
    </row>
    <row r="400">
      <c r="H400" s="31"/>
    </row>
    <row r="401">
      <c r="H401" s="31"/>
    </row>
    <row r="402">
      <c r="H402" s="31"/>
    </row>
    <row r="403">
      <c r="H403" s="31"/>
    </row>
    <row r="404">
      <c r="H404" s="31"/>
    </row>
    <row r="405">
      <c r="H405" s="31"/>
    </row>
    <row r="406">
      <c r="H406" s="31"/>
    </row>
    <row r="407">
      <c r="H407" s="31"/>
    </row>
    <row r="408">
      <c r="H408" s="31"/>
    </row>
    <row r="409">
      <c r="H409" s="31"/>
    </row>
    <row r="410">
      <c r="H410" s="31"/>
    </row>
    <row r="411">
      <c r="H411" s="31"/>
    </row>
    <row r="412">
      <c r="H412" s="31"/>
    </row>
    <row r="413">
      <c r="H413" s="31"/>
    </row>
    <row r="414">
      <c r="H414" s="31"/>
    </row>
    <row r="415">
      <c r="H415" s="31"/>
    </row>
    <row r="416">
      <c r="H416" s="31"/>
    </row>
    <row r="417">
      <c r="H417" s="31"/>
    </row>
    <row r="418">
      <c r="H418" s="31"/>
    </row>
    <row r="419">
      <c r="H419" s="31"/>
    </row>
    <row r="420">
      <c r="H420" s="31"/>
    </row>
    <row r="421">
      <c r="H421" s="31"/>
    </row>
    <row r="422">
      <c r="H422" s="31"/>
    </row>
    <row r="423">
      <c r="H423" s="31"/>
    </row>
    <row r="424">
      <c r="H424" s="31"/>
    </row>
    <row r="425">
      <c r="H425" s="31"/>
    </row>
    <row r="426">
      <c r="H426" s="31"/>
    </row>
    <row r="427">
      <c r="H427" s="31"/>
    </row>
    <row r="428">
      <c r="H428" s="31"/>
    </row>
    <row r="429">
      <c r="H429" s="31"/>
    </row>
    <row r="430">
      <c r="H430" s="31"/>
    </row>
    <row r="431">
      <c r="H431" s="31"/>
    </row>
    <row r="432">
      <c r="H432" s="31"/>
    </row>
    <row r="433">
      <c r="H433" s="31"/>
    </row>
    <row r="434">
      <c r="H434" s="31"/>
    </row>
    <row r="435">
      <c r="H435" s="31"/>
    </row>
    <row r="436">
      <c r="H436" s="31"/>
    </row>
    <row r="437">
      <c r="H437" s="31"/>
    </row>
    <row r="438">
      <c r="H438" s="31"/>
    </row>
    <row r="439">
      <c r="H439" s="31"/>
    </row>
    <row r="440">
      <c r="H440" s="31"/>
    </row>
    <row r="441">
      <c r="H441" s="31"/>
    </row>
    <row r="442">
      <c r="H442" s="31"/>
    </row>
    <row r="443">
      <c r="H443" s="31"/>
    </row>
    <row r="444">
      <c r="H444" s="31"/>
    </row>
    <row r="445">
      <c r="H445" s="31"/>
    </row>
    <row r="446">
      <c r="H446" s="31"/>
    </row>
    <row r="447">
      <c r="H447" s="31"/>
    </row>
    <row r="448">
      <c r="H448" s="31"/>
    </row>
    <row r="449">
      <c r="H449" s="31"/>
    </row>
    <row r="450">
      <c r="H450" s="31"/>
    </row>
    <row r="451">
      <c r="H451" s="31"/>
    </row>
    <row r="452">
      <c r="H452" s="31"/>
    </row>
    <row r="453">
      <c r="H453" s="31"/>
    </row>
    <row r="454">
      <c r="H454" s="31"/>
    </row>
    <row r="455">
      <c r="H455" s="31"/>
    </row>
    <row r="456">
      <c r="H456" s="31"/>
    </row>
    <row r="457">
      <c r="H457" s="31"/>
    </row>
    <row r="458">
      <c r="H458" s="31"/>
    </row>
    <row r="459">
      <c r="H459" s="31"/>
    </row>
    <row r="460">
      <c r="H460" s="31"/>
    </row>
    <row r="461">
      <c r="H461" s="31"/>
    </row>
    <row r="462">
      <c r="H462" s="31"/>
    </row>
    <row r="463">
      <c r="H463" s="31"/>
    </row>
    <row r="464">
      <c r="H464" s="31"/>
    </row>
    <row r="465">
      <c r="H465" s="31"/>
    </row>
    <row r="466">
      <c r="H466" s="31"/>
    </row>
    <row r="467">
      <c r="H467" s="31"/>
    </row>
    <row r="468">
      <c r="H468" s="31"/>
    </row>
    <row r="469">
      <c r="H469" s="31"/>
    </row>
    <row r="470">
      <c r="H470" s="31"/>
    </row>
    <row r="471">
      <c r="H471" s="31"/>
    </row>
    <row r="472">
      <c r="H472" s="31"/>
    </row>
    <row r="473">
      <c r="H473" s="31"/>
    </row>
    <row r="474">
      <c r="H474" s="31"/>
    </row>
    <row r="475">
      <c r="H475" s="31"/>
    </row>
    <row r="476">
      <c r="H476" s="31"/>
    </row>
    <row r="477">
      <c r="H477" s="31"/>
    </row>
    <row r="478">
      <c r="H478" s="31"/>
    </row>
    <row r="479">
      <c r="H479" s="31"/>
    </row>
    <row r="480">
      <c r="H480" s="31"/>
    </row>
    <row r="481">
      <c r="H481" s="31"/>
    </row>
    <row r="482">
      <c r="H482" s="31"/>
    </row>
    <row r="483">
      <c r="H483" s="31"/>
    </row>
    <row r="484">
      <c r="H484" s="31"/>
    </row>
    <row r="485">
      <c r="H485" s="31"/>
    </row>
    <row r="486">
      <c r="H486" s="31"/>
    </row>
    <row r="487">
      <c r="H487" s="31"/>
    </row>
    <row r="488">
      <c r="H488" s="31"/>
    </row>
    <row r="489">
      <c r="H489" s="31"/>
    </row>
    <row r="490">
      <c r="H490" s="31"/>
    </row>
    <row r="491">
      <c r="H491" s="31"/>
    </row>
    <row r="492">
      <c r="H492" s="31"/>
    </row>
    <row r="493">
      <c r="H493" s="31"/>
    </row>
    <row r="494">
      <c r="H494" s="31"/>
    </row>
    <row r="495">
      <c r="H495" s="31"/>
    </row>
    <row r="496">
      <c r="H496" s="31"/>
    </row>
    <row r="497">
      <c r="H497" s="31"/>
    </row>
    <row r="498">
      <c r="H498" s="31"/>
    </row>
    <row r="499">
      <c r="H499" s="31"/>
    </row>
    <row r="500">
      <c r="H500" s="31"/>
    </row>
    <row r="501">
      <c r="H501" s="31"/>
    </row>
    <row r="502">
      <c r="H502" s="31"/>
    </row>
    <row r="503">
      <c r="H503" s="31"/>
    </row>
    <row r="504">
      <c r="H504" s="31"/>
    </row>
    <row r="505">
      <c r="H505" s="31"/>
    </row>
    <row r="506">
      <c r="H506" s="31"/>
    </row>
    <row r="507">
      <c r="H507" s="31"/>
    </row>
    <row r="508">
      <c r="H508" s="31"/>
    </row>
    <row r="509">
      <c r="H509" s="31"/>
    </row>
    <row r="510">
      <c r="H510" s="31"/>
    </row>
    <row r="511">
      <c r="H511" s="31"/>
    </row>
    <row r="512">
      <c r="H512" s="31"/>
    </row>
    <row r="513">
      <c r="H513" s="31"/>
    </row>
    <row r="514">
      <c r="H514" s="31"/>
    </row>
    <row r="515">
      <c r="H515" s="31"/>
    </row>
    <row r="516">
      <c r="H516" s="31"/>
    </row>
    <row r="517">
      <c r="H517" s="31"/>
    </row>
    <row r="518">
      <c r="H518" s="31"/>
    </row>
    <row r="519">
      <c r="H519" s="31"/>
    </row>
    <row r="520">
      <c r="H520" s="31"/>
    </row>
    <row r="521">
      <c r="H521" s="31"/>
    </row>
    <row r="522">
      <c r="H522" s="31"/>
    </row>
    <row r="523">
      <c r="H523" s="31"/>
    </row>
    <row r="524">
      <c r="H524" s="31"/>
    </row>
    <row r="525">
      <c r="H525" s="31"/>
    </row>
    <row r="526">
      <c r="H526" s="31"/>
    </row>
    <row r="527">
      <c r="H527" s="31"/>
    </row>
    <row r="528">
      <c r="H528" s="31"/>
    </row>
    <row r="529">
      <c r="H529" s="31"/>
    </row>
    <row r="530">
      <c r="H530" s="31"/>
    </row>
    <row r="531">
      <c r="H531" s="31"/>
    </row>
    <row r="532">
      <c r="H532" s="31"/>
    </row>
    <row r="533">
      <c r="H533" s="31"/>
    </row>
    <row r="534">
      <c r="H534" s="31"/>
    </row>
    <row r="535">
      <c r="H535" s="31"/>
    </row>
    <row r="536">
      <c r="H536" s="31"/>
    </row>
    <row r="537">
      <c r="H537" s="31"/>
    </row>
    <row r="538">
      <c r="H538" s="31"/>
    </row>
    <row r="539">
      <c r="H539" s="31"/>
    </row>
    <row r="540">
      <c r="H540" s="31"/>
    </row>
    <row r="541">
      <c r="H541" s="31"/>
    </row>
    <row r="542">
      <c r="H542" s="31"/>
    </row>
    <row r="543">
      <c r="H543" s="31"/>
    </row>
    <row r="544">
      <c r="H544" s="31"/>
    </row>
    <row r="545">
      <c r="H545" s="31"/>
    </row>
    <row r="546">
      <c r="H546" s="31"/>
    </row>
    <row r="547">
      <c r="H547" s="31"/>
    </row>
    <row r="548">
      <c r="H548" s="31"/>
    </row>
    <row r="549">
      <c r="H549" s="31"/>
    </row>
    <row r="550">
      <c r="H550" s="31"/>
    </row>
    <row r="551">
      <c r="H551" s="31"/>
    </row>
    <row r="552">
      <c r="H552" s="31"/>
    </row>
    <row r="553">
      <c r="H553" s="31"/>
    </row>
    <row r="554">
      <c r="H554" s="31"/>
    </row>
    <row r="555">
      <c r="H555" s="31"/>
    </row>
    <row r="556">
      <c r="H556" s="31"/>
    </row>
    <row r="557">
      <c r="H557" s="31"/>
    </row>
    <row r="558">
      <c r="H558" s="31"/>
    </row>
    <row r="559">
      <c r="H559" s="31"/>
    </row>
    <row r="560">
      <c r="H560" s="31"/>
    </row>
    <row r="561">
      <c r="H561" s="31"/>
    </row>
    <row r="562">
      <c r="H562" s="31"/>
    </row>
    <row r="563">
      <c r="H563" s="31"/>
    </row>
    <row r="564">
      <c r="H564" s="31"/>
    </row>
    <row r="565">
      <c r="H565" s="31"/>
    </row>
    <row r="566">
      <c r="H566" s="31"/>
    </row>
    <row r="567">
      <c r="H567" s="31"/>
    </row>
    <row r="568">
      <c r="H568" s="31"/>
    </row>
    <row r="569">
      <c r="H569" s="31"/>
    </row>
    <row r="570">
      <c r="H570" s="31"/>
    </row>
    <row r="571">
      <c r="H571" s="31"/>
    </row>
    <row r="572">
      <c r="H572" s="31"/>
    </row>
    <row r="573">
      <c r="H573" s="31"/>
    </row>
    <row r="574">
      <c r="H574" s="31"/>
    </row>
    <row r="575">
      <c r="H575" s="31"/>
    </row>
    <row r="576">
      <c r="H576" s="31"/>
    </row>
    <row r="577">
      <c r="H577" s="31"/>
    </row>
    <row r="578">
      <c r="H578" s="31"/>
    </row>
    <row r="579">
      <c r="H579" s="31"/>
    </row>
    <row r="580">
      <c r="H580" s="31"/>
    </row>
    <row r="581">
      <c r="H581" s="31"/>
    </row>
    <row r="582">
      <c r="H582" s="31"/>
    </row>
    <row r="583">
      <c r="H583" s="31"/>
    </row>
    <row r="584">
      <c r="H584" s="31"/>
    </row>
    <row r="585">
      <c r="H585" s="31"/>
    </row>
    <row r="586">
      <c r="H586" s="31"/>
    </row>
    <row r="587">
      <c r="H587" s="31"/>
    </row>
    <row r="588">
      <c r="H588" s="31"/>
    </row>
    <row r="589">
      <c r="H589" s="31"/>
    </row>
    <row r="590">
      <c r="H590" s="31"/>
    </row>
    <row r="591">
      <c r="H591" s="31"/>
    </row>
    <row r="592">
      <c r="H592" s="31"/>
    </row>
    <row r="593">
      <c r="H593" s="31"/>
    </row>
    <row r="594">
      <c r="H594" s="31"/>
    </row>
    <row r="595">
      <c r="H595" s="31"/>
    </row>
    <row r="596">
      <c r="H596" s="31"/>
    </row>
    <row r="597">
      <c r="H597" s="31"/>
    </row>
    <row r="598">
      <c r="H598" s="31"/>
    </row>
    <row r="599">
      <c r="H599" s="31"/>
    </row>
    <row r="600">
      <c r="H600" s="31"/>
    </row>
    <row r="601">
      <c r="H601" s="31"/>
    </row>
    <row r="602">
      <c r="H602" s="31"/>
    </row>
    <row r="603">
      <c r="H603" s="31"/>
    </row>
    <row r="604">
      <c r="H604" s="31"/>
    </row>
    <row r="605">
      <c r="H605" s="31"/>
    </row>
    <row r="606">
      <c r="H606" s="31"/>
    </row>
    <row r="607">
      <c r="H607" s="31"/>
    </row>
    <row r="608">
      <c r="H608" s="31"/>
    </row>
    <row r="609">
      <c r="H609" s="31"/>
    </row>
    <row r="610">
      <c r="H610" s="31"/>
    </row>
    <row r="611">
      <c r="H611" s="31"/>
    </row>
    <row r="612">
      <c r="H612" s="31"/>
    </row>
    <row r="613">
      <c r="H613" s="31"/>
    </row>
    <row r="614">
      <c r="H614" s="31"/>
    </row>
    <row r="615">
      <c r="H615" s="31"/>
    </row>
    <row r="616">
      <c r="H616" s="31"/>
    </row>
    <row r="617">
      <c r="H617" s="31"/>
    </row>
    <row r="618">
      <c r="H618" s="31"/>
    </row>
    <row r="619">
      <c r="H619" s="31"/>
    </row>
    <row r="620">
      <c r="H620" s="31"/>
    </row>
    <row r="621">
      <c r="H621" s="31"/>
    </row>
    <row r="622">
      <c r="H622" s="31"/>
    </row>
    <row r="623">
      <c r="H623" s="31"/>
    </row>
    <row r="624">
      <c r="H624" s="31"/>
    </row>
    <row r="625">
      <c r="H625" s="31"/>
    </row>
    <row r="626">
      <c r="H626" s="31"/>
    </row>
    <row r="627">
      <c r="H627" s="31"/>
    </row>
    <row r="628">
      <c r="H628" s="31"/>
    </row>
    <row r="629">
      <c r="H629" s="31"/>
    </row>
    <row r="630">
      <c r="H630" s="31"/>
    </row>
    <row r="631">
      <c r="H631" s="31"/>
    </row>
    <row r="632">
      <c r="H632" s="31"/>
    </row>
    <row r="633">
      <c r="H633" s="31"/>
    </row>
    <row r="634">
      <c r="H634" s="31"/>
    </row>
    <row r="635">
      <c r="H635" s="31"/>
    </row>
    <row r="636">
      <c r="H636" s="31"/>
    </row>
    <row r="637">
      <c r="H637" s="31"/>
    </row>
    <row r="638">
      <c r="H638" s="31"/>
    </row>
    <row r="639">
      <c r="H639" s="31"/>
    </row>
    <row r="640">
      <c r="H640" s="31"/>
    </row>
    <row r="641">
      <c r="H641" s="31"/>
    </row>
    <row r="642">
      <c r="H642" s="31"/>
    </row>
    <row r="643">
      <c r="H643" s="31"/>
    </row>
    <row r="644">
      <c r="H644" s="31"/>
    </row>
    <row r="645">
      <c r="H645" s="31"/>
    </row>
    <row r="646">
      <c r="H646" s="31"/>
    </row>
    <row r="647">
      <c r="H647" s="31"/>
    </row>
    <row r="648">
      <c r="H648" s="31"/>
    </row>
    <row r="649">
      <c r="H649" s="31"/>
    </row>
    <row r="650">
      <c r="H650" s="31"/>
    </row>
    <row r="651">
      <c r="H651" s="31"/>
    </row>
    <row r="652">
      <c r="H652" s="31"/>
    </row>
    <row r="653">
      <c r="H653" s="31"/>
    </row>
    <row r="654">
      <c r="H654" s="31"/>
    </row>
    <row r="655">
      <c r="H655" s="31"/>
    </row>
    <row r="656">
      <c r="H656" s="31"/>
    </row>
    <row r="657">
      <c r="H657" s="31"/>
    </row>
    <row r="658">
      <c r="H658" s="31"/>
    </row>
    <row r="659">
      <c r="H659" s="31"/>
    </row>
    <row r="660">
      <c r="H660" s="31"/>
    </row>
    <row r="661">
      <c r="H661" s="31"/>
    </row>
    <row r="662">
      <c r="H662" s="31"/>
    </row>
    <row r="663">
      <c r="H663" s="31"/>
    </row>
    <row r="664">
      <c r="H664" s="31"/>
    </row>
    <row r="665">
      <c r="H665" s="31"/>
    </row>
    <row r="666">
      <c r="H666" s="31"/>
    </row>
    <row r="667">
      <c r="H667" s="31"/>
    </row>
    <row r="668">
      <c r="H668" s="31"/>
    </row>
    <row r="669">
      <c r="H669" s="31"/>
    </row>
    <row r="670">
      <c r="H670" s="31"/>
    </row>
    <row r="671">
      <c r="H671" s="31"/>
    </row>
    <row r="672">
      <c r="H672" s="31"/>
    </row>
    <row r="673">
      <c r="H673" s="31"/>
    </row>
    <row r="674">
      <c r="H674" s="31"/>
    </row>
    <row r="675">
      <c r="H675" s="31"/>
    </row>
    <row r="676">
      <c r="H676" s="31"/>
    </row>
    <row r="677">
      <c r="H677" s="31"/>
    </row>
    <row r="678">
      <c r="H678" s="31"/>
    </row>
    <row r="679">
      <c r="H679" s="31"/>
    </row>
    <row r="680">
      <c r="H680" s="31"/>
    </row>
    <row r="681">
      <c r="H681" s="31"/>
    </row>
    <row r="682">
      <c r="H682" s="31"/>
    </row>
    <row r="683">
      <c r="H683" s="31"/>
    </row>
    <row r="684">
      <c r="H684" s="31"/>
    </row>
    <row r="685">
      <c r="H685" s="31"/>
    </row>
    <row r="686">
      <c r="H686" s="31"/>
    </row>
    <row r="687">
      <c r="H687" s="31"/>
    </row>
    <row r="688">
      <c r="H688" s="31"/>
    </row>
    <row r="689">
      <c r="H689" s="31"/>
    </row>
    <row r="690">
      <c r="H690" s="31"/>
    </row>
    <row r="691">
      <c r="H691" s="31"/>
    </row>
    <row r="692">
      <c r="H692" s="31"/>
    </row>
    <row r="693">
      <c r="H693" s="31"/>
    </row>
    <row r="694">
      <c r="H694" s="31"/>
    </row>
    <row r="695">
      <c r="H695" s="31"/>
    </row>
    <row r="696">
      <c r="H696" s="31"/>
    </row>
    <row r="697">
      <c r="H697" s="31"/>
    </row>
    <row r="698">
      <c r="H698" s="31"/>
    </row>
    <row r="699">
      <c r="H699" s="31"/>
    </row>
    <row r="700">
      <c r="H700" s="31"/>
    </row>
    <row r="701">
      <c r="H701" s="31"/>
    </row>
    <row r="702">
      <c r="H702" s="31"/>
    </row>
    <row r="703">
      <c r="H703" s="31"/>
    </row>
    <row r="704">
      <c r="H704" s="31"/>
    </row>
    <row r="705">
      <c r="H705" s="31"/>
    </row>
    <row r="706">
      <c r="H706" s="31"/>
    </row>
    <row r="707">
      <c r="H707" s="31"/>
    </row>
    <row r="708">
      <c r="H708" s="31"/>
    </row>
    <row r="709">
      <c r="H709" s="31"/>
    </row>
    <row r="710">
      <c r="H710" s="31"/>
    </row>
    <row r="711">
      <c r="H711" s="31"/>
    </row>
    <row r="712">
      <c r="H712" s="31"/>
    </row>
    <row r="713">
      <c r="H713" s="31"/>
    </row>
    <row r="714">
      <c r="H714" s="31"/>
    </row>
    <row r="715">
      <c r="H715" s="31"/>
    </row>
    <row r="716">
      <c r="H716" s="31"/>
    </row>
    <row r="717">
      <c r="H717" s="31"/>
    </row>
    <row r="718">
      <c r="H718" s="31"/>
    </row>
    <row r="719">
      <c r="H719" s="31"/>
    </row>
    <row r="720">
      <c r="H720" s="31"/>
    </row>
    <row r="721">
      <c r="H721" s="31"/>
    </row>
    <row r="722">
      <c r="H722" s="31"/>
    </row>
    <row r="723">
      <c r="H723" s="31"/>
    </row>
    <row r="724">
      <c r="H724" s="31"/>
    </row>
    <row r="725">
      <c r="H725" s="31"/>
    </row>
    <row r="726">
      <c r="H726" s="31"/>
    </row>
    <row r="727">
      <c r="H727" s="31"/>
    </row>
    <row r="728">
      <c r="H728" s="31"/>
    </row>
    <row r="729">
      <c r="H729" s="31"/>
    </row>
    <row r="730">
      <c r="H730" s="31"/>
    </row>
    <row r="731">
      <c r="H731" s="31"/>
    </row>
    <row r="732">
      <c r="H732" s="31"/>
    </row>
    <row r="733">
      <c r="H733" s="31"/>
    </row>
    <row r="734">
      <c r="H734" s="31"/>
    </row>
    <row r="735">
      <c r="H735" s="31"/>
    </row>
    <row r="736">
      <c r="H736" s="31"/>
    </row>
    <row r="737">
      <c r="H737" s="31"/>
    </row>
    <row r="738">
      <c r="H738" s="31"/>
    </row>
    <row r="739">
      <c r="H739" s="31"/>
    </row>
    <row r="740">
      <c r="H740" s="31"/>
    </row>
    <row r="741">
      <c r="H741" s="31"/>
    </row>
    <row r="742">
      <c r="H742" s="31"/>
    </row>
    <row r="743">
      <c r="H743" s="31"/>
    </row>
    <row r="744">
      <c r="H744" s="31"/>
    </row>
    <row r="745">
      <c r="H745" s="31"/>
    </row>
    <row r="746">
      <c r="H746" s="31"/>
    </row>
    <row r="747">
      <c r="H747" s="31"/>
    </row>
    <row r="748">
      <c r="H748" s="31"/>
    </row>
    <row r="749">
      <c r="H749" s="31"/>
    </row>
    <row r="750">
      <c r="H750" s="31"/>
    </row>
    <row r="751">
      <c r="H751" s="31"/>
    </row>
    <row r="752">
      <c r="H752" s="31"/>
    </row>
    <row r="753">
      <c r="H753" s="31"/>
    </row>
    <row r="754">
      <c r="H754" s="31"/>
    </row>
    <row r="755">
      <c r="H755" s="31"/>
    </row>
    <row r="756">
      <c r="H756" s="31"/>
    </row>
    <row r="757">
      <c r="H757" s="31"/>
    </row>
    <row r="758">
      <c r="H758" s="31"/>
    </row>
    <row r="759">
      <c r="H759" s="31"/>
    </row>
    <row r="760">
      <c r="H760" s="31"/>
    </row>
    <row r="761">
      <c r="H761" s="31"/>
    </row>
    <row r="762">
      <c r="H762" s="31"/>
    </row>
    <row r="763">
      <c r="H763" s="31"/>
    </row>
    <row r="764">
      <c r="H764" s="31"/>
    </row>
    <row r="765">
      <c r="H765" s="31"/>
    </row>
    <row r="766">
      <c r="H766" s="31"/>
    </row>
    <row r="767">
      <c r="H767" s="31"/>
    </row>
    <row r="768">
      <c r="H768" s="31"/>
    </row>
    <row r="769">
      <c r="H769" s="31"/>
    </row>
    <row r="770">
      <c r="H770" s="31"/>
    </row>
    <row r="771">
      <c r="H771" s="31"/>
    </row>
    <row r="772">
      <c r="H772" s="31"/>
    </row>
    <row r="773">
      <c r="H773" s="31"/>
    </row>
    <row r="774">
      <c r="H774" s="31"/>
    </row>
    <row r="775">
      <c r="H775" s="31"/>
    </row>
    <row r="776">
      <c r="H776" s="31"/>
    </row>
    <row r="777">
      <c r="H777" s="31"/>
    </row>
    <row r="778">
      <c r="H778" s="31"/>
    </row>
    <row r="779">
      <c r="H779" s="31"/>
    </row>
    <row r="780">
      <c r="H780" s="31"/>
    </row>
    <row r="781">
      <c r="H781" s="31"/>
    </row>
    <row r="782">
      <c r="H782" s="31"/>
    </row>
    <row r="783">
      <c r="H783" s="31"/>
    </row>
    <row r="784">
      <c r="H784" s="31"/>
    </row>
    <row r="785">
      <c r="H785" s="31"/>
    </row>
    <row r="786">
      <c r="H786" s="31"/>
    </row>
    <row r="787">
      <c r="H787" s="31"/>
    </row>
    <row r="788">
      <c r="H788" s="31"/>
    </row>
    <row r="789">
      <c r="H789" s="31"/>
    </row>
    <row r="790">
      <c r="H790" s="31"/>
    </row>
    <row r="791">
      <c r="H791" s="31"/>
    </row>
    <row r="792">
      <c r="H792" s="31"/>
    </row>
    <row r="793">
      <c r="H793" s="31"/>
    </row>
    <row r="794">
      <c r="H794" s="31"/>
    </row>
    <row r="795">
      <c r="H795" s="31"/>
    </row>
    <row r="796">
      <c r="H796" s="31"/>
    </row>
    <row r="797">
      <c r="H797" s="31"/>
    </row>
    <row r="798">
      <c r="H798" s="31"/>
    </row>
    <row r="799">
      <c r="H799" s="31"/>
    </row>
    <row r="800">
      <c r="H800" s="31"/>
    </row>
    <row r="801">
      <c r="H801" s="31"/>
    </row>
    <row r="802">
      <c r="H802" s="31"/>
    </row>
    <row r="803">
      <c r="H803" s="31"/>
    </row>
    <row r="804">
      <c r="H804" s="31"/>
    </row>
    <row r="805">
      <c r="H805" s="31"/>
    </row>
    <row r="806">
      <c r="H806" s="31"/>
    </row>
    <row r="807">
      <c r="H807" s="31"/>
    </row>
    <row r="808">
      <c r="H808" s="31"/>
    </row>
    <row r="809">
      <c r="H809" s="31"/>
    </row>
    <row r="810">
      <c r="H810" s="31"/>
    </row>
    <row r="811">
      <c r="H811" s="31"/>
    </row>
    <row r="812">
      <c r="H812" s="31"/>
    </row>
    <row r="813">
      <c r="H813" s="31"/>
    </row>
    <row r="814">
      <c r="H814" s="31"/>
    </row>
    <row r="815">
      <c r="H815" s="31"/>
    </row>
    <row r="816">
      <c r="H816" s="31"/>
    </row>
    <row r="817">
      <c r="H817" s="31"/>
    </row>
    <row r="818">
      <c r="H818" s="31"/>
    </row>
    <row r="819">
      <c r="H819" s="31"/>
    </row>
    <row r="820">
      <c r="H820" s="31"/>
    </row>
    <row r="821">
      <c r="H821" s="31"/>
    </row>
    <row r="822">
      <c r="H822" s="31"/>
    </row>
    <row r="823">
      <c r="H823" s="31"/>
    </row>
    <row r="824">
      <c r="H824" s="31"/>
    </row>
    <row r="825">
      <c r="H825" s="31"/>
    </row>
    <row r="826">
      <c r="H826" s="31"/>
    </row>
    <row r="827">
      <c r="H827" s="31"/>
    </row>
    <row r="828">
      <c r="H828" s="31"/>
    </row>
    <row r="829">
      <c r="H829" s="31"/>
    </row>
    <row r="830">
      <c r="H830" s="31"/>
    </row>
    <row r="831">
      <c r="H831" s="31"/>
    </row>
    <row r="832">
      <c r="H832" s="31"/>
    </row>
    <row r="833">
      <c r="H833" s="31"/>
    </row>
    <row r="834">
      <c r="H834" s="31"/>
    </row>
    <row r="835">
      <c r="H835" s="31"/>
    </row>
    <row r="836">
      <c r="H836" s="31"/>
    </row>
    <row r="837">
      <c r="H837" s="31"/>
    </row>
    <row r="838">
      <c r="H838" s="31"/>
    </row>
    <row r="839">
      <c r="H839" s="31"/>
    </row>
    <row r="840">
      <c r="H840" s="31"/>
    </row>
    <row r="841">
      <c r="H841" s="31"/>
    </row>
    <row r="842">
      <c r="H842" s="31"/>
    </row>
    <row r="843">
      <c r="H843" s="31"/>
    </row>
    <row r="844">
      <c r="H844" s="31"/>
    </row>
    <row r="845">
      <c r="H845" s="31"/>
    </row>
    <row r="846">
      <c r="H846" s="31"/>
    </row>
    <row r="847">
      <c r="H847" s="31"/>
    </row>
    <row r="848">
      <c r="H848" s="31"/>
    </row>
    <row r="849">
      <c r="H849" s="31"/>
    </row>
    <row r="850">
      <c r="H850" s="31"/>
    </row>
    <row r="851">
      <c r="H851" s="31"/>
    </row>
    <row r="852">
      <c r="H852" s="31"/>
    </row>
    <row r="853">
      <c r="H853" s="31"/>
    </row>
    <row r="854">
      <c r="H854" s="31"/>
    </row>
    <row r="855">
      <c r="H855" s="31"/>
    </row>
    <row r="856">
      <c r="H856" s="31"/>
    </row>
    <row r="857">
      <c r="H857" s="31"/>
    </row>
    <row r="858">
      <c r="H858" s="31"/>
    </row>
    <row r="859">
      <c r="H859" s="31"/>
    </row>
    <row r="860">
      <c r="H860" s="31"/>
    </row>
    <row r="861">
      <c r="H861" s="31"/>
    </row>
    <row r="862">
      <c r="H862" s="31"/>
    </row>
    <row r="863">
      <c r="H863" s="31"/>
    </row>
    <row r="864">
      <c r="H864" s="31"/>
    </row>
    <row r="865">
      <c r="H865" s="31"/>
    </row>
    <row r="866">
      <c r="H866" s="31"/>
    </row>
    <row r="867">
      <c r="H867" s="31"/>
    </row>
    <row r="868">
      <c r="H868" s="31"/>
    </row>
    <row r="869">
      <c r="H869" s="31"/>
    </row>
    <row r="870">
      <c r="H870" s="31"/>
    </row>
    <row r="871">
      <c r="H871" s="31"/>
    </row>
    <row r="872">
      <c r="H872" s="31"/>
    </row>
    <row r="873">
      <c r="H873" s="31"/>
    </row>
    <row r="874">
      <c r="H874" s="31"/>
    </row>
    <row r="875">
      <c r="H875" s="31"/>
    </row>
    <row r="876">
      <c r="H876" s="31"/>
    </row>
    <row r="877">
      <c r="H877" s="31"/>
    </row>
    <row r="878">
      <c r="H878" s="31"/>
    </row>
    <row r="879">
      <c r="H879" s="31"/>
    </row>
    <row r="880">
      <c r="H880" s="31"/>
    </row>
    <row r="881">
      <c r="H881" s="31"/>
    </row>
    <row r="882">
      <c r="H882" s="31"/>
    </row>
    <row r="883">
      <c r="H883" s="31"/>
    </row>
    <row r="884">
      <c r="H884" s="31"/>
    </row>
    <row r="885">
      <c r="H885" s="31"/>
    </row>
    <row r="886">
      <c r="H886" s="31"/>
    </row>
    <row r="887">
      <c r="H887" s="31"/>
    </row>
    <row r="888">
      <c r="H888" s="31"/>
    </row>
    <row r="889">
      <c r="H889" s="31"/>
    </row>
    <row r="890">
      <c r="H890" s="31"/>
    </row>
    <row r="891">
      <c r="H891" s="31"/>
    </row>
    <row r="892">
      <c r="H892" s="31"/>
    </row>
    <row r="893">
      <c r="H893" s="31"/>
    </row>
    <row r="894">
      <c r="H894" s="31"/>
    </row>
    <row r="895">
      <c r="H895" s="31"/>
    </row>
    <row r="896">
      <c r="H896" s="31"/>
    </row>
    <row r="897">
      <c r="H897" s="31"/>
    </row>
    <row r="898">
      <c r="H898" s="31"/>
    </row>
    <row r="899">
      <c r="H899" s="31"/>
    </row>
    <row r="900">
      <c r="H900" s="31"/>
    </row>
    <row r="901">
      <c r="H901" s="31"/>
    </row>
    <row r="902">
      <c r="H902" s="31"/>
    </row>
    <row r="903">
      <c r="H903" s="31"/>
    </row>
    <row r="904">
      <c r="H904" s="31"/>
    </row>
    <row r="905">
      <c r="H905" s="31"/>
    </row>
    <row r="906">
      <c r="H906" s="31"/>
    </row>
    <row r="907">
      <c r="H907" s="31"/>
    </row>
    <row r="908">
      <c r="H908" s="31"/>
    </row>
    <row r="909">
      <c r="H909" s="31"/>
    </row>
    <row r="910">
      <c r="H910" s="31"/>
    </row>
    <row r="911">
      <c r="H911" s="31"/>
    </row>
    <row r="912">
      <c r="H912" s="31"/>
    </row>
    <row r="913">
      <c r="H913" s="31"/>
    </row>
    <row r="914">
      <c r="H914" s="31"/>
    </row>
    <row r="915">
      <c r="H915" s="31"/>
    </row>
    <row r="916">
      <c r="H916" s="31"/>
    </row>
    <row r="917">
      <c r="H917" s="31"/>
    </row>
    <row r="918">
      <c r="H918" s="31"/>
    </row>
    <row r="919">
      <c r="H919" s="31"/>
    </row>
    <row r="920">
      <c r="H920" s="31"/>
    </row>
    <row r="921">
      <c r="H921" s="31"/>
    </row>
    <row r="922">
      <c r="H922" s="31"/>
    </row>
    <row r="923">
      <c r="H923" s="31"/>
    </row>
    <row r="924">
      <c r="H924" s="31"/>
    </row>
    <row r="925">
      <c r="H925" s="31"/>
    </row>
    <row r="926">
      <c r="H926" s="31"/>
    </row>
    <row r="927">
      <c r="H927" s="31"/>
    </row>
    <row r="928">
      <c r="H928" s="31"/>
    </row>
    <row r="929">
      <c r="H929" s="31"/>
    </row>
    <row r="930">
      <c r="H930" s="31"/>
    </row>
    <row r="931">
      <c r="H931" s="31"/>
    </row>
    <row r="932">
      <c r="H932" s="31"/>
    </row>
    <row r="933">
      <c r="H933" s="31"/>
    </row>
    <row r="934">
      <c r="H934" s="31"/>
    </row>
    <row r="935">
      <c r="H935" s="31"/>
    </row>
    <row r="936">
      <c r="H936" s="31"/>
    </row>
    <row r="937">
      <c r="H937" s="31"/>
    </row>
    <row r="938">
      <c r="H938" s="31"/>
    </row>
    <row r="939">
      <c r="H939" s="31"/>
    </row>
    <row r="940">
      <c r="H940" s="31"/>
    </row>
    <row r="941">
      <c r="H941" s="31"/>
    </row>
    <row r="942">
      <c r="H942" s="31"/>
    </row>
    <row r="943">
      <c r="H943" s="31"/>
    </row>
    <row r="944">
      <c r="H944" s="31"/>
    </row>
    <row r="945">
      <c r="H945" s="31"/>
    </row>
    <row r="946">
      <c r="H946" s="31"/>
    </row>
    <row r="947">
      <c r="H947" s="31"/>
    </row>
    <row r="948">
      <c r="H948" s="31"/>
    </row>
    <row r="949">
      <c r="H949" s="31"/>
    </row>
    <row r="950">
      <c r="H950" s="31"/>
    </row>
    <row r="951">
      <c r="H951" s="31"/>
    </row>
    <row r="952">
      <c r="H952" s="31"/>
    </row>
    <row r="953">
      <c r="H953" s="31"/>
    </row>
    <row r="954">
      <c r="H954" s="31"/>
    </row>
    <row r="955">
      <c r="H955" s="31"/>
    </row>
    <row r="956">
      <c r="H956" s="31"/>
    </row>
    <row r="957">
      <c r="H957" s="31"/>
    </row>
    <row r="958">
      <c r="H958" s="31"/>
    </row>
    <row r="959">
      <c r="H959" s="31"/>
    </row>
    <row r="960">
      <c r="H960" s="31"/>
    </row>
    <row r="961">
      <c r="H961" s="31"/>
    </row>
    <row r="962">
      <c r="H962" s="31"/>
    </row>
    <row r="963">
      <c r="H963" s="31"/>
    </row>
    <row r="964">
      <c r="H964" s="31"/>
    </row>
    <row r="965">
      <c r="H965" s="31"/>
    </row>
    <row r="966">
      <c r="H966" s="31"/>
    </row>
    <row r="967">
      <c r="H967" s="31"/>
    </row>
    <row r="968">
      <c r="H968" s="31"/>
    </row>
    <row r="969">
      <c r="H969" s="31"/>
    </row>
    <row r="970">
      <c r="H970" s="31"/>
    </row>
    <row r="971">
      <c r="H971" s="31"/>
    </row>
    <row r="972">
      <c r="H972" s="31"/>
    </row>
    <row r="973">
      <c r="H973" s="31"/>
    </row>
    <row r="974">
      <c r="H974" s="31"/>
    </row>
    <row r="975">
      <c r="H975" s="31"/>
    </row>
    <row r="976">
      <c r="H976" s="31"/>
    </row>
    <row r="977">
      <c r="H977" s="31"/>
    </row>
    <row r="978">
      <c r="H978" s="31"/>
    </row>
    <row r="979">
      <c r="H979" s="31"/>
    </row>
    <row r="980">
      <c r="H980" s="31"/>
    </row>
    <row r="981">
      <c r="H981" s="31"/>
    </row>
    <row r="982">
      <c r="H982" s="31"/>
    </row>
    <row r="983">
      <c r="H983" s="31"/>
    </row>
    <row r="984">
      <c r="H984" s="31"/>
    </row>
    <row r="985">
      <c r="H985" s="31"/>
    </row>
    <row r="986">
      <c r="H986" s="31"/>
    </row>
    <row r="987">
      <c r="H987" s="31"/>
    </row>
    <row r="988">
      <c r="H988" s="31"/>
    </row>
    <row r="989">
      <c r="H989" s="31"/>
    </row>
    <row r="990">
      <c r="H990" s="31"/>
    </row>
    <row r="991">
      <c r="H991" s="31"/>
    </row>
    <row r="992">
      <c r="H992" s="31"/>
    </row>
    <row r="993">
      <c r="H993" s="31"/>
    </row>
    <row r="994">
      <c r="H994" s="31"/>
    </row>
    <row r="995">
      <c r="H995" s="31"/>
    </row>
    <row r="996">
      <c r="H996" s="31"/>
    </row>
    <row r="997">
      <c r="H997" s="31"/>
    </row>
    <row r="998">
      <c r="H998" s="31"/>
    </row>
    <row r="999">
      <c r="H999" s="31"/>
    </row>
    <row r="1000">
      <c r="H1000" s="31"/>
    </row>
  </sheetData>
  <mergeCells count="5">
    <mergeCell ref="A1:A2"/>
    <mergeCell ref="B1:B2"/>
    <mergeCell ref="C1:C2"/>
    <mergeCell ref="D1:D2"/>
    <mergeCell ref="E1:E2"/>
  </mergeCells>
  <conditionalFormatting sqref="F3:AU39 AV3:AY31">
    <cfRule type="cellIs" dxfId="3" priority="1" operator="equal">
      <formula>1</formula>
    </cfRule>
  </conditionalFormatting>
  <conditionalFormatting sqref="F3:AU39 AV8:AW8 AV38:AY38">
    <cfRule type="cellIs" dxfId="4" priority="2" operator="equal">
      <formula>"R"</formula>
    </cfRule>
  </conditionalFormatting>
  <conditionalFormatting sqref="B3:B31 C3:C39 B38">
    <cfRule type="cellIs" dxfId="5" priority="3" operator="greaterThanOrEqual">
      <formula>3</formula>
    </cfRule>
  </conditionalFormatting>
  <conditionalFormatting sqref="B3:B31 B38">
    <cfRule type="cellIs" dxfId="6" priority="4" operator="lessThan">
      <formula>1</formula>
    </cfRule>
  </conditionalFormatting>
  <conditionalFormatting sqref="B3:B32 C3:C42 B38">
    <cfRule type="cellIs" dxfId="7" priority="5" operator="equal">
      <formula>0</formula>
    </cfRule>
  </conditionalFormatting>
  <conditionalFormatting sqref="B3:B31 C3:C39 B38">
    <cfRule type="cellIs" dxfId="8" priority="6" operator="lessThan">
      <formula>2</formula>
    </cfRule>
  </conditionalFormatting>
  <conditionalFormatting sqref="B3:B31 C3:C39 B38">
    <cfRule type="cellIs" dxfId="9" priority="7" operator="lessThan">
      <formula>3</formula>
    </cfRule>
  </conditionalFormatting>
  <conditionalFormatting sqref="B3:B32 C3:C42 B38">
    <cfRule type="containsBlanks" dxfId="6" priority="8">
      <formula>LEN(TRIM(B3))=0</formula>
    </cfRule>
  </conditionalFormatting>
  <conditionalFormatting sqref="F3:AU39 AV8:AW8 AV38:AY38">
    <cfRule type="cellIs" dxfId="10" priority="9" operator="equal">
      <formula>"R2"</formula>
    </cfRule>
  </conditionalFormatting>
  <conditionalFormatting sqref="AP32:AY32 F40:AY40">
    <cfRule type="cellIs" dxfId="7" priority="10" operator="lessThan">
      <formula>1</formula>
    </cfRule>
  </conditionalFormatting>
  <conditionalFormatting sqref="AP32:AY32 F40:AY40">
    <cfRule type="cellIs" dxfId="3" priority="11" operator="equal">
      <formula>1</formula>
    </cfRule>
  </conditionalFormatting>
  <conditionalFormatting sqref="AP32:AY32 F40:AY40">
    <cfRule type="cellIs" dxfId="11" priority="12" operator="greaterThan">
      <formula>1</formula>
    </cfRule>
  </conditionalFormatting>
  <conditionalFormatting sqref="D3:E42">
    <cfRule type="cellIs" dxfId="9" priority="13" operator="equal">
      <formula>1</formula>
    </cfRule>
  </conditionalFormatting>
  <conditionalFormatting sqref="Z31:Z37 F33:Y37 AA33:AY37 F39:AY42">
    <cfRule type="cellIs" dxfId="7" priority="14" operator="lessThan">
      <formula>1</formula>
    </cfRule>
  </conditionalFormatting>
  <conditionalFormatting sqref="Z31:Z37 F33:Y37 AA33:AY37 F39:AY42">
    <cfRule type="cellIs" dxfId="12" priority="15" operator="equal">
      <formula>1</formula>
    </cfRule>
  </conditionalFormatting>
  <conditionalFormatting sqref="Z31:Z37 F33:Y37 AA33:AY37 F39:AY42">
    <cfRule type="cellIs" dxfId="11" priority="16" operator="greaterThan">
      <formula>1</formula>
    </cfRule>
  </conditionalFormatting>
  <conditionalFormatting sqref="D3:D42 E3:E39">
    <cfRule type="cellIs" dxfId="7" priority="17" operator="equal">
      <formula>0</formula>
    </cfRule>
  </conditionalFormatting>
  <conditionalFormatting sqref="D3:D42 E3:E39">
    <cfRule type="cellIs" dxfId="4" priority="18" operator="equal">
      <formula>2</formula>
    </cfRule>
  </conditionalFormatting>
  <conditionalFormatting sqref="E3:E42">
    <cfRule type="cellIs" dxfId="7" priority="19" operator="equal">
      <formula>0</formula>
    </cfRule>
  </conditionalFormatting>
  <conditionalFormatting sqref="E3:E42">
    <cfRule type="cellIs" dxfId="4" priority="20" operator="greaterThanOrEqual">
      <formula>2</formula>
    </cfRule>
  </conditionalFormatting>
  <conditionalFormatting sqref="C45">
    <cfRule type="notContainsBlanks" dxfId="3" priority="21">
      <formula>LEN(TRIM(C45))&gt;0</formula>
    </cfRule>
  </conditionalFormatting>
  <conditionalFormatting sqref="AS2:AY2">
    <cfRule type="containsText" dxfId="13" priority="22" operator="containsText" text="(PAM)">
      <formula>NOT(ISERROR(SEARCH(("(PAM)"),(AS2))))</formula>
    </cfRule>
  </conditionalFormatting>
  <conditionalFormatting sqref="AS2:AY2">
    <cfRule type="containsText" dxfId="13" priority="23" operator="containsText" text="(PPM)">
      <formula>NOT(ISERROR(SEARCH(("(PPM)"),(AS2))))</formula>
    </cfRule>
  </conditionalFormatting>
  <conditionalFormatting sqref="F2:AY2">
    <cfRule type="containsText" dxfId="13" priority="24" operator="containsText" text="PAM">
      <formula>NOT(ISERROR(SEARCH(("PAM"),(F2))))</formula>
    </cfRule>
  </conditionalFormatting>
  <conditionalFormatting sqref="F2:AY2">
    <cfRule type="containsText" dxfId="13" priority="25" operator="containsText" text="PPM">
      <formula>NOT(ISERROR(SEARCH(("PPM"),(F2))))</formula>
    </cfRule>
  </conditionalFormatting>
  <conditionalFormatting sqref="F2:AY2">
    <cfRule type="containsText" dxfId="11" priority="26" operator="containsText" text="(AM)">
      <formula>NOT(ISERROR(SEARCH(("(AM)"),(F2))))</formula>
    </cfRule>
  </conditionalFormatting>
  <conditionalFormatting sqref="F2:AY2">
    <cfRule type="containsText" dxfId="7" priority="27" operator="containsText" text="(PM)">
      <formula>NOT(ISERROR(SEARCH(("(PM)"),(F2))))</formula>
    </cfRule>
  </conditionalFormatting>
  <conditionalFormatting sqref="F2:AY2">
    <cfRule type="notContainsText" dxfId="15" priority="28" operator="notContains" text="(AM)">
      <formula>ISERROR(SEARCH(("(AM)"),(F2)))</formula>
    </cfRule>
  </conditionalFormatting>
  <conditionalFormatting sqref="F2:AY2">
    <cfRule type="notContainsText" dxfId="15" priority="29" operator="notContains" text="(PM)">
      <formula>ISERROR(SEARCH(("(PM)"),(F2)))</formula>
    </cfRule>
  </conditionalFormatting>
  <conditionalFormatting sqref="F2:AY2">
    <cfRule type="notContainsText" dxfId="15" priority="30" operator="notContains" text="(PM)">
      <formula>ISERROR(SEARCH(("(PM)"),(F2)))</formula>
    </cfRule>
  </conditionalFormatting>
  <dataValidations>
    <dataValidation type="list" allowBlank="1" showErrorMessage="1" sqref="A3:A40">
      <formula1>'Personnel List'!$D$2:$D$38</formula1>
    </dataValidation>
  </dataValidations>
  <drawing r:id="rId2"/>
  <legacyDrawing r:id="rId3"/>
  <tableParts count="2">
    <tablePart r:id="rId6"/>
    <tablePart r:id="rId7"/>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14.63"/>
    <col customWidth="1" hidden="1" min="2" max="2" width="11.38"/>
    <col customWidth="1" min="4" max="4" width="14.13"/>
    <col customWidth="1" min="6" max="9" width="8.63"/>
    <col customWidth="1" min="10" max="10" width="8.38"/>
    <col customWidth="1" min="11" max="11" width="8.25"/>
    <col customWidth="1" min="12" max="45" width="8.63"/>
    <col customWidth="1" hidden="1" min="46" max="52" width="9.5"/>
  </cols>
  <sheetData>
    <row r="1">
      <c r="A1" s="1" t="s">
        <v>0</v>
      </c>
      <c r="B1" s="1" t="s">
        <v>1</v>
      </c>
      <c r="C1" s="1" t="s">
        <v>2</v>
      </c>
      <c r="D1" s="1" t="s">
        <v>3</v>
      </c>
      <c r="E1" s="1" t="s">
        <v>4</v>
      </c>
      <c r="F1" s="2" t="s">
        <v>10</v>
      </c>
      <c r="G1" s="2" t="s">
        <v>11</v>
      </c>
      <c r="H1" s="2" t="s">
        <v>12</v>
      </c>
      <c r="I1" s="2" t="s">
        <v>13</v>
      </c>
      <c r="J1" s="2" t="s">
        <v>317</v>
      </c>
      <c r="K1" s="2" t="s">
        <v>317</v>
      </c>
      <c r="L1" s="2" t="s">
        <v>318</v>
      </c>
      <c r="M1" s="2" t="s">
        <v>318</v>
      </c>
      <c r="N1" s="2" t="s">
        <v>9</v>
      </c>
      <c r="O1" s="2" t="s">
        <v>10</v>
      </c>
      <c r="P1" s="2" t="s">
        <v>11</v>
      </c>
      <c r="Q1" s="2" t="s">
        <v>12</v>
      </c>
      <c r="R1" s="2" t="s">
        <v>13</v>
      </c>
      <c r="S1" s="2" t="s">
        <v>317</v>
      </c>
      <c r="T1" s="2" t="s">
        <v>317</v>
      </c>
      <c r="U1" s="2" t="s">
        <v>318</v>
      </c>
      <c r="V1" s="2" t="s">
        <v>318</v>
      </c>
      <c r="W1" s="2" t="s">
        <v>9</v>
      </c>
      <c r="X1" s="2" t="s">
        <v>10</v>
      </c>
      <c r="Y1" s="2" t="s">
        <v>11</v>
      </c>
      <c r="Z1" s="2" t="s">
        <v>12</v>
      </c>
      <c r="AA1" s="2" t="s">
        <v>13</v>
      </c>
      <c r="AB1" s="2" t="s">
        <v>317</v>
      </c>
      <c r="AC1" s="2" t="s">
        <v>317</v>
      </c>
      <c r="AD1" s="2" t="s">
        <v>318</v>
      </c>
      <c r="AE1" s="2" t="s">
        <v>318</v>
      </c>
      <c r="AF1" s="2" t="s">
        <v>9</v>
      </c>
      <c r="AG1" s="2" t="s">
        <v>10</v>
      </c>
      <c r="AH1" s="2" t="s">
        <v>11</v>
      </c>
      <c r="AI1" s="2" t="s">
        <v>12</v>
      </c>
      <c r="AJ1" s="2" t="s">
        <v>394</v>
      </c>
      <c r="AK1" s="2" t="s">
        <v>13</v>
      </c>
      <c r="AL1" s="2" t="s">
        <v>317</v>
      </c>
      <c r="AM1" s="2" t="s">
        <v>317</v>
      </c>
      <c r="AN1" s="2" t="s">
        <v>318</v>
      </c>
      <c r="AO1" s="2" t="s">
        <v>318</v>
      </c>
      <c r="AP1" s="2" t="s">
        <v>9</v>
      </c>
      <c r="AQ1" s="2" t="s">
        <v>10</v>
      </c>
      <c r="AR1" s="2" t="s">
        <v>11</v>
      </c>
      <c r="AS1" s="2" t="s">
        <v>12</v>
      </c>
      <c r="AT1" s="2"/>
      <c r="AU1" s="55"/>
      <c r="AV1" s="2" t="s">
        <v>317</v>
      </c>
      <c r="AW1" s="55" t="s">
        <v>7</v>
      </c>
      <c r="AX1" s="55" t="s">
        <v>8</v>
      </c>
      <c r="AY1" s="55" t="s">
        <v>7</v>
      </c>
      <c r="AZ1" s="55" t="s">
        <v>8</v>
      </c>
    </row>
    <row r="2">
      <c r="F2" s="87">
        <v>45839.0</v>
      </c>
      <c r="G2" s="87">
        <v>45840.0</v>
      </c>
      <c r="H2" s="87">
        <v>45841.0</v>
      </c>
      <c r="I2" s="87">
        <v>45842.0</v>
      </c>
      <c r="J2" s="88" t="s">
        <v>395</v>
      </c>
      <c r="K2" s="88" t="s">
        <v>396</v>
      </c>
      <c r="L2" s="88" t="s">
        <v>397</v>
      </c>
      <c r="M2" s="88" t="s">
        <v>398</v>
      </c>
      <c r="N2" s="87">
        <v>45845.0</v>
      </c>
      <c r="O2" s="87">
        <v>45846.0</v>
      </c>
      <c r="P2" s="87">
        <v>45847.0</v>
      </c>
      <c r="Q2" s="87">
        <v>45848.0</v>
      </c>
      <c r="R2" s="87">
        <v>45849.0</v>
      </c>
      <c r="S2" s="88" t="s">
        <v>399</v>
      </c>
      <c r="T2" s="88" t="s">
        <v>400</v>
      </c>
      <c r="U2" s="88" t="s">
        <v>401</v>
      </c>
      <c r="V2" s="88" t="s">
        <v>402</v>
      </c>
      <c r="W2" s="87">
        <v>45852.0</v>
      </c>
      <c r="X2" s="87">
        <v>45853.0</v>
      </c>
      <c r="Y2" s="87">
        <v>45854.0</v>
      </c>
      <c r="Z2" s="87">
        <v>45855.0</v>
      </c>
      <c r="AA2" s="87">
        <v>45856.0</v>
      </c>
      <c r="AB2" s="88" t="s">
        <v>403</v>
      </c>
      <c r="AC2" s="88" t="s">
        <v>404</v>
      </c>
      <c r="AD2" s="88" t="s">
        <v>405</v>
      </c>
      <c r="AE2" s="88" t="s">
        <v>406</v>
      </c>
      <c r="AF2" s="87">
        <v>45859.0</v>
      </c>
      <c r="AG2" s="87">
        <v>45860.0</v>
      </c>
      <c r="AH2" s="87">
        <v>45861.0</v>
      </c>
      <c r="AI2" s="87">
        <v>45862.0</v>
      </c>
      <c r="AJ2" s="88" t="s">
        <v>407</v>
      </c>
      <c r="AK2" s="88" t="s">
        <v>408</v>
      </c>
      <c r="AL2" s="88" t="s">
        <v>409</v>
      </c>
      <c r="AM2" s="88" t="s">
        <v>410</v>
      </c>
      <c r="AN2" s="88" t="s">
        <v>411</v>
      </c>
      <c r="AO2" s="88" t="s">
        <v>412</v>
      </c>
      <c r="AP2" s="87">
        <v>45866.0</v>
      </c>
      <c r="AQ2" s="87">
        <v>45867.0</v>
      </c>
      <c r="AR2" s="87">
        <v>45868.0</v>
      </c>
      <c r="AS2" s="87">
        <v>45869.0</v>
      </c>
      <c r="AT2" s="87"/>
      <c r="AU2" s="51"/>
      <c r="AV2" s="51"/>
      <c r="AW2" s="51" t="s">
        <v>252</v>
      </c>
      <c r="AX2" s="51" t="s">
        <v>253</v>
      </c>
      <c r="AY2" s="51" t="s">
        <v>252</v>
      </c>
      <c r="AZ2" s="51" t="s">
        <v>253</v>
      </c>
    </row>
    <row r="3">
      <c r="A3" s="39" t="s">
        <v>226</v>
      </c>
      <c r="B3" s="40">
        <f t="shared" ref="B3:B8" si="1">SUM(C3:D3)</f>
        <v>3</v>
      </c>
      <c r="C3" s="10">
        <f t="shared" ref="C3:C41" si="2">SUM(F3:AV3)</f>
        <v>1</v>
      </c>
      <c r="D3" s="11">
        <f t="array" ref="D3">SUM(IF(F3:AV3="R",1,0))</f>
        <v>2</v>
      </c>
      <c r="E3" s="11">
        <f t="array" ref="E3">SUM(IF(F3:AV3="R2",1,0))</f>
        <v>1</v>
      </c>
      <c r="F3" s="89"/>
      <c r="G3" s="89"/>
      <c r="H3" s="16"/>
      <c r="I3" s="16"/>
      <c r="J3" s="84">
        <v>1.0</v>
      </c>
      <c r="K3" s="78"/>
      <c r="L3" s="78"/>
      <c r="M3" s="78"/>
      <c r="N3" s="84" t="s">
        <v>40</v>
      </c>
      <c r="O3" s="78"/>
      <c r="P3" s="78"/>
      <c r="Q3" s="16"/>
      <c r="R3" s="78"/>
      <c r="S3" s="84"/>
      <c r="T3" s="78"/>
      <c r="U3" s="78"/>
      <c r="V3" s="84"/>
      <c r="W3" s="16"/>
      <c r="X3" s="16"/>
      <c r="Y3" s="16"/>
      <c r="Z3" s="16"/>
      <c r="AA3" s="16"/>
      <c r="AB3" s="16"/>
      <c r="AC3" s="16"/>
      <c r="AD3" s="16"/>
      <c r="AE3" s="16"/>
      <c r="AF3" s="16"/>
      <c r="AG3" s="16"/>
      <c r="AH3" s="16"/>
      <c r="AI3" s="16"/>
      <c r="AJ3" s="16"/>
      <c r="AK3" s="84"/>
      <c r="AL3" s="84" t="s">
        <v>39</v>
      </c>
      <c r="AM3" s="78"/>
      <c r="AN3" s="78"/>
      <c r="AO3" s="78"/>
      <c r="AP3" s="84" t="s">
        <v>39</v>
      </c>
      <c r="AQ3" s="78"/>
      <c r="AR3" s="78"/>
      <c r="AS3" s="78"/>
      <c r="AT3" s="91"/>
      <c r="AU3" s="91"/>
      <c r="AV3" s="91"/>
      <c r="AW3" s="91"/>
      <c r="AX3" s="91"/>
      <c r="AY3" s="91"/>
      <c r="AZ3" s="91"/>
    </row>
    <row r="4">
      <c r="A4" s="14" t="s">
        <v>283</v>
      </c>
      <c r="B4" s="10">
        <f t="shared" si="1"/>
        <v>2</v>
      </c>
      <c r="C4" s="10">
        <f t="shared" si="2"/>
        <v>1</v>
      </c>
      <c r="D4" s="11">
        <f t="array" ref="D4">SUM(IF(F4:AV4="R",1,0))</f>
        <v>1</v>
      </c>
      <c r="E4" s="11">
        <f t="array" ref="E4">SUM(IF(F4:AV4="R2",1,0))</f>
        <v>0</v>
      </c>
      <c r="F4" s="21"/>
      <c r="G4" s="16"/>
      <c r="H4" s="16"/>
      <c r="I4" s="16"/>
      <c r="J4" s="78"/>
      <c r="K4" s="78"/>
      <c r="L4" s="84">
        <v>1.0</v>
      </c>
      <c r="M4" s="84"/>
      <c r="N4" s="78"/>
      <c r="O4" s="16"/>
      <c r="P4" s="21"/>
      <c r="Q4" s="16"/>
      <c r="R4" s="16"/>
      <c r="S4" s="78"/>
      <c r="T4" s="84"/>
      <c r="U4" s="84"/>
      <c r="V4" s="78"/>
      <c r="W4" s="16"/>
      <c r="X4" s="16"/>
      <c r="Y4" s="16"/>
      <c r="Z4" s="16"/>
      <c r="AA4" s="16"/>
      <c r="AB4" s="78"/>
      <c r="AC4" s="78"/>
      <c r="AD4" s="78"/>
      <c r="AE4" s="78"/>
      <c r="AF4" s="16"/>
      <c r="AG4" s="16"/>
      <c r="AH4" s="16"/>
      <c r="AI4" s="16"/>
      <c r="AJ4" s="16"/>
      <c r="AK4" s="84"/>
      <c r="AL4" s="84"/>
      <c r="AM4" s="78"/>
      <c r="AN4" s="84" t="s">
        <v>39</v>
      </c>
      <c r="AO4" s="84"/>
      <c r="AP4" s="84"/>
      <c r="AQ4" s="78"/>
      <c r="AR4" s="78"/>
      <c r="AS4" s="78"/>
      <c r="AT4" s="91"/>
      <c r="AU4" s="91"/>
      <c r="AV4" s="91"/>
      <c r="AW4" s="91"/>
      <c r="AX4" s="91"/>
      <c r="AY4" s="91"/>
      <c r="AZ4" s="91"/>
    </row>
    <row r="5">
      <c r="A5" s="14" t="s">
        <v>44</v>
      </c>
      <c r="B5" s="10">
        <f t="shared" si="1"/>
        <v>3</v>
      </c>
      <c r="C5" s="10">
        <f t="shared" si="2"/>
        <v>1</v>
      </c>
      <c r="D5" s="11">
        <f t="array" ref="D5">SUM(IF(F5:AV5="R",1,0))</f>
        <v>2</v>
      </c>
      <c r="E5" s="11">
        <f t="array" ref="E5">SUM(IF(F5:AV5="R2",1,0))</f>
        <v>2</v>
      </c>
      <c r="F5" s="16"/>
      <c r="G5" s="21"/>
      <c r="H5" s="16"/>
      <c r="I5" s="16"/>
      <c r="J5" s="78"/>
      <c r="K5" s="84" t="s">
        <v>40</v>
      </c>
      <c r="L5" s="78"/>
      <c r="M5" s="78"/>
      <c r="N5" s="84"/>
      <c r="O5" s="21"/>
      <c r="P5" s="84"/>
      <c r="Q5" s="84">
        <v>1.0</v>
      </c>
      <c r="R5" s="84"/>
      <c r="S5" s="78"/>
      <c r="T5" s="84" t="s">
        <v>39</v>
      </c>
      <c r="U5" s="78"/>
      <c r="V5" s="84" t="s">
        <v>40</v>
      </c>
      <c r="W5" s="16"/>
      <c r="X5" s="16"/>
      <c r="Y5" s="16"/>
      <c r="Z5" s="16"/>
      <c r="AA5" s="16"/>
      <c r="AB5" s="78"/>
      <c r="AC5" s="84" t="s">
        <v>39</v>
      </c>
      <c r="AD5" s="78"/>
      <c r="AE5" s="78"/>
      <c r="AF5" s="21"/>
      <c r="AG5" s="16"/>
      <c r="AH5" s="16"/>
      <c r="AI5" s="16"/>
      <c r="AJ5" s="16"/>
      <c r="AK5" s="16"/>
      <c r="AL5" s="16"/>
      <c r="AM5" s="16"/>
      <c r="AN5" s="16"/>
      <c r="AO5" s="21"/>
      <c r="AP5" s="16"/>
      <c r="AQ5" s="16"/>
      <c r="AR5" s="16"/>
      <c r="AS5" s="16"/>
      <c r="AT5" s="91"/>
      <c r="AU5" s="91"/>
      <c r="AV5" s="91"/>
      <c r="AW5" s="91"/>
      <c r="AX5" s="91"/>
      <c r="AY5" s="91"/>
      <c r="AZ5" s="91"/>
    </row>
    <row r="6">
      <c r="A6" s="14" t="s">
        <v>413</v>
      </c>
      <c r="B6" s="10">
        <f t="shared" si="1"/>
        <v>4</v>
      </c>
      <c r="C6" s="10">
        <f t="shared" si="2"/>
        <v>2</v>
      </c>
      <c r="D6" s="11">
        <f t="array" ref="D6">SUM(IF(F6:AV6="R",1,0))</f>
        <v>2</v>
      </c>
      <c r="E6" s="11">
        <f t="array" ref="E6">SUM(IF(F6:AV6="R2",1,0))</f>
        <v>2</v>
      </c>
      <c r="F6" s="16"/>
      <c r="G6" s="16"/>
      <c r="H6" s="16"/>
      <c r="I6" s="21">
        <v>1.0</v>
      </c>
      <c r="J6" s="78"/>
      <c r="K6" s="78"/>
      <c r="L6" s="78"/>
      <c r="M6" s="78"/>
      <c r="N6" s="16"/>
      <c r="O6" s="16"/>
      <c r="P6" s="78"/>
      <c r="Q6" s="78"/>
      <c r="R6" s="84">
        <v>1.0</v>
      </c>
      <c r="S6" s="78"/>
      <c r="T6" s="78"/>
      <c r="U6" s="78"/>
      <c r="V6" s="78"/>
      <c r="W6" s="78"/>
      <c r="X6" s="78"/>
      <c r="Y6" s="78"/>
      <c r="Z6" s="78"/>
      <c r="AA6" s="16"/>
      <c r="AB6" s="78"/>
      <c r="AC6" s="78"/>
      <c r="AD6" s="84" t="s">
        <v>40</v>
      </c>
      <c r="AE6" s="78"/>
      <c r="AF6" s="78"/>
      <c r="AG6" s="78"/>
      <c r="AH6" s="78"/>
      <c r="AI6" s="84" t="s">
        <v>39</v>
      </c>
      <c r="AJ6" s="78"/>
      <c r="AK6" s="78"/>
      <c r="AL6" s="78"/>
      <c r="AM6" s="84" t="s">
        <v>40</v>
      </c>
      <c r="AN6" s="78"/>
      <c r="AO6" s="78"/>
      <c r="AP6" s="84"/>
      <c r="AQ6" s="78"/>
      <c r="AR6" s="16"/>
      <c r="AS6" s="84" t="s">
        <v>39</v>
      </c>
      <c r="AT6" s="91"/>
      <c r="AU6" s="91"/>
      <c r="AV6" s="91"/>
      <c r="AW6" s="91"/>
      <c r="AX6" s="91"/>
      <c r="AY6" s="91"/>
      <c r="AZ6" s="91"/>
    </row>
    <row r="7">
      <c r="A7" s="14" t="s">
        <v>414</v>
      </c>
      <c r="B7" s="10">
        <f t="shared" si="1"/>
        <v>4</v>
      </c>
      <c r="C7" s="10">
        <f t="shared" si="2"/>
        <v>2</v>
      </c>
      <c r="D7" s="11">
        <f t="array" ref="D7">SUM(IF(F7:AV7="R",1,0))</f>
        <v>2</v>
      </c>
      <c r="E7" s="11">
        <f t="array" ref="E7">SUM(IF(F7:AV7="R2",1,0))</f>
        <v>2</v>
      </c>
      <c r="F7" s="84"/>
      <c r="G7" s="78"/>
      <c r="H7" s="78"/>
      <c r="I7" s="78"/>
      <c r="J7" s="78"/>
      <c r="K7" s="78"/>
      <c r="L7" s="78"/>
      <c r="M7" s="84"/>
      <c r="N7" s="78"/>
      <c r="O7" s="84"/>
      <c r="P7" s="78"/>
      <c r="Q7" s="78"/>
      <c r="R7" s="84" t="s">
        <v>63</v>
      </c>
      <c r="S7" s="84"/>
      <c r="T7" s="78"/>
      <c r="U7" s="78"/>
      <c r="V7" s="84"/>
      <c r="W7" s="84"/>
      <c r="X7" s="84">
        <v>1.0</v>
      </c>
      <c r="Y7" s="84"/>
      <c r="Z7" s="78"/>
      <c r="AA7" s="78"/>
      <c r="AB7" s="78"/>
      <c r="AC7" s="78"/>
      <c r="AD7" s="78"/>
      <c r="AE7" s="78"/>
      <c r="AF7" s="84" t="s">
        <v>62</v>
      </c>
      <c r="AG7" s="84"/>
      <c r="AH7" s="78"/>
      <c r="AI7" s="78"/>
      <c r="AJ7" s="78"/>
      <c r="AK7" s="84">
        <v>1.0</v>
      </c>
      <c r="AL7" s="78"/>
      <c r="AM7" s="78"/>
      <c r="AN7" s="78"/>
      <c r="AO7" s="78"/>
      <c r="AP7" s="84" t="s">
        <v>62</v>
      </c>
      <c r="AQ7" s="78"/>
      <c r="AR7" s="84" t="s">
        <v>63</v>
      </c>
      <c r="AS7" s="78"/>
      <c r="AT7" s="91"/>
      <c r="AU7" s="91"/>
      <c r="AV7" s="91"/>
      <c r="AW7" s="91"/>
      <c r="AX7" s="91"/>
      <c r="AY7" s="91"/>
      <c r="AZ7" s="91"/>
    </row>
    <row r="8">
      <c r="A8" s="26" t="s">
        <v>55</v>
      </c>
      <c r="B8" s="10">
        <f t="shared" si="1"/>
        <v>1</v>
      </c>
      <c r="C8" s="10">
        <f t="shared" si="2"/>
        <v>1</v>
      </c>
      <c r="D8" s="11">
        <f t="array" ref="D8">SUM(IF(G8:AV8="R",1,0))</f>
        <v>0</v>
      </c>
      <c r="E8" s="11">
        <f t="array" ref="E8">SUM(IF(F8:AV8="R2",1,0))</f>
        <v>1</v>
      </c>
      <c r="F8" s="84">
        <v>1.0</v>
      </c>
      <c r="G8" s="78"/>
      <c r="H8" s="78"/>
      <c r="I8" s="78"/>
      <c r="J8" s="78"/>
      <c r="K8" s="78"/>
      <c r="L8" s="78"/>
      <c r="M8" s="78"/>
      <c r="N8" s="78"/>
      <c r="O8" s="84"/>
      <c r="P8" s="78"/>
      <c r="Q8" s="78"/>
      <c r="R8" s="78"/>
      <c r="S8" s="78"/>
      <c r="T8" s="78"/>
      <c r="U8" s="78"/>
      <c r="V8" s="78"/>
      <c r="W8" s="78"/>
      <c r="X8" s="84"/>
      <c r="Y8" s="78"/>
      <c r="Z8" s="78"/>
      <c r="AA8" s="78"/>
      <c r="AB8" s="84" t="s">
        <v>62</v>
      </c>
      <c r="AC8" s="78"/>
      <c r="AD8" s="78"/>
      <c r="AE8" s="84"/>
      <c r="AF8" s="78"/>
      <c r="AG8" s="84"/>
      <c r="AH8" s="78"/>
      <c r="AI8" s="78"/>
      <c r="AJ8" s="78"/>
      <c r="AK8" s="78"/>
      <c r="AL8" s="78"/>
      <c r="AM8" s="78"/>
      <c r="AN8" s="78"/>
      <c r="AO8" s="78"/>
      <c r="AP8" s="78"/>
      <c r="AQ8" s="78"/>
      <c r="AR8" s="78"/>
      <c r="AS8" s="78"/>
      <c r="AT8" s="91"/>
      <c r="AU8" s="91"/>
      <c r="AV8" s="91"/>
      <c r="AX8" s="61"/>
      <c r="AY8" s="91"/>
      <c r="AZ8" s="91"/>
    </row>
    <row r="9">
      <c r="A9" s="22" t="s">
        <v>363</v>
      </c>
      <c r="B9" s="10"/>
      <c r="C9" s="10">
        <f t="shared" si="2"/>
        <v>2</v>
      </c>
      <c r="D9" s="11">
        <f t="array" ref="D9">SUM(IF(F9:AV9="R",1,0))</f>
        <v>2</v>
      </c>
      <c r="E9" s="11">
        <f t="array" ref="E9">SUM(IF(F9:AV9="R2",1,0))</f>
        <v>2</v>
      </c>
      <c r="F9" s="16"/>
      <c r="G9" s="21">
        <v>1.0</v>
      </c>
      <c r="H9" s="16"/>
      <c r="I9" s="16"/>
      <c r="J9" s="78"/>
      <c r="K9" s="78"/>
      <c r="L9" s="78"/>
      <c r="M9" s="78"/>
      <c r="N9" s="78"/>
      <c r="O9" s="84">
        <v>1.0</v>
      </c>
      <c r="P9" s="78"/>
      <c r="Q9" s="78"/>
      <c r="R9" s="78"/>
      <c r="S9" s="78"/>
      <c r="T9" s="78"/>
      <c r="U9" s="78"/>
      <c r="V9" s="78"/>
      <c r="W9" s="78"/>
      <c r="X9" s="84" t="s">
        <v>39</v>
      </c>
      <c r="Y9" s="84"/>
      <c r="Z9" s="78"/>
      <c r="AA9" s="78"/>
      <c r="AB9" s="78"/>
      <c r="AC9" s="78"/>
      <c r="AD9" s="78"/>
      <c r="AE9" s="78"/>
      <c r="AF9" s="78"/>
      <c r="AG9" s="84" t="s">
        <v>39</v>
      </c>
      <c r="AH9" s="78"/>
      <c r="AI9" s="16"/>
      <c r="AJ9" s="16"/>
      <c r="AK9" s="78"/>
      <c r="AL9" s="78"/>
      <c r="AM9" s="78"/>
      <c r="AN9" s="78"/>
      <c r="AO9" s="78"/>
      <c r="AP9" s="78"/>
      <c r="AQ9" s="84" t="s">
        <v>40</v>
      </c>
      <c r="AR9" s="78"/>
      <c r="AS9" s="84" t="s">
        <v>40</v>
      </c>
      <c r="AT9" s="91"/>
      <c r="AU9" s="91"/>
      <c r="AV9" s="91"/>
      <c r="AW9" s="91"/>
      <c r="AX9" s="91"/>
      <c r="AY9" s="91"/>
      <c r="AZ9" s="91"/>
    </row>
    <row r="10">
      <c r="A10" s="22" t="s">
        <v>362</v>
      </c>
      <c r="B10" s="10">
        <f>SUM(C10:D10)</f>
        <v>2</v>
      </c>
      <c r="C10" s="10">
        <f t="shared" si="2"/>
        <v>1</v>
      </c>
      <c r="D10" s="11">
        <f t="array" ref="D10">SUM(IF(F10:AV10="R",1,0))</f>
        <v>1</v>
      </c>
      <c r="E10" s="11">
        <f t="array" ref="E10">SUM(IF(F10:AV10="R2",1,0))</f>
        <v>1</v>
      </c>
      <c r="F10" s="78"/>
      <c r="G10" s="78"/>
      <c r="H10" s="84"/>
      <c r="I10" s="78"/>
      <c r="J10" s="78"/>
      <c r="K10" s="78"/>
      <c r="L10" s="78"/>
      <c r="M10" s="78"/>
      <c r="N10" s="84"/>
      <c r="O10" s="78"/>
      <c r="P10" s="78"/>
      <c r="Q10" s="78"/>
      <c r="R10" s="84" t="s">
        <v>40</v>
      </c>
      <c r="S10" s="78"/>
      <c r="T10" s="78"/>
      <c r="U10" s="84"/>
      <c r="V10" s="78"/>
      <c r="W10" s="84" t="s">
        <v>39</v>
      </c>
      <c r="X10" s="78"/>
      <c r="Y10" s="78"/>
      <c r="Z10" s="78"/>
      <c r="AA10" s="84"/>
      <c r="AB10" s="78"/>
      <c r="AC10" s="78"/>
      <c r="AD10" s="78"/>
      <c r="AE10" s="78"/>
      <c r="AF10" s="78"/>
      <c r="AG10" s="78"/>
      <c r="AH10" s="78"/>
      <c r="AI10" s="78"/>
      <c r="AJ10" s="84">
        <v>1.0</v>
      </c>
      <c r="AK10" s="78"/>
      <c r="AL10" s="78"/>
      <c r="AM10" s="78"/>
      <c r="AN10" s="78"/>
      <c r="AO10" s="78"/>
      <c r="AP10" s="84"/>
      <c r="AQ10" s="78"/>
      <c r="AR10" s="84"/>
      <c r="AS10" s="84"/>
      <c r="AT10" s="91"/>
      <c r="AU10" s="91"/>
      <c r="AV10" s="91"/>
      <c r="AW10" s="91"/>
      <c r="AX10" s="91"/>
      <c r="AY10" s="91"/>
      <c r="AZ10" s="91"/>
    </row>
    <row r="11">
      <c r="A11" s="22" t="s">
        <v>415</v>
      </c>
      <c r="B11" s="10"/>
      <c r="C11" s="10">
        <f t="shared" si="2"/>
        <v>2</v>
      </c>
      <c r="D11" s="11">
        <f t="array" ref="D11">SUM(IF(F11:AV11="R",1,0))</f>
        <v>2</v>
      </c>
      <c r="E11" s="11">
        <f t="array" ref="E11">SUM(IF(F11:AV11="R2",1,0))</f>
        <v>2</v>
      </c>
      <c r="F11" s="16"/>
      <c r="G11" s="16"/>
      <c r="H11" s="16"/>
      <c r="I11" s="16"/>
      <c r="J11" s="78"/>
      <c r="K11" s="78"/>
      <c r="L11" s="78"/>
      <c r="M11" s="78"/>
      <c r="N11" s="78"/>
      <c r="O11" s="78"/>
      <c r="P11" s="84" t="s">
        <v>40</v>
      </c>
      <c r="Q11" s="78"/>
      <c r="R11" s="16"/>
      <c r="S11" s="84" t="s">
        <v>40</v>
      </c>
      <c r="T11" s="78"/>
      <c r="U11" s="78"/>
      <c r="V11" s="78"/>
      <c r="W11" s="78"/>
      <c r="X11" s="78"/>
      <c r="Y11" s="84" t="s">
        <v>39</v>
      </c>
      <c r="Z11" s="78"/>
      <c r="AA11" s="84" t="s">
        <v>39</v>
      </c>
      <c r="AB11" s="78"/>
      <c r="AC11" s="78"/>
      <c r="AD11" s="78"/>
      <c r="AE11" s="78"/>
      <c r="AF11" s="78"/>
      <c r="AG11" s="78"/>
      <c r="AH11" s="84">
        <v>1.0</v>
      </c>
      <c r="AI11" s="16"/>
      <c r="AJ11" s="16"/>
      <c r="AK11" s="78"/>
      <c r="AL11" s="78"/>
      <c r="AM11" s="78"/>
      <c r="AN11" s="78"/>
      <c r="AO11" s="78"/>
      <c r="AP11" s="78"/>
      <c r="AQ11" s="84">
        <v>1.0</v>
      </c>
      <c r="AR11" s="78"/>
      <c r="AS11" s="78"/>
      <c r="AT11" s="91"/>
      <c r="AU11" s="91"/>
      <c r="AV11" s="91"/>
      <c r="AW11" s="91"/>
      <c r="AX11" s="91"/>
      <c r="AY11" s="91"/>
      <c r="AZ11" s="91"/>
    </row>
    <row r="12">
      <c r="A12" s="20" t="s">
        <v>231</v>
      </c>
      <c r="B12" s="10"/>
      <c r="C12" s="10">
        <f t="shared" si="2"/>
        <v>1</v>
      </c>
      <c r="D12" s="11">
        <f t="array" ref="D12">SUM(IF(F12:AV12="R",1,0))</f>
        <v>1</v>
      </c>
      <c r="E12" s="11">
        <f t="array" ref="E12">SUM(IF(F12:AV12="R2",1,0))</f>
        <v>1</v>
      </c>
      <c r="F12" s="78"/>
      <c r="G12" s="16"/>
      <c r="H12" s="21"/>
      <c r="I12" s="21"/>
      <c r="J12" s="78"/>
      <c r="K12" s="78"/>
      <c r="L12" s="78"/>
      <c r="M12" s="78"/>
      <c r="N12" s="78"/>
      <c r="O12" s="84" t="s">
        <v>39</v>
      </c>
      <c r="P12" s="78"/>
      <c r="Q12" s="78"/>
      <c r="R12" s="84"/>
      <c r="S12" s="84"/>
      <c r="T12" s="78"/>
      <c r="U12" s="78"/>
      <c r="V12" s="78"/>
      <c r="W12" s="84"/>
      <c r="X12" s="78"/>
      <c r="Y12" s="84" t="s">
        <v>40</v>
      </c>
      <c r="Z12" s="84"/>
      <c r="AA12" s="78"/>
      <c r="AB12" s="78"/>
      <c r="AC12" s="78"/>
      <c r="AD12" s="78"/>
      <c r="AE12" s="78"/>
      <c r="AF12" s="84"/>
      <c r="AG12" s="84"/>
      <c r="AH12" s="78"/>
      <c r="AI12" s="16"/>
      <c r="AJ12" s="16"/>
      <c r="AK12" s="78"/>
      <c r="AL12" s="78"/>
      <c r="AM12" s="78"/>
      <c r="AN12" s="78"/>
      <c r="AO12" s="78"/>
      <c r="AP12" s="84">
        <v>1.0</v>
      </c>
      <c r="AQ12" s="78"/>
      <c r="AR12" s="78"/>
      <c r="AS12" s="78"/>
      <c r="AT12" s="91"/>
      <c r="AU12" s="91"/>
      <c r="AV12" s="91"/>
      <c r="AW12" s="91"/>
      <c r="AX12" s="91"/>
      <c r="AY12" s="91"/>
      <c r="AZ12" s="91"/>
    </row>
    <row r="13">
      <c r="A13" s="20" t="s">
        <v>416</v>
      </c>
      <c r="B13" s="10"/>
      <c r="C13" s="10">
        <f t="shared" si="2"/>
        <v>1</v>
      </c>
      <c r="D13" s="11">
        <f t="array" ref="D13">SUM(IF(F13:AV13="R",1,0))</f>
        <v>2</v>
      </c>
      <c r="E13" s="11">
        <f t="array" ref="E13">SUM(IF(F13:AV13="R2",1,0))</f>
        <v>1</v>
      </c>
      <c r="F13" s="78"/>
      <c r="G13" s="21"/>
      <c r="H13" s="16"/>
      <c r="I13" s="16"/>
      <c r="J13" s="78"/>
      <c r="K13" s="78"/>
      <c r="L13" s="78"/>
      <c r="M13" s="84"/>
      <c r="N13" s="84"/>
      <c r="O13" s="78"/>
      <c r="P13" s="78"/>
      <c r="Q13" s="84"/>
      <c r="R13" s="78"/>
      <c r="S13" s="78"/>
      <c r="T13" s="78"/>
      <c r="U13" s="84"/>
      <c r="V13" s="78"/>
      <c r="W13" s="84">
        <v>1.0</v>
      </c>
      <c r="X13" s="84"/>
      <c r="Y13" s="78"/>
      <c r="Z13" s="84" t="s">
        <v>39</v>
      </c>
      <c r="AA13" s="78"/>
      <c r="AB13" s="84"/>
      <c r="AC13" s="78"/>
      <c r="AD13" s="78"/>
      <c r="AE13" s="84" t="s">
        <v>39</v>
      </c>
      <c r="AF13" s="78"/>
      <c r="AG13" s="78"/>
      <c r="AH13" s="84" t="s">
        <v>40</v>
      </c>
      <c r="AI13" s="84"/>
      <c r="AJ13" s="16"/>
      <c r="AK13" s="84"/>
      <c r="AL13" s="84"/>
      <c r="AM13" s="78"/>
      <c r="AN13" s="78"/>
      <c r="AO13" s="78"/>
      <c r="AP13" s="78"/>
      <c r="AQ13" s="78"/>
      <c r="AR13" s="78"/>
      <c r="AS13" s="78"/>
      <c r="AT13" s="91"/>
      <c r="AU13" s="91"/>
      <c r="AV13" s="91"/>
      <c r="AW13" s="91"/>
      <c r="AX13" s="91"/>
      <c r="AY13" s="91"/>
      <c r="AZ13" s="91"/>
    </row>
    <row r="14" hidden="1">
      <c r="A14" s="20" t="s">
        <v>365</v>
      </c>
      <c r="B14" s="10">
        <f>SUM(C14:D14)</f>
        <v>0</v>
      </c>
      <c r="C14" s="10">
        <f t="shared" si="2"/>
        <v>0</v>
      </c>
      <c r="D14" s="11">
        <f t="array" ref="D14">SUM(IF(F14:AV14="R",1,0))</f>
        <v>0</v>
      </c>
      <c r="E14" s="11">
        <f t="array" ref="E14">SUM(IF(F14:AV14="R2",1,0))</f>
        <v>0</v>
      </c>
      <c r="F14" s="78"/>
      <c r="G14" s="78"/>
      <c r="H14" s="78"/>
      <c r="I14" s="78"/>
      <c r="J14" s="78"/>
      <c r="K14" s="78"/>
      <c r="L14" s="78"/>
      <c r="M14" s="78"/>
      <c r="N14" s="78"/>
      <c r="O14" s="78"/>
      <c r="P14" s="78"/>
      <c r="Q14" s="78"/>
      <c r="R14" s="78"/>
      <c r="S14" s="78"/>
      <c r="T14" s="78"/>
      <c r="U14" s="78"/>
      <c r="V14" s="78"/>
      <c r="W14" s="78"/>
      <c r="X14" s="78"/>
      <c r="Y14" s="84"/>
      <c r="Z14" s="84"/>
      <c r="AA14" s="78"/>
      <c r="AB14" s="78"/>
      <c r="AC14" s="78"/>
      <c r="AD14" s="78"/>
      <c r="AE14" s="78"/>
      <c r="AF14" s="78"/>
      <c r="AG14" s="78"/>
      <c r="AH14" s="78"/>
      <c r="AI14" s="78"/>
      <c r="AJ14" s="78"/>
      <c r="AK14" s="78"/>
      <c r="AL14" s="78"/>
      <c r="AM14" s="78"/>
      <c r="AN14" s="78"/>
      <c r="AO14" s="78"/>
      <c r="AP14" s="78"/>
      <c r="AQ14" s="78"/>
      <c r="AR14" s="78"/>
      <c r="AS14" s="78"/>
      <c r="AT14" s="91"/>
      <c r="AU14" s="91"/>
      <c r="AV14" s="91"/>
      <c r="AW14" s="91"/>
      <c r="AX14" s="91"/>
      <c r="AY14" s="91"/>
      <c r="AZ14" s="91"/>
    </row>
    <row r="15">
      <c r="A15" s="20" t="s">
        <v>287</v>
      </c>
      <c r="B15" s="10"/>
      <c r="C15" s="10">
        <f t="shared" si="2"/>
        <v>1</v>
      </c>
      <c r="D15" s="11">
        <f t="array" ref="D15">SUM(IF(F15:AV15="R",1,0))</f>
        <v>2</v>
      </c>
      <c r="E15" s="11">
        <f t="array" ref="E15">SUM(IF(F15:AV15="R2",1,0))</f>
        <v>2</v>
      </c>
      <c r="F15" s="84"/>
      <c r="G15" s="21"/>
      <c r="H15" s="21"/>
      <c r="I15" s="16"/>
      <c r="J15" s="78"/>
      <c r="K15" s="78"/>
      <c r="L15" s="78"/>
      <c r="M15" s="84"/>
      <c r="N15" s="78"/>
      <c r="O15" s="78"/>
      <c r="P15" s="84"/>
      <c r="Q15" s="78"/>
      <c r="R15" s="78"/>
      <c r="S15" s="84"/>
      <c r="T15" s="78"/>
      <c r="U15" s="78"/>
      <c r="V15" s="78"/>
      <c r="W15" s="84"/>
      <c r="X15" s="84"/>
      <c r="Y15" s="84"/>
      <c r="Z15" s="84"/>
      <c r="AA15" s="84" t="s">
        <v>40</v>
      </c>
      <c r="AB15" s="78"/>
      <c r="AC15" s="84" t="s">
        <v>40</v>
      </c>
      <c r="AD15" s="78"/>
      <c r="AE15" s="78"/>
      <c r="AF15" s="84" t="s">
        <v>39</v>
      </c>
      <c r="AG15" s="78"/>
      <c r="AH15" s="78"/>
      <c r="AI15" s="16"/>
      <c r="AJ15" s="16"/>
      <c r="AK15" s="78"/>
      <c r="AL15" s="78"/>
      <c r="AM15" s="84" t="s">
        <v>39</v>
      </c>
      <c r="AN15" s="78"/>
      <c r="AO15" s="84"/>
      <c r="AP15" s="78"/>
      <c r="AQ15" s="78"/>
      <c r="AR15" s="84">
        <v>1.0</v>
      </c>
      <c r="AS15" s="78"/>
      <c r="AT15" s="91"/>
      <c r="AU15" s="91"/>
      <c r="AV15" s="91"/>
      <c r="AW15" s="91"/>
      <c r="AX15" s="91"/>
      <c r="AY15" s="91"/>
      <c r="AZ15" s="91"/>
    </row>
    <row r="16" ht="15.0" hidden="1" customHeight="1">
      <c r="A16" s="23" t="s">
        <v>366</v>
      </c>
      <c r="B16" s="10">
        <f>SUM(C16:D16)</f>
        <v>0</v>
      </c>
      <c r="C16" s="10">
        <f t="shared" si="2"/>
        <v>0</v>
      </c>
      <c r="D16" s="11">
        <f t="array" ref="D16">SUM(IF(F16:AV16="R",1,0))</f>
        <v>0</v>
      </c>
      <c r="E16" s="11">
        <f t="array" ref="E16">SUM(IF(F16:AV16="R2",1,0))</f>
        <v>0</v>
      </c>
      <c r="F16" s="78"/>
      <c r="G16" s="78"/>
      <c r="H16" s="84"/>
      <c r="I16" s="78"/>
      <c r="J16" s="78"/>
      <c r="K16" s="78"/>
      <c r="L16" s="78"/>
      <c r="M16" s="78"/>
      <c r="N16" s="78"/>
      <c r="O16" s="78"/>
      <c r="P16" s="78"/>
      <c r="Q16" s="78"/>
      <c r="R16" s="78"/>
      <c r="S16" s="78"/>
      <c r="T16" s="78"/>
      <c r="U16" s="78"/>
      <c r="V16" s="78"/>
      <c r="W16" s="78"/>
      <c r="X16" s="78"/>
      <c r="Y16" s="78"/>
      <c r="Z16" s="78"/>
      <c r="AA16" s="84"/>
      <c r="AB16" s="78"/>
      <c r="AC16" s="78"/>
      <c r="AD16" s="78"/>
      <c r="AE16" s="78"/>
      <c r="AF16" s="78"/>
      <c r="AG16" s="78"/>
      <c r="AH16" s="78"/>
      <c r="AI16" s="78"/>
      <c r="AJ16" s="78"/>
      <c r="AK16" s="78"/>
      <c r="AL16" s="78"/>
      <c r="AM16" s="78"/>
      <c r="AN16" s="78"/>
      <c r="AO16" s="78"/>
      <c r="AP16" s="84"/>
      <c r="AQ16" s="78"/>
      <c r="AR16" s="78"/>
      <c r="AS16" s="78"/>
      <c r="AT16" s="91"/>
      <c r="AU16" s="91"/>
      <c r="AV16" s="91"/>
      <c r="AW16" s="91"/>
      <c r="AX16" s="91"/>
      <c r="AY16" s="91"/>
      <c r="AZ16" s="91"/>
    </row>
    <row r="17" hidden="1">
      <c r="A17" s="23" t="s">
        <v>53</v>
      </c>
      <c r="B17" s="10"/>
      <c r="C17" s="10">
        <f t="shared" si="2"/>
        <v>0</v>
      </c>
      <c r="D17" s="11">
        <f t="array" ref="D17">SUM(IF(F17:AV17="R",1,0))</f>
        <v>0</v>
      </c>
      <c r="E17" s="11">
        <f t="array" ref="E17">SUM(IF(F17:AV17="R2",1,0))</f>
        <v>0</v>
      </c>
      <c r="F17" s="78"/>
      <c r="G17" s="78"/>
      <c r="H17" s="78"/>
      <c r="I17" s="78"/>
      <c r="J17" s="78"/>
      <c r="K17" s="78"/>
      <c r="L17" s="78"/>
      <c r="M17" s="78"/>
      <c r="N17" s="78"/>
      <c r="O17" s="78"/>
      <c r="P17" s="78"/>
      <c r="Q17" s="78"/>
      <c r="R17" s="78"/>
      <c r="S17" s="78"/>
      <c r="T17" s="78"/>
      <c r="U17" s="78"/>
      <c r="V17" s="78"/>
      <c r="W17" s="78"/>
      <c r="X17" s="78"/>
      <c r="Y17" s="78"/>
      <c r="Z17" s="78"/>
      <c r="AA17" s="78"/>
      <c r="AB17" s="78"/>
      <c r="AC17" s="78"/>
      <c r="AD17" s="78"/>
      <c r="AE17" s="78"/>
      <c r="AF17" s="78"/>
      <c r="AG17" s="78"/>
      <c r="AH17" s="78"/>
      <c r="AI17" s="78"/>
      <c r="AJ17" s="78"/>
      <c r="AK17" s="78"/>
      <c r="AL17" s="78"/>
      <c r="AM17" s="78"/>
      <c r="AN17" s="78"/>
      <c r="AO17" s="78"/>
      <c r="AP17" s="78"/>
      <c r="AQ17" s="78"/>
      <c r="AR17" s="78"/>
      <c r="AS17" s="78"/>
      <c r="AT17" s="91"/>
      <c r="AU17" s="91"/>
      <c r="AV17" s="91"/>
      <c r="AW17" s="91"/>
      <c r="AX17" s="91"/>
      <c r="AY17" s="91"/>
      <c r="AZ17" s="91"/>
    </row>
    <row r="18" hidden="1">
      <c r="A18" s="23" t="s">
        <v>258</v>
      </c>
      <c r="B18" s="10">
        <f t="shared" ref="B18:B20" si="3">SUM(C18:D18)</f>
        <v>0</v>
      </c>
      <c r="C18" s="10">
        <f t="shared" si="2"/>
        <v>0</v>
      </c>
      <c r="D18" s="11">
        <f t="array" ref="D18">SUM(IF(F18:AV18="R",1,0))</f>
        <v>0</v>
      </c>
      <c r="E18" s="11">
        <f t="array" ref="E18">SUM(IF(F18:AV18="R2",1,0))</f>
        <v>0</v>
      </c>
      <c r="F18" s="78"/>
      <c r="G18" s="78"/>
      <c r="H18" s="78"/>
      <c r="I18" s="78"/>
      <c r="J18" s="78"/>
      <c r="K18" s="78"/>
      <c r="L18" s="78"/>
      <c r="M18" s="78"/>
      <c r="N18" s="78"/>
      <c r="O18" s="78"/>
      <c r="P18" s="78"/>
      <c r="Q18" s="78"/>
      <c r="R18" s="78"/>
      <c r="S18" s="78"/>
      <c r="T18" s="78"/>
      <c r="U18" s="78"/>
      <c r="V18" s="78"/>
      <c r="W18" s="78"/>
      <c r="X18" s="78"/>
      <c r="Y18" s="78"/>
      <c r="Z18" s="78"/>
      <c r="AA18" s="78"/>
      <c r="AB18" s="78"/>
      <c r="AC18" s="78"/>
      <c r="AD18" s="78"/>
      <c r="AE18" s="78"/>
      <c r="AF18" s="78"/>
      <c r="AG18" s="78"/>
      <c r="AH18" s="78"/>
      <c r="AI18" s="78"/>
      <c r="AJ18" s="78"/>
      <c r="AK18" s="78"/>
      <c r="AL18" s="78"/>
      <c r="AM18" s="78"/>
      <c r="AN18" s="78"/>
      <c r="AO18" s="78"/>
      <c r="AP18" s="78"/>
      <c r="AQ18" s="78"/>
      <c r="AR18" s="78"/>
      <c r="AS18" s="78"/>
      <c r="AT18" s="91"/>
      <c r="AU18" s="91"/>
      <c r="AV18" s="91"/>
      <c r="AW18" s="91"/>
      <c r="AX18" s="91"/>
      <c r="AY18" s="91"/>
      <c r="AZ18" s="91"/>
    </row>
    <row r="19">
      <c r="A19" s="20" t="s">
        <v>388</v>
      </c>
      <c r="B19" s="10">
        <f t="shared" si="3"/>
        <v>0</v>
      </c>
      <c r="C19" s="10">
        <f t="shared" si="2"/>
        <v>0</v>
      </c>
      <c r="D19" s="11">
        <f t="array" ref="D19">SUM(IF(F19:AV19="R",1,0))</f>
        <v>0</v>
      </c>
      <c r="E19" s="11">
        <f t="array" ref="E19">SUM(IF(F19:AV19="R2",1,0))</f>
        <v>0</v>
      </c>
      <c r="F19" s="78"/>
      <c r="G19" s="84"/>
      <c r="H19" s="78"/>
      <c r="I19" s="84"/>
      <c r="J19" s="78"/>
      <c r="K19" s="84"/>
      <c r="L19" s="78"/>
      <c r="M19" s="78"/>
      <c r="N19" s="78"/>
      <c r="O19" s="78"/>
      <c r="P19" s="78"/>
      <c r="Q19" s="84"/>
      <c r="R19" s="78"/>
      <c r="S19" s="78"/>
      <c r="T19" s="78"/>
      <c r="U19" s="84"/>
      <c r="V19" s="78"/>
      <c r="W19" s="78"/>
      <c r="X19" s="78"/>
      <c r="Y19" s="84"/>
      <c r="Z19" s="78"/>
      <c r="AA19" s="78"/>
      <c r="AB19" s="78"/>
      <c r="AC19" s="78"/>
      <c r="AD19" s="78"/>
      <c r="AE19" s="78"/>
      <c r="AF19" s="78"/>
      <c r="AG19" s="78"/>
      <c r="AH19" s="78"/>
      <c r="AI19" s="78"/>
      <c r="AJ19" s="78"/>
      <c r="AK19" s="78"/>
      <c r="AL19" s="78"/>
      <c r="AM19" s="78"/>
      <c r="AN19" s="78"/>
      <c r="AO19" s="78"/>
      <c r="AP19" s="84"/>
      <c r="AQ19" s="78"/>
      <c r="AR19" s="78"/>
      <c r="AS19" s="78"/>
      <c r="AT19" s="91"/>
      <c r="AU19" s="91"/>
      <c r="AV19" s="91"/>
      <c r="AW19" s="91"/>
      <c r="AX19" s="91"/>
      <c r="AY19" s="91"/>
      <c r="AZ19" s="91"/>
    </row>
    <row r="20">
      <c r="A20" s="26" t="s">
        <v>367</v>
      </c>
      <c r="B20" s="10">
        <f t="shared" si="3"/>
        <v>1</v>
      </c>
      <c r="C20" s="10">
        <f t="shared" si="2"/>
        <v>1</v>
      </c>
      <c r="D20" s="11">
        <f t="array" ref="D20">SUM(IF(F20:AV20="R",1,0))</f>
        <v>0</v>
      </c>
      <c r="E20" s="11">
        <f t="array" ref="E20">SUM(IF(F20:AV20="R2",1,0))</f>
        <v>1</v>
      </c>
      <c r="F20" s="78"/>
      <c r="G20" s="78"/>
      <c r="H20" s="78"/>
      <c r="I20" s="78"/>
      <c r="J20" s="78"/>
      <c r="K20" s="78"/>
      <c r="L20" s="78"/>
      <c r="M20" s="78"/>
      <c r="N20" s="78"/>
      <c r="O20" s="78"/>
      <c r="P20" s="78"/>
      <c r="Q20" s="78"/>
      <c r="R20" s="78"/>
      <c r="S20" s="78"/>
      <c r="T20" s="78"/>
      <c r="U20" s="84"/>
      <c r="V20" s="78"/>
      <c r="W20" s="78"/>
      <c r="X20" s="78"/>
      <c r="Y20" s="78"/>
      <c r="Z20" s="78"/>
      <c r="AA20" s="78"/>
      <c r="AB20" s="78"/>
      <c r="AC20" s="78"/>
      <c r="AD20" s="84">
        <v>1.0</v>
      </c>
      <c r="AE20" s="84"/>
      <c r="AF20" s="78"/>
      <c r="AG20" s="84"/>
      <c r="AH20" s="78"/>
      <c r="AI20" s="78"/>
      <c r="AJ20" s="78"/>
      <c r="AK20" s="78"/>
      <c r="AL20" s="78"/>
      <c r="AM20" s="78"/>
      <c r="AN20" s="84" t="s">
        <v>40</v>
      </c>
      <c r="AO20" s="84"/>
      <c r="AP20" s="78"/>
      <c r="AQ20" s="84"/>
      <c r="AR20" s="78"/>
      <c r="AS20" s="78"/>
      <c r="AT20" s="91"/>
      <c r="AU20" s="91"/>
      <c r="AV20" s="91"/>
      <c r="AW20" s="91"/>
      <c r="AX20" s="91"/>
      <c r="AY20" s="91"/>
      <c r="AZ20" s="91"/>
    </row>
    <row r="21" hidden="1">
      <c r="A21" s="9" t="s">
        <v>56</v>
      </c>
      <c r="B21" s="10"/>
      <c r="C21" s="10">
        <f t="shared" si="2"/>
        <v>0</v>
      </c>
      <c r="D21" s="11">
        <f t="array" ref="D21">SUM(IF(F21:AV21="R",1,0))</f>
        <v>0</v>
      </c>
      <c r="E21" s="11">
        <f t="array" ref="E21">SUM(IF(F21:AV21="R2",1,0))</f>
        <v>0</v>
      </c>
      <c r="F21" s="78"/>
      <c r="G21" s="78"/>
      <c r="H21" s="78"/>
      <c r="I21" s="78"/>
      <c r="J21" s="78"/>
      <c r="K21" s="78"/>
      <c r="L21" s="78"/>
      <c r="M21" s="78"/>
      <c r="N21" s="78"/>
      <c r="O21" s="78"/>
      <c r="P21" s="78"/>
      <c r="Q21" s="78"/>
      <c r="R21" s="78"/>
      <c r="S21" s="78"/>
      <c r="T21" s="78"/>
      <c r="U21" s="78"/>
      <c r="V21" s="78"/>
      <c r="W21" s="78"/>
      <c r="X21" s="78"/>
      <c r="Y21" s="78"/>
      <c r="Z21" s="78"/>
      <c r="AA21" s="78"/>
      <c r="AB21" s="78"/>
      <c r="AC21" s="78"/>
      <c r="AD21" s="78"/>
      <c r="AE21" s="78"/>
      <c r="AF21" s="78"/>
      <c r="AG21" s="78"/>
      <c r="AH21" s="78"/>
      <c r="AI21" s="78"/>
      <c r="AJ21" s="78"/>
      <c r="AK21" s="78"/>
      <c r="AL21" s="78"/>
      <c r="AM21" s="78"/>
      <c r="AN21" s="78"/>
      <c r="AO21" s="78"/>
      <c r="AP21" s="78"/>
      <c r="AQ21" s="78"/>
      <c r="AR21" s="78"/>
      <c r="AS21" s="78"/>
      <c r="AT21" s="91"/>
      <c r="AU21" s="91"/>
      <c r="AV21" s="91"/>
      <c r="AW21" s="91"/>
      <c r="AX21" s="91"/>
      <c r="AY21" s="91"/>
      <c r="AZ21" s="91"/>
    </row>
    <row r="22">
      <c r="A22" s="25" t="s">
        <v>389</v>
      </c>
      <c r="B22" s="10">
        <f>SUM(C22:D22)</f>
        <v>4</v>
      </c>
      <c r="C22" s="10">
        <f t="shared" si="2"/>
        <v>2</v>
      </c>
      <c r="D22" s="11">
        <f t="array" ref="D22">SUM(IF(F22:AV22="R",1,0))</f>
        <v>2</v>
      </c>
      <c r="E22" s="11">
        <f t="array" ref="E22">SUM(IF(F22:AV22="R2",1,0))</f>
        <v>2</v>
      </c>
      <c r="F22" s="78"/>
      <c r="G22" s="78"/>
      <c r="H22" s="78"/>
      <c r="I22" s="78"/>
      <c r="J22" s="78"/>
      <c r="K22" s="78"/>
      <c r="L22" s="78"/>
      <c r="M22" s="84" t="s">
        <v>40</v>
      </c>
      <c r="N22" s="78"/>
      <c r="O22" s="78"/>
      <c r="P22" s="84">
        <v>1.0</v>
      </c>
      <c r="Q22" s="84"/>
      <c r="R22" s="78"/>
      <c r="S22" s="84" t="s">
        <v>39</v>
      </c>
      <c r="T22" s="84"/>
      <c r="U22" s="84" t="s">
        <v>39</v>
      </c>
      <c r="V22" s="78"/>
      <c r="W22" s="84" t="s">
        <v>40</v>
      </c>
      <c r="X22" s="84"/>
      <c r="Y22" s="84">
        <v>1.0</v>
      </c>
      <c r="Z22" s="78"/>
      <c r="AA22" s="84"/>
      <c r="AB22" s="78"/>
      <c r="AC22" s="78"/>
      <c r="AD22" s="84"/>
      <c r="AE22" s="84"/>
      <c r="AF22" s="78"/>
      <c r="AG22" s="78"/>
      <c r="AH22" s="84"/>
      <c r="AI22" s="78"/>
      <c r="AJ22" s="78"/>
      <c r="AK22" s="78"/>
      <c r="AL22" s="78"/>
      <c r="AM22" s="78"/>
      <c r="AN22" s="78"/>
      <c r="AO22" s="78"/>
      <c r="AP22" s="78"/>
      <c r="AQ22" s="78"/>
      <c r="AR22" s="84"/>
      <c r="AS22" s="78"/>
      <c r="AT22" s="91"/>
      <c r="AU22" s="91"/>
      <c r="AV22" s="91"/>
      <c r="AW22" s="91"/>
      <c r="AX22" s="91"/>
      <c r="AY22" s="91"/>
      <c r="AZ22" s="91"/>
    </row>
    <row r="23">
      <c r="A23" s="25" t="s">
        <v>417</v>
      </c>
      <c r="B23" s="10"/>
      <c r="C23" s="10">
        <f t="shared" si="2"/>
        <v>2</v>
      </c>
      <c r="D23" s="11">
        <f t="array" ref="D23">SUM(IF(F23:AV23="R",1,0))</f>
        <v>1</v>
      </c>
      <c r="E23" s="11">
        <f t="array" ref="E23">SUM(IF(F23:AV23="R2",1,0))</f>
        <v>1</v>
      </c>
      <c r="F23" s="78"/>
      <c r="G23" s="16"/>
      <c r="H23" s="16"/>
      <c r="I23" s="16"/>
      <c r="J23" s="78"/>
      <c r="K23" s="78"/>
      <c r="L23" s="78"/>
      <c r="M23" s="78"/>
      <c r="N23" s="16"/>
      <c r="O23" s="78"/>
      <c r="P23" s="78"/>
      <c r="Q23" s="78"/>
      <c r="R23" s="78"/>
      <c r="S23" s="78"/>
      <c r="T23" s="84"/>
      <c r="U23" s="78"/>
      <c r="V23" s="84" t="s">
        <v>63</v>
      </c>
      <c r="W23" s="78"/>
      <c r="X23" s="84"/>
      <c r="Y23" s="78"/>
      <c r="Z23" s="78"/>
      <c r="AA23" s="84">
        <v>1.0</v>
      </c>
      <c r="AB23" s="78"/>
      <c r="AC23" s="78"/>
      <c r="AD23" s="84"/>
      <c r="AE23" s="84"/>
      <c r="AF23" s="78"/>
      <c r="AG23" s="84">
        <v>1.0</v>
      </c>
      <c r="AH23" s="84"/>
      <c r="AI23" s="78"/>
      <c r="AJ23" s="16"/>
      <c r="AK23" s="84" t="s">
        <v>62</v>
      </c>
      <c r="AL23" s="78"/>
      <c r="AM23" s="78"/>
      <c r="AN23" s="78"/>
      <c r="AO23" s="78"/>
      <c r="AP23" s="78"/>
      <c r="AQ23" s="78"/>
      <c r="AR23" s="84"/>
      <c r="AS23" s="78"/>
      <c r="AT23" s="91"/>
      <c r="AU23" s="91"/>
      <c r="AV23" s="91"/>
      <c r="AW23" s="91"/>
      <c r="AX23" s="91"/>
      <c r="AY23" s="91"/>
      <c r="AZ23" s="91"/>
    </row>
    <row r="24">
      <c r="A24" s="9" t="s">
        <v>390</v>
      </c>
      <c r="B24" s="10">
        <f>SUM(C24:D24)</f>
        <v>3</v>
      </c>
      <c r="C24" s="10">
        <f t="shared" si="2"/>
        <v>1</v>
      </c>
      <c r="D24" s="11">
        <f t="array" ref="D24">SUM(IF(F24:AV24="R",1,0))</f>
        <v>2</v>
      </c>
      <c r="E24" s="11">
        <f t="array" ref="E24">SUM(IF(F24:AV24="R2",1,0))</f>
        <v>2</v>
      </c>
      <c r="F24" s="21"/>
      <c r="G24" s="21"/>
      <c r="H24" s="16"/>
      <c r="I24" s="21"/>
      <c r="J24" s="21"/>
      <c r="K24" s="16"/>
      <c r="L24" s="84" t="s">
        <v>40</v>
      </c>
      <c r="M24" s="78"/>
      <c r="N24" s="84" t="s">
        <v>39</v>
      </c>
      <c r="O24" s="78"/>
      <c r="P24" s="78"/>
      <c r="Q24" s="84" t="s">
        <v>39</v>
      </c>
      <c r="R24" s="78"/>
      <c r="S24" s="78"/>
      <c r="T24" s="78"/>
      <c r="U24" s="78"/>
      <c r="V24" s="84"/>
      <c r="W24" s="78"/>
      <c r="X24" s="78"/>
      <c r="Y24" s="78"/>
      <c r="Z24" s="78"/>
      <c r="AA24" s="84"/>
      <c r="AB24" s="84"/>
      <c r="AC24" s="78"/>
      <c r="AD24" s="78"/>
      <c r="AE24" s="84"/>
      <c r="AF24" s="78"/>
      <c r="AG24" s="78"/>
      <c r="AH24" s="78"/>
      <c r="AI24" s="84" t="s">
        <v>40</v>
      </c>
      <c r="AJ24" s="78"/>
      <c r="AK24" s="78"/>
      <c r="AL24" s="78"/>
      <c r="AM24" s="78"/>
      <c r="AN24" s="78"/>
      <c r="AO24" s="78"/>
      <c r="AP24" s="78"/>
      <c r="AQ24" s="78"/>
      <c r="AR24" s="78"/>
      <c r="AS24" s="84">
        <v>1.0</v>
      </c>
      <c r="AT24" s="91"/>
      <c r="AU24" s="91"/>
      <c r="AV24" s="91"/>
      <c r="AW24" s="91"/>
      <c r="AX24" s="91"/>
      <c r="AY24" s="91"/>
      <c r="AZ24" s="91"/>
    </row>
    <row r="25">
      <c r="A25" s="62" t="s">
        <v>368</v>
      </c>
      <c r="B25" s="10"/>
      <c r="C25" s="10">
        <f t="shared" si="2"/>
        <v>1</v>
      </c>
      <c r="D25" s="11">
        <f t="array" ref="D25">SUM(IF(F25:AV25="R",1,0))</f>
        <v>0</v>
      </c>
      <c r="E25" s="11">
        <f t="array" ref="E25">SUM(IF(F25:AV25="R2",1,0))</f>
        <v>1</v>
      </c>
      <c r="F25" s="16"/>
      <c r="G25" s="16"/>
      <c r="H25" s="16"/>
      <c r="I25" s="16"/>
      <c r="J25" s="78"/>
      <c r="K25" s="78"/>
      <c r="L25" s="78"/>
      <c r="M25" s="78"/>
      <c r="N25" s="78"/>
      <c r="O25" s="84" t="s">
        <v>40</v>
      </c>
      <c r="P25" s="78"/>
      <c r="Q25" s="78"/>
      <c r="R25" s="78"/>
      <c r="S25" s="78"/>
      <c r="T25" s="78"/>
      <c r="U25" s="78"/>
      <c r="V25" s="78"/>
      <c r="W25" s="84"/>
      <c r="X25" s="78"/>
      <c r="Y25" s="78"/>
      <c r="Z25" s="78"/>
      <c r="AA25" s="78"/>
      <c r="AB25" s="78"/>
      <c r="AC25" s="84">
        <v>1.0</v>
      </c>
      <c r="AD25" s="78"/>
      <c r="AE25" s="78"/>
      <c r="AF25" s="84"/>
      <c r="AG25" s="78"/>
      <c r="AH25" s="78"/>
      <c r="AI25" s="84"/>
      <c r="AJ25" s="84"/>
      <c r="AK25" s="78"/>
      <c r="AL25" s="78"/>
      <c r="AM25" s="84"/>
      <c r="AN25" s="78"/>
      <c r="AO25" s="78"/>
      <c r="AP25" s="78"/>
      <c r="AQ25" s="78"/>
      <c r="AR25" s="78"/>
      <c r="AS25" s="78"/>
      <c r="AT25" s="91"/>
      <c r="AU25" s="91"/>
      <c r="AV25" s="91"/>
      <c r="AW25" s="91"/>
      <c r="AX25" s="91"/>
      <c r="AY25" s="91"/>
      <c r="AZ25" s="91"/>
    </row>
    <row r="26">
      <c r="A26" s="62" t="s">
        <v>391</v>
      </c>
      <c r="B26" s="10">
        <f>SUM(C26:D26)</f>
        <v>3</v>
      </c>
      <c r="C26" s="10">
        <f t="shared" si="2"/>
        <v>1</v>
      </c>
      <c r="D26" s="11">
        <f t="array" ref="D26">SUM(IF(F26:AV26="R",1,0))</f>
        <v>2</v>
      </c>
      <c r="E26" s="11">
        <f t="array" ref="E26">SUM(IF(F26:AV26="R2",1,0))</f>
        <v>2</v>
      </c>
      <c r="F26" s="84" t="s">
        <v>39</v>
      </c>
      <c r="G26" s="78"/>
      <c r="H26" s="78"/>
      <c r="I26" s="84" t="s">
        <v>39</v>
      </c>
      <c r="J26" s="78"/>
      <c r="K26" s="78"/>
      <c r="L26" s="78"/>
      <c r="M26" s="78"/>
      <c r="N26" s="78"/>
      <c r="O26" s="78"/>
      <c r="P26" s="78"/>
      <c r="Q26" s="78"/>
      <c r="R26" s="78"/>
      <c r="S26" s="78"/>
      <c r="T26" s="78"/>
      <c r="U26" s="78"/>
      <c r="V26" s="84"/>
      <c r="W26" s="78"/>
      <c r="X26" s="78"/>
      <c r="Y26" s="84"/>
      <c r="Z26" s="78"/>
      <c r="AA26" s="78"/>
      <c r="AB26" s="84"/>
      <c r="AC26" s="78"/>
      <c r="AD26" s="78"/>
      <c r="AE26" s="84">
        <v>1.0</v>
      </c>
      <c r="AF26" s="84"/>
      <c r="AG26" s="78"/>
      <c r="AH26" s="78"/>
      <c r="AI26" s="84"/>
      <c r="AJ26" s="84" t="s">
        <v>40</v>
      </c>
      <c r="AK26" s="78"/>
      <c r="AL26" s="78"/>
      <c r="AM26" s="84"/>
      <c r="AN26" s="78"/>
      <c r="AO26" s="78"/>
      <c r="AP26" s="78"/>
      <c r="AQ26" s="78"/>
      <c r="AR26" s="84" t="s">
        <v>40</v>
      </c>
      <c r="AS26" s="78"/>
      <c r="AT26" s="91"/>
      <c r="AU26" s="91"/>
      <c r="AV26" s="91"/>
      <c r="AW26" s="91"/>
      <c r="AX26" s="91"/>
      <c r="AY26" s="91"/>
      <c r="AZ26" s="91"/>
    </row>
    <row r="27">
      <c r="A27" s="62" t="s">
        <v>418</v>
      </c>
      <c r="B27" s="10"/>
      <c r="C27" s="10">
        <f t="shared" si="2"/>
        <v>1</v>
      </c>
      <c r="D27" s="11">
        <f t="array" ref="D27">SUM(IF(F27:AV27="R",1,0))</f>
        <v>1</v>
      </c>
      <c r="E27" s="11">
        <f t="array" ref="E27">SUM(IF(F27:AV27="R2",1,0))</f>
        <v>2</v>
      </c>
      <c r="F27" s="78"/>
      <c r="G27" s="78"/>
      <c r="H27" s="84">
        <v>1.0</v>
      </c>
      <c r="I27" s="16"/>
      <c r="J27" s="16"/>
      <c r="K27" s="16"/>
      <c r="L27" s="16"/>
      <c r="M27" s="16"/>
      <c r="N27" s="78"/>
      <c r="O27" s="78"/>
      <c r="P27" s="78"/>
      <c r="Q27" s="78"/>
      <c r="R27" s="78"/>
      <c r="S27" s="78"/>
      <c r="T27" s="84"/>
      <c r="U27" s="78"/>
      <c r="V27" s="78"/>
      <c r="W27" s="78"/>
      <c r="X27" s="84"/>
      <c r="Y27" s="78"/>
      <c r="Z27" s="84"/>
      <c r="AA27" s="78"/>
      <c r="AB27" s="84"/>
      <c r="AC27" s="78"/>
      <c r="AD27" s="84"/>
      <c r="AE27" s="78"/>
      <c r="AF27" s="78"/>
      <c r="AG27" s="84"/>
      <c r="AH27" s="84" t="s">
        <v>39</v>
      </c>
      <c r="AI27" s="84"/>
      <c r="AJ27" s="78"/>
      <c r="AK27" s="84"/>
      <c r="AL27" s="84" t="s">
        <v>40</v>
      </c>
      <c r="AM27" s="84"/>
      <c r="AN27" s="78"/>
      <c r="AO27" s="84" t="s">
        <v>40</v>
      </c>
      <c r="AP27" s="78"/>
      <c r="AQ27" s="78"/>
      <c r="AR27" s="78"/>
      <c r="AS27" s="78"/>
      <c r="AT27" s="91"/>
      <c r="AU27" s="91"/>
      <c r="AV27" s="91"/>
      <c r="AW27" s="91"/>
      <c r="AX27" s="91"/>
      <c r="AY27" s="91"/>
      <c r="AZ27" s="91"/>
    </row>
    <row r="28">
      <c r="A28" s="62" t="s">
        <v>369</v>
      </c>
      <c r="B28" s="10">
        <f t="shared" ref="B28:B29" si="4">SUM(C28:D28)</f>
        <v>3</v>
      </c>
      <c r="C28" s="10">
        <f t="shared" si="2"/>
        <v>1</v>
      </c>
      <c r="D28" s="11">
        <f t="array" ref="D28">SUM(IF(F28:AV28="R",1,0))</f>
        <v>2</v>
      </c>
      <c r="E28" s="11">
        <f t="array" ref="E28">SUM(IF(F28:AV28="R2",1,0))</f>
        <v>2</v>
      </c>
      <c r="F28" s="84" t="s">
        <v>40</v>
      </c>
      <c r="G28" s="84"/>
      <c r="H28" s="84" t="s">
        <v>39</v>
      </c>
      <c r="I28" s="78"/>
      <c r="J28" s="84" t="s">
        <v>40</v>
      </c>
      <c r="K28" s="84"/>
      <c r="L28" s="78"/>
      <c r="M28" s="84" t="s">
        <v>39</v>
      </c>
      <c r="N28" s="78"/>
      <c r="O28" s="78"/>
      <c r="P28" s="78"/>
      <c r="Q28" s="78"/>
      <c r="R28" s="78"/>
      <c r="S28" s="78"/>
      <c r="T28" s="78"/>
      <c r="U28" s="78"/>
      <c r="V28" s="78"/>
      <c r="W28" s="78"/>
      <c r="X28" s="78"/>
      <c r="Y28" s="78"/>
      <c r="Z28" s="78"/>
      <c r="AA28" s="78"/>
      <c r="AB28" s="78"/>
      <c r="AC28" s="78"/>
      <c r="AD28" s="84"/>
      <c r="AE28" s="78"/>
      <c r="AF28" s="78"/>
      <c r="AG28" s="84"/>
      <c r="AH28" s="78"/>
      <c r="AI28" s="84"/>
      <c r="AJ28" s="84"/>
      <c r="AK28" s="78"/>
      <c r="AL28" s="78"/>
      <c r="AM28" s="84">
        <v>1.0</v>
      </c>
      <c r="AN28" s="84"/>
      <c r="AO28" s="78"/>
      <c r="AP28" s="78"/>
      <c r="AQ28" s="84"/>
      <c r="AR28" s="78"/>
      <c r="AS28" s="84"/>
      <c r="AT28" s="91"/>
      <c r="AU28" s="91"/>
      <c r="AV28" s="91"/>
      <c r="AW28" s="91"/>
      <c r="AX28" s="91"/>
      <c r="AY28" s="91"/>
      <c r="AZ28" s="91"/>
    </row>
    <row r="29">
      <c r="A29" s="27" t="s">
        <v>259</v>
      </c>
      <c r="B29" s="10">
        <f t="shared" si="4"/>
        <v>4</v>
      </c>
      <c r="C29" s="10">
        <f t="shared" si="2"/>
        <v>2</v>
      </c>
      <c r="D29" s="11">
        <f t="array" ref="D29">SUM(IF(F29:AV29="R",1,0))</f>
        <v>2</v>
      </c>
      <c r="E29" s="11">
        <f t="array" ref="E29">SUM(IF(F29:AV29="R2",1,0))</f>
        <v>2</v>
      </c>
      <c r="F29" s="105"/>
      <c r="G29" s="105"/>
      <c r="H29" s="105"/>
      <c r="I29" s="105"/>
      <c r="J29" s="78"/>
      <c r="K29" s="78"/>
      <c r="L29" s="78"/>
      <c r="M29" s="84">
        <v>1.0</v>
      </c>
      <c r="N29" s="78"/>
      <c r="O29" s="78"/>
      <c r="P29" s="78"/>
      <c r="Q29" s="84" t="s">
        <v>40</v>
      </c>
      <c r="R29" s="78"/>
      <c r="S29" s="78"/>
      <c r="T29" s="78"/>
      <c r="U29" s="78"/>
      <c r="V29" s="84">
        <v>1.0</v>
      </c>
      <c r="W29" s="84"/>
      <c r="X29" s="78"/>
      <c r="Y29" s="78"/>
      <c r="Z29" s="84" t="s">
        <v>40</v>
      </c>
      <c r="AA29" s="84"/>
      <c r="AB29" s="78"/>
      <c r="AC29" s="84"/>
      <c r="AD29" s="84" t="s">
        <v>39</v>
      </c>
      <c r="AE29" s="78"/>
      <c r="AF29" s="78"/>
      <c r="AG29" s="16"/>
      <c r="AH29" s="84"/>
      <c r="AI29" s="16"/>
      <c r="AJ29" s="21"/>
      <c r="AK29" s="78"/>
      <c r="AL29" s="78"/>
      <c r="AM29" s="78"/>
      <c r="AN29" s="84"/>
      <c r="AO29" s="84" t="s">
        <v>39</v>
      </c>
      <c r="AP29" s="78"/>
      <c r="AQ29" s="84"/>
      <c r="AR29" s="78"/>
      <c r="AS29" s="78"/>
      <c r="AT29" s="91"/>
      <c r="AU29" s="91"/>
      <c r="AV29" s="91"/>
      <c r="AW29" s="91"/>
      <c r="AX29" s="91"/>
      <c r="AY29" s="91"/>
      <c r="AZ29" s="91"/>
    </row>
    <row r="30">
      <c r="A30" s="26" t="s">
        <v>392</v>
      </c>
      <c r="B30" s="10"/>
      <c r="C30" s="10">
        <f t="shared" si="2"/>
        <v>3</v>
      </c>
      <c r="D30" s="11">
        <f t="array" ref="D30">SUM(IF(F30:AV30="R",1,0))</f>
        <v>2</v>
      </c>
      <c r="E30" s="11">
        <f t="array" ref="E30">SUM(IF(F30:AV30="R2",1,0))</f>
        <v>0</v>
      </c>
      <c r="F30" s="78"/>
      <c r="G30" s="78"/>
      <c r="H30" s="78"/>
      <c r="I30" s="84"/>
      <c r="J30" s="84" t="s">
        <v>39</v>
      </c>
      <c r="K30" s="84"/>
      <c r="L30" s="84" t="s">
        <v>39</v>
      </c>
      <c r="M30" s="78"/>
      <c r="N30" s="78"/>
      <c r="O30" s="78"/>
      <c r="P30" s="78"/>
      <c r="Q30" s="78"/>
      <c r="R30" s="78"/>
      <c r="S30" s="84">
        <v>1.0</v>
      </c>
      <c r="T30" s="78"/>
      <c r="U30" s="78"/>
      <c r="V30" s="78"/>
      <c r="W30" s="78"/>
      <c r="X30" s="84"/>
      <c r="Y30" s="78"/>
      <c r="Z30" s="78"/>
      <c r="AA30" s="78"/>
      <c r="AB30" s="84">
        <v>1.0</v>
      </c>
      <c r="AC30" s="78"/>
      <c r="AD30" s="78"/>
      <c r="AE30" s="78"/>
      <c r="AF30" s="78"/>
      <c r="AG30" s="78"/>
      <c r="AH30" s="78"/>
      <c r="AI30" s="78"/>
      <c r="AJ30" s="78"/>
      <c r="AK30" s="84"/>
      <c r="AL30" s="84">
        <v>1.0</v>
      </c>
      <c r="AM30" s="78"/>
      <c r="AN30" s="78"/>
      <c r="AO30" s="78"/>
      <c r="AP30" s="84"/>
      <c r="AQ30" s="78"/>
      <c r="AR30" s="78"/>
      <c r="AS30" s="84"/>
      <c r="AT30" s="91"/>
      <c r="AU30" s="91"/>
      <c r="AV30" s="91"/>
      <c r="AW30" s="91"/>
      <c r="AX30" s="91"/>
      <c r="AY30" s="91"/>
      <c r="AZ30" s="91"/>
    </row>
    <row r="31">
      <c r="A31" s="27" t="s">
        <v>393</v>
      </c>
      <c r="B31" s="10" t="str">
        <f>SUM(B4:B37)</f>
        <v>#REF!</v>
      </c>
      <c r="C31" s="10">
        <f t="shared" si="2"/>
        <v>3</v>
      </c>
      <c r="D31" s="11">
        <f t="array" ref="D31">SUM(IF(F31:AV31="R",1,0))</f>
        <v>1</v>
      </c>
      <c r="E31" s="11">
        <f t="array" ref="E31">SUM(IF(F31:AV31="R2",1,0))</f>
        <v>1</v>
      </c>
      <c r="F31" s="78"/>
      <c r="G31" s="78"/>
      <c r="H31" s="84" t="s">
        <v>40</v>
      </c>
      <c r="I31" s="84"/>
      <c r="J31" s="78"/>
      <c r="K31" s="84" t="s">
        <v>39</v>
      </c>
      <c r="L31" s="78"/>
      <c r="M31" s="78"/>
      <c r="N31" s="78"/>
      <c r="O31" s="78"/>
      <c r="P31" s="84"/>
      <c r="Q31" s="78"/>
      <c r="R31" s="78"/>
      <c r="S31" s="78"/>
      <c r="T31" s="84">
        <v>1.0</v>
      </c>
      <c r="U31" s="78"/>
      <c r="V31" s="78"/>
      <c r="W31" s="78"/>
      <c r="X31" s="106"/>
      <c r="Y31" s="78"/>
      <c r="Z31" s="78"/>
      <c r="AA31" s="78"/>
      <c r="AB31" s="78"/>
      <c r="AC31" s="78"/>
      <c r="AD31" s="78"/>
      <c r="AE31" s="78"/>
      <c r="AF31" s="84">
        <v>1.0</v>
      </c>
      <c r="AG31" s="78"/>
      <c r="AH31" s="78"/>
      <c r="AI31" s="84">
        <v>1.0</v>
      </c>
      <c r="AJ31" s="78"/>
      <c r="AK31" s="78"/>
      <c r="AL31" s="78"/>
      <c r="AM31" s="78"/>
      <c r="AN31" s="84"/>
      <c r="AO31" s="78"/>
      <c r="AP31" s="78"/>
      <c r="AQ31" s="78"/>
      <c r="AR31" s="78"/>
      <c r="AS31" s="78"/>
      <c r="AT31" s="100"/>
      <c r="AU31" s="100"/>
      <c r="AV31" s="100"/>
      <c r="AW31" s="100"/>
      <c r="AX31" s="100"/>
      <c r="AY31" s="100"/>
      <c r="AZ31" s="100"/>
    </row>
    <row r="32">
      <c r="A32" s="27" t="s">
        <v>149</v>
      </c>
      <c r="B32" s="28">
        <f t="shared" ref="B32:B33" si="5">SUM(F32:AT32)</f>
        <v>1</v>
      </c>
      <c r="C32" s="10">
        <f t="shared" si="2"/>
        <v>1</v>
      </c>
      <c r="D32" s="11">
        <f t="array" ref="D32">SUM(IF(F32:AV32="R",1,0))</f>
        <v>1</v>
      </c>
      <c r="E32" s="11">
        <f t="array" ref="E32">SUM(IF(F32:AV32="R2",1,0))</f>
        <v>1</v>
      </c>
      <c r="F32" s="16"/>
      <c r="G32" s="16"/>
      <c r="H32" s="16"/>
      <c r="I32" s="103"/>
      <c r="J32" s="16"/>
      <c r="K32" s="103"/>
      <c r="L32" s="16"/>
      <c r="M32" s="16"/>
      <c r="N32" s="16"/>
      <c r="O32" s="78"/>
      <c r="P32" s="78"/>
      <c r="Q32" s="78"/>
      <c r="R32" s="78"/>
      <c r="S32" s="16"/>
      <c r="T32" s="16"/>
      <c r="U32" s="16"/>
      <c r="V32" s="16"/>
      <c r="W32" s="84"/>
      <c r="X32" s="84"/>
      <c r="Y32" s="78"/>
      <c r="Z32" s="84">
        <v>1.0</v>
      </c>
      <c r="AA32" s="78"/>
      <c r="AB32" s="16"/>
      <c r="AC32" s="16"/>
      <c r="AD32" s="16"/>
      <c r="AE32" s="16"/>
      <c r="AF32" s="78"/>
      <c r="AG32" s="84" t="s">
        <v>40</v>
      </c>
      <c r="AH32" s="78"/>
      <c r="AI32" s="84"/>
      <c r="AJ32" s="84"/>
      <c r="AK32" s="21"/>
      <c r="AL32" s="21"/>
      <c r="AM32" s="16"/>
      <c r="AN32" s="16"/>
      <c r="AO32" s="16"/>
      <c r="AP32" s="78"/>
      <c r="AQ32" s="84" t="s">
        <v>39</v>
      </c>
      <c r="AR32" s="78"/>
      <c r="AS32" s="78"/>
      <c r="AT32" s="100"/>
      <c r="AU32" s="100"/>
      <c r="AV32" s="100"/>
      <c r="AW32" s="104"/>
      <c r="AX32" s="104"/>
      <c r="AY32" s="104"/>
      <c r="AZ32" s="104"/>
    </row>
    <row r="33">
      <c r="A33" s="27" t="s">
        <v>229</v>
      </c>
      <c r="B33" s="28">
        <f t="shared" si="5"/>
        <v>1</v>
      </c>
      <c r="C33" s="10">
        <f t="shared" si="2"/>
        <v>1</v>
      </c>
      <c r="D33" s="11">
        <f t="array" ref="D33">SUM(IF(F33:AV33="R",1,0))</f>
        <v>1</v>
      </c>
      <c r="E33" s="11">
        <f t="array" ref="E33">SUM(IF(F33:AV33="R2",1,0))</f>
        <v>2</v>
      </c>
      <c r="F33" s="107"/>
      <c r="G33" s="107"/>
      <c r="H33" s="107"/>
      <c r="I33" s="108"/>
      <c r="J33" s="107"/>
      <c r="K33" s="109">
        <v>1.0</v>
      </c>
      <c r="L33" s="107"/>
      <c r="M33" s="109"/>
      <c r="N33" s="107"/>
      <c r="O33" s="110"/>
      <c r="P33" s="111" t="s">
        <v>63</v>
      </c>
      <c r="Q33" s="110"/>
      <c r="R33" s="110"/>
      <c r="S33" s="107"/>
      <c r="T33" s="109" t="s">
        <v>40</v>
      </c>
      <c r="U33" s="107"/>
      <c r="V33" s="109"/>
      <c r="W33" s="112"/>
      <c r="X33" s="112"/>
      <c r="Y33" s="111"/>
      <c r="Z33" s="112"/>
      <c r="AA33" s="110"/>
      <c r="AB33" s="107"/>
      <c r="AC33" s="107"/>
      <c r="AD33" s="107"/>
      <c r="AE33" s="109" t="s">
        <v>40</v>
      </c>
      <c r="AF33" s="110"/>
      <c r="AG33" s="112"/>
      <c r="AH33" s="111"/>
      <c r="AI33" s="112"/>
      <c r="AJ33" s="112"/>
      <c r="AK33" s="108"/>
      <c r="AL33" s="108"/>
      <c r="AM33" s="107"/>
      <c r="AN33" s="107"/>
      <c r="AO33" s="107"/>
      <c r="AP33" s="110"/>
      <c r="AQ33" s="112"/>
      <c r="AR33" s="110"/>
      <c r="AS33" s="110"/>
      <c r="AT33" s="100"/>
      <c r="AU33" s="100"/>
      <c r="AV33" s="100"/>
      <c r="AW33" s="104"/>
      <c r="AX33" s="104"/>
      <c r="AY33" s="104"/>
      <c r="AZ33" s="104"/>
    </row>
    <row r="34" hidden="1">
      <c r="A34" s="44" t="s">
        <v>292</v>
      </c>
      <c r="C34" s="10">
        <f t="shared" si="2"/>
        <v>0</v>
      </c>
      <c r="D34" s="11">
        <f t="array" ref="D34">SUM(IF(F34:AV34="R",1,0))</f>
        <v>0</v>
      </c>
      <c r="E34" s="11">
        <f t="array" ref="E34">SUM(IF(F34:AV34="R2",1,0))</f>
        <v>0</v>
      </c>
      <c r="F34" s="11"/>
      <c r="G34" s="80"/>
      <c r="H34" s="80"/>
      <c r="I34" s="80"/>
      <c r="J34" s="80"/>
      <c r="K34" s="11"/>
      <c r="L34" s="11"/>
      <c r="M34" s="11"/>
      <c r="N34" s="11"/>
      <c r="O34" s="11"/>
      <c r="P34" s="80"/>
      <c r="Q34" s="11"/>
      <c r="R34" s="80"/>
      <c r="S34" s="80"/>
      <c r="T34" s="11"/>
      <c r="U34" s="11"/>
      <c r="V34" s="11"/>
      <c r="W34" s="80"/>
      <c r="X34" s="11"/>
      <c r="Y34" s="11"/>
      <c r="Z34" s="80"/>
      <c r="AA34" s="11"/>
      <c r="AB34" s="11"/>
      <c r="AC34" s="80"/>
      <c r="AD34" s="11"/>
      <c r="AE34" s="80"/>
      <c r="AF34" s="80"/>
      <c r="AG34" s="11"/>
      <c r="AH34" s="80"/>
      <c r="AI34" s="80"/>
      <c r="AJ34" s="11"/>
      <c r="AK34" s="11"/>
      <c r="AL34" s="11"/>
      <c r="AM34" s="80"/>
      <c r="AN34" s="11"/>
      <c r="AO34" s="80"/>
      <c r="AP34" s="80"/>
      <c r="AQ34" s="11"/>
      <c r="AR34" s="80"/>
      <c r="AS34" s="11"/>
      <c r="AT34" s="97"/>
      <c r="AU34" s="96"/>
      <c r="AV34" s="97"/>
      <c r="AW34" s="96"/>
      <c r="AX34" s="96"/>
      <c r="AY34" s="96"/>
      <c r="AZ34" s="96"/>
    </row>
    <row r="35">
      <c r="A35" s="44" t="s">
        <v>337</v>
      </c>
      <c r="C35" s="10">
        <f t="shared" si="2"/>
        <v>1</v>
      </c>
      <c r="D35" s="11">
        <f t="array" ref="D35">SUM(IF(F35:AV35="R",1,0))</f>
        <v>2</v>
      </c>
      <c r="E35" s="11">
        <f t="array" ref="E35">SUM(IF(G35:AW35="R2",1,0))</f>
        <v>2</v>
      </c>
      <c r="F35" s="11"/>
      <c r="G35" s="80" t="s">
        <v>39</v>
      </c>
      <c r="H35" s="80"/>
      <c r="I35" s="80"/>
      <c r="J35" s="80"/>
      <c r="K35" s="80"/>
      <c r="L35" s="80"/>
      <c r="M35" s="11"/>
      <c r="N35" s="80">
        <v>1.0</v>
      </c>
      <c r="O35" s="11"/>
      <c r="P35" s="80"/>
      <c r="Q35" s="80"/>
      <c r="R35" s="80"/>
      <c r="S35" s="80"/>
      <c r="T35" s="80"/>
      <c r="U35" s="80" t="s">
        <v>40</v>
      </c>
      <c r="V35" s="80"/>
      <c r="W35" s="11"/>
      <c r="X35" s="80" t="s">
        <v>40</v>
      </c>
      <c r="Y35" s="80"/>
      <c r="Z35" s="11"/>
      <c r="AA35" s="11"/>
      <c r="AB35" s="80"/>
      <c r="AC35" s="11"/>
      <c r="AD35" s="11"/>
      <c r="AE35" s="80"/>
      <c r="AF35" s="80"/>
      <c r="AG35" s="11"/>
      <c r="AH35" s="11"/>
      <c r="AI35" s="11"/>
      <c r="AJ35" s="79"/>
      <c r="AK35" s="80" t="s">
        <v>63</v>
      </c>
      <c r="AL35" s="80"/>
      <c r="AM35" s="11"/>
      <c r="AN35" s="11"/>
      <c r="AO35" s="80"/>
      <c r="AP35" s="11"/>
      <c r="AQ35" s="80"/>
      <c r="AR35" s="11"/>
      <c r="AS35" s="11"/>
      <c r="AT35" s="96"/>
      <c r="AU35" s="97"/>
      <c r="AV35" s="97"/>
      <c r="AW35" s="96"/>
      <c r="AX35" s="96"/>
      <c r="AY35" s="96"/>
      <c r="AZ35" s="96"/>
    </row>
    <row r="36">
      <c r="A36" s="44" t="s">
        <v>338</v>
      </c>
      <c r="C36" s="10">
        <f t="shared" si="2"/>
        <v>1</v>
      </c>
      <c r="D36" s="11">
        <f t="array" ref="D36">SUM(IF(F36:AV36="R",1,0))</f>
        <v>0</v>
      </c>
      <c r="E36" s="11">
        <f t="array" ref="E36">SUM(IF(G36:AW36="R2",1,0))</f>
        <v>2</v>
      </c>
      <c r="F36" s="80"/>
      <c r="G36" s="80" t="s">
        <v>40</v>
      </c>
      <c r="H36" s="80"/>
      <c r="I36" s="80" t="s">
        <v>40</v>
      </c>
      <c r="J36" s="80"/>
      <c r="K36" s="11"/>
      <c r="L36" s="80"/>
      <c r="M36" s="80"/>
      <c r="N36" s="78"/>
      <c r="O36" s="11"/>
      <c r="P36" s="11"/>
      <c r="Q36" s="11"/>
      <c r="R36" s="80"/>
      <c r="S36" s="11"/>
      <c r="T36" s="80"/>
      <c r="U36" s="11"/>
      <c r="V36" s="11"/>
      <c r="W36" s="11"/>
      <c r="X36" s="80"/>
      <c r="Y36" s="11"/>
      <c r="Z36" s="80"/>
      <c r="AA36" s="11"/>
      <c r="AB36" s="11"/>
      <c r="AC36" s="11"/>
      <c r="AD36" s="80"/>
      <c r="AE36" s="80"/>
      <c r="AF36" s="80"/>
      <c r="AG36" s="11"/>
      <c r="AH36" s="11"/>
      <c r="AI36" s="11"/>
      <c r="AJ36" s="11"/>
      <c r="AK36" s="80"/>
      <c r="AL36" s="80"/>
      <c r="AM36" s="80"/>
      <c r="AN36" s="11"/>
      <c r="AO36" s="80">
        <v>1.0</v>
      </c>
      <c r="AP36" s="11"/>
      <c r="AQ36" s="80"/>
      <c r="AR36" s="80"/>
      <c r="AS36" s="11"/>
      <c r="AT36" s="96"/>
      <c r="AU36" s="96"/>
      <c r="AV36" s="97"/>
      <c r="AW36" s="96"/>
      <c r="AX36" s="96"/>
      <c r="AY36" s="96"/>
      <c r="AZ36" s="96"/>
    </row>
    <row r="37">
      <c r="A37" s="26" t="s">
        <v>46</v>
      </c>
      <c r="B37" s="10">
        <f>SUM(C37:D37)</f>
        <v>0</v>
      </c>
      <c r="C37" s="10">
        <f t="shared" si="2"/>
        <v>0</v>
      </c>
      <c r="D37" s="11">
        <f t="array" ref="D37">SUM(IF(F37:AV37="R",1,0))</f>
        <v>0</v>
      </c>
      <c r="E37" s="11">
        <f t="array" ref="E37">SUM(IF(F37:AV37="R2",1,0))</f>
        <v>0</v>
      </c>
      <c r="F37" s="78"/>
      <c r="G37" s="78"/>
      <c r="H37" s="78"/>
      <c r="I37" s="78"/>
      <c r="J37" s="78"/>
      <c r="K37" s="78"/>
      <c r="L37" s="78"/>
      <c r="M37" s="84"/>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91"/>
      <c r="AV37" s="91"/>
      <c r="AW37" s="90"/>
      <c r="AX37" s="90"/>
      <c r="AY37" s="90"/>
      <c r="AZ37" s="90"/>
    </row>
    <row r="38">
      <c r="A38" s="26" t="s">
        <v>419</v>
      </c>
      <c r="C38" s="10">
        <f t="shared" si="2"/>
        <v>2</v>
      </c>
      <c r="D38" s="11">
        <f t="array" ref="D38">SUM(IF(F38:AV38="R",1,0))</f>
        <v>2</v>
      </c>
      <c r="E38" s="11">
        <f t="array" ref="E38">SUM(IF(F38:AV38="R2",1,0))</f>
        <v>0</v>
      </c>
      <c r="F38" s="86"/>
      <c r="G38" s="113"/>
      <c r="H38" s="114"/>
      <c r="I38" s="113"/>
      <c r="J38" s="113"/>
      <c r="K38" s="113"/>
      <c r="L38" s="113"/>
      <c r="M38" s="115"/>
      <c r="N38" s="113"/>
      <c r="O38" s="113"/>
      <c r="P38" s="113"/>
      <c r="Q38" s="113"/>
      <c r="R38" s="113"/>
      <c r="S38" s="113"/>
      <c r="T38" s="113"/>
      <c r="U38" s="114">
        <v>1.0</v>
      </c>
      <c r="V38" s="113"/>
      <c r="W38" s="113"/>
      <c r="X38" s="113"/>
      <c r="Y38" s="113"/>
      <c r="Z38" s="113"/>
      <c r="AA38" s="113"/>
      <c r="AB38" s="114" t="s">
        <v>63</v>
      </c>
      <c r="AC38" s="113"/>
      <c r="AD38" s="113"/>
      <c r="AE38" s="113"/>
      <c r="AF38" s="113"/>
      <c r="AG38" s="114"/>
      <c r="AH38" s="113"/>
      <c r="AI38" s="114"/>
      <c r="AJ38" s="114" t="s">
        <v>63</v>
      </c>
      <c r="AK38" s="113"/>
      <c r="AL38" s="113"/>
      <c r="AM38" s="113"/>
      <c r="AN38" s="114">
        <v>1.0</v>
      </c>
      <c r="AO38" s="113"/>
      <c r="AP38" s="114"/>
      <c r="AQ38" s="114"/>
      <c r="AR38" s="114"/>
      <c r="AS38" s="114"/>
      <c r="AT38" s="116"/>
      <c r="AU38" s="116"/>
      <c r="AV38" s="116"/>
      <c r="AW38" s="11"/>
      <c r="AX38" s="11"/>
      <c r="AY38" s="11"/>
      <c r="AZ38" s="11"/>
    </row>
    <row r="39">
      <c r="A39" s="17" t="s">
        <v>68</v>
      </c>
      <c r="C39" s="10">
        <f t="shared" si="2"/>
        <v>40</v>
      </c>
      <c r="D39" s="11"/>
      <c r="E39" s="11"/>
      <c r="F39" s="28">
        <f t="shared" ref="F39:AZ39" si="6">SUM(F3:F38)</f>
        <v>1</v>
      </c>
      <c r="G39" s="28">
        <f t="shared" si="6"/>
        <v>1</v>
      </c>
      <c r="H39" s="28">
        <f t="shared" si="6"/>
        <v>1</v>
      </c>
      <c r="I39" s="28">
        <f t="shared" si="6"/>
        <v>1</v>
      </c>
      <c r="J39" s="28">
        <f t="shared" si="6"/>
        <v>1</v>
      </c>
      <c r="K39" s="28">
        <f t="shared" si="6"/>
        <v>1</v>
      </c>
      <c r="L39" s="28">
        <f t="shared" si="6"/>
        <v>1</v>
      </c>
      <c r="M39" s="28">
        <f t="shared" si="6"/>
        <v>1</v>
      </c>
      <c r="N39" s="28">
        <f t="shared" si="6"/>
        <v>1</v>
      </c>
      <c r="O39" s="28">
        <f t="shared" si="6"/>
        <v>1</v>
      </c>
      <c r="P39" s="28">
        <f t="shared" si="6"/>
        <v>1</v>
      </c>
      <c r="Q39" s="28">
        <f t="shared" si="6"/>
        <v>1</v>
      </c>
      <c r="R39" s="28">
        <f t="shared" si="6"/>
        <v>1</v>
      </c>
      <c r="S39" s="28">
        <f t="shared" si="6"/>
        <v>1</v>
      </c>
      <c r="T39" s="28">
        <f t="shared" si="6"/>
        <v>1</v>
      </c>
      <c r="U39" s="28">
        <f t="shared" si="6"/>
        <v>1</v>
      </c>
      <c r="V39" s="28">
        <f t="shared" si="6"/>
        <v>1</v>
      </c>
      <c r="W39" s="28">
        <f t="shared" si="6"/>
        <v>1</v>
      </c>
      <c r="X39" s="28">
        <f t="shared" si="6"/>
        <v>1</v>
      </c>
      <c r="Y39" s="28">
        <f t="shared" si="6"/>
        <v>1</v>
      </c>
      <c r="Z39" s="28">
        <f t="shared" si="6"/>
        <v>1</v>
      </c>
      <c r="AA39" s="28">
        <f t="shared" si="6"/>
        <v>1</v>
      </c>
      <c r="AB39" s="28">
        <f t="shared" si="6"/>
        <v>1</v>
      </c>
      <c r="AC39" s="28">
        <f t="shared" si="6"/>
        <v>1</v>
      </c>
      <c r="AD39" s="28">
        <f t="shared" si="6"/>
        <v>1</v>
      </c>
      <c r="AE39" s="28">
        <f t="shared" si="6"/>
        <v>1</v>
      </c>
      <c r="AF39" s="28">
        <f t="shared" si="6"/>
        <v>1</v>
      </c>
      <c r="AG39" s="28">
        <f t="shared" si="6"/>
        <v>1</v>
      </c>
      <c r="AH39" s="28">
        <f t="shared" si="6"/>
        <v>1</v>
      </c>
      <c r="AI39" s="28">
        <f t="shared" si="6"/>
        <v>1</v>
      </c>
      <c r="AJ39" s="28">
        <f t="shared" si="6"/>
        <v>1</v>
      </c>
      <c r="AK39" s="28">
        <f t="shared" si="6"/>
        <v>1</v>
      </c>
      <c r="AL39" s="28">
        <f t="shared" si="6"/>
        <v>1</v>
      </c>
      <c r="AM39" s="28">
        <f t="shared" si="6"/>
        <v>1</v>
      </c>
      <c r="AN39" s="28">
        <f t="shared" si="6"/>
        <v>1</v>
      </c>
      <c r="AO39" s="28">
        <f t="shared" si="6"/>
        <v>1</v>
      </c>
      <c r="AP39" s="28">
        <f t="shared" si="6"/>
        <v>1</v>
      </c>
      <c r="AQ39" s="28">
        <f t="shared" si="6"/>
        <v>1</v>
      </c>
      <c r="AR39" s="28">
        <f t="shared" si="6"/>
        <v>1</v>
      </c>
      <c r="AS39" s="28">
        <f t="shared" si="6"/>
        <v>1</v>
      </c>
      <c r="AT39" s="28">
        <f t="shared" si="6"/>
        <v>0</v>
      </c>
      <c r="AU39" s="28">
        <f t="shared" si="6"/>
        <v>0</v>
      </c>
      <c r="AV39" s="28">
        <f t="shared" si="6"/>
        <v>0</v>
      </c>
      <c r="AW39" s="28">
        <f t="shared" si="6"/>
        <v>0</v>
      </c>
      <c r="AX39" s="28">
        <f t="shared" si="6"/>
        <v>0</v>
      </c>
      <c r="AY39" s="28">
        <f t="shared" si="6"/>
        <v>0</v>
      </c>
      <c r="AZ39" s="28">
        <f t="shared" si="6"/>
        <v>0</v>
      </c>
    </row>
    <row r="40">
      <c r="A40" s="17" t="s">
        <v>69</v>
      </c>
      <c r="C40" s="10">
        <f t="shared" si="2"/>
        <v>40</v>
      </c>
      <c r="D40" s="11"/>
      <c r="E40" s="11"/>
      <c r="F40" s="11">
        <f t="array" ref="F40">SUM(IF(F3:F38="R",1,0))</f>
        <v>1</v>
      </c>
      <c r="G40" s="11">
        <f t="array" ref="G40">SUM(IF(G3:G38="R",1,0))</f>
        <v>1</v>
      </c>
      <c r="H40" s="11">
        <f t="array" ref="H40">SUM(IF(H3:H38="R",1,0))</f>
        <v>1</v>
      </c>
      <c r="I40" s="11">
        <f t="array" ref="I40">SUM(IF(I3:I38="R",1,0))</f>
        <v>1</v>
      </c>
      <c r="J40" s="11">
        <f t="array" ref="J40">SUM(IF(J3:J38="R",1,0))</f>
        <v>1</v>
      </c>
      <c r="K40" s="11">
        <f t="array" ref="K40">SUM(IF(K3:K38="R",1,0))</f>
        <v>1</v>
      </c>
      <c r="L40" s="11">
        <f t="array" ref="L40">SUM(IF(L3:L38="R",1,0))</f>
        <v>1</v>
      </c>
      <c r="M40" s="11">
        <f t="array" ref="M40">SUM(IF(M3:M38="R",1,0))</f>
        <v>1</v>
      </c>
      <c r="N40" s="11">
        <f t="array" ref="N40">SUM(IF(N3:N38="R",1,0))</f>
        <v>1</v>
      </c>
      <c r="O40" s="11">
        <f t="array" ref="O40">SUM(IF(O3:O38="R",1,0))</f>
        <v>1</v>
      </c>
      <c r="P40" s="11">
        <f t="array" ref="P40">SUM(IF(P3:P38="R",1,0))</f>
        <v>1</v>
      </c>
      <c r="Q40" s="11">
        <f t="array" ref="Q40">SUM(IF(Q3:Q38="R",1,0))</f>
        <v>1</v>
      </c>
      <c r="R40" s="11">
        <f t="array" ref="R40">SUM(IF(R3:R38="R",1,0))</f>
        <v>1</v>
      </c>
      <c r="S40" s="11">
        <f t="array" ref="S40">SUM(IF(S3:S38="R",1,0))</f>
        <v>1</v>
      </c>
      <c r="T40" s="11">
        <f t="array" ref="T40">SUM(IF(T3:T38="R",1,0))</f>
        <v>1</v>
      </c>
      <c r="U40" s="11">
        <f t="array" ref="U40">SUM(IF(U3:U38="R",1,0))</f>
        <v>1</v>
      </c>
      <c r="V40" s="11">
        <f t="array" ref="V40">SUM(IF(V3:V38="R",1,0))</f>
        <v>1</v>
      </c>
      <c r="W40" s="11">
        <f t="array" ref="W40">SUM(IF(W3:W38="R",1,0))</f>
        <v>1</v>
      </c>
      <c r="X40" s="11">
        <f t="array" ref="X40">SUM(IF(X3:X38="R",1,0))</f>
        <v>1</v>
      </c>
      <c r="Y40" s="11">
        <f t="array" ref="Y40">SUM(IF(Y3:Y38="R",1,0))</f>
        <v>1</v>
      </c>
      <c r="Z40" s="11">
        <f t="array" ref="Z40">SUM(IF(Z3:Z38="R",1,0))</f>
        <v>1</v>
      </c>
      <c r="AA40" s="11">
        <f t="array" ref="AA40">SUM(IF(AA3:AA38="R",1,0))</f>
        <v>1</v>
      </c>
      <c r="AB40" s="11">
        <f t="array" ref="AB40">SUM(IF(AB3:AB38="R",1,0))</f>
        <v>1</v>
      </c>
      <c r="AC40" s="11">
        <f t="array" ref="AC40">SUM(IF(AC3:AC38="R",1,0))</f>
        <v>1</v>
      </c>
      <c r="AD40" s="11">
        <f t="array" ref="AD40">SUM(IF(AD3:AD38="R",1,0))</f>
        <v>1</v>
      </c>
      <c r="AE40" s="11">
        <f t="array" ref="AE40">SUM(IF(AE3:AE38="R",1,0))</f>
        <v>1</v>
      </c>
      <c r="AF40" s="11">
        <f t="array" ref="AF40">SUM(IF(AF3:AF38="R",1,0))</f>
        <v>1</v>
      </c>
      <c r="AG40" s="11">
        <f t="array" ref="AG40">SUM(IF(AG3:AG38="R",1,0))</f>
        <v>1</v>
      </c>
      <c r="AH40" s="11">
        <f t="array" ref="AH40">SUM(IF(AH3:AH38="R",1,0))</f>
        <v>1</v>
      </c>
      <c r="AI40" s="11">
        <f t="array" ref="AI40">SUM(IF(AI3:AI38="R",1,0))</f>
        <v>1</v>
      </c>
      <c r="AJ40" s="11">
        <f t="array" ref="AJ40">SUM(IF(AJ3:AJ38="R",1,0))</f>
        <v>1</v>
      </c>
      <c r="AK40" s="11">
        <f t="array" ref="AK40">SUM(IF(AK3:AK38="R",1,0))</f>
        <v>1</v>
      </c>
      <c r="AL40" s="11">
        <f t="array" ref="AL40">SUM(IF(AL3:AL38="R",1,0))</f>
        <v>1</v>
      </c>
      <c r="AM40" s="11">
        <f t="array" ref="AM40">SUM(IF(AM3:AM38="R",1,0))</f>
        <v>1</v>
      </c>
      <c r="AN40" s="11">
        <f t="array" ref="AN40">SUM(IF(AN3:AN38="R",1,0))</f>
        <v>1</v>
      </c>
      <c r="AO40" s="11">
        <f t="array" ref="AO40">SUM(IF(AO3:AO38="R",1,0))</f>
        <v>1</v>
      </c>
      <c r="AP40" s="11">
        <f t="array" ref="AP40">SUM(IF(AP3:AP38="R",1,0))</f>
        <v>1</v>
      </c>
      <c r="AQ40" s="11">
        <f t="array" ref="AQ40">SUM(IF(AQ3:AQ38="R",1,0))</f>
        <v>1</v>
      </c>
      <c r="AR40" s="11">
        <f t="array" ref="AR40">SUM(IF(AR3:AR38="R",1,0))</f>
        <v>1</v>
      </c>
      <c r="AS40" s="11">
        <f t="array" ref="AS40">SUM(IF(AS3:AS38="R",1,0))</f>
        <v>1</v>
      </c>
      <c r="AT40" s="11">
        <f t="array" ref="AT40">SUM(IF(AT3:AT38="R",1,0))</f>
        <v>0</v>
      </c>
      <c r="AU40" s="11">
        <f t="array" ref="AU40">SUM(IF(AU3:AU38="R",1,0))</f>
        <v>0</v>
      </c>
      <c r="AV40" s="11">
        <f t="array" ref="AV40">SUM(IF(AV3:AV38="R",1,0))</f>
        <v>0</v>
      </c>
      <c r="AW40" s="11">
        <f t="array" ref="AW40">SUM(IF(AW3:AW38="R",1,0))</f>
        <v>0</v>
      </c>
      <c r="AX40" s="11">
        <f t="array" ref="AX40">SUM(IF(AX3:AX38="R",1,0))</f>
        <v>0</v>
      </c>
      <c r="AY40" s="11">
        <f t="array" ref="AY40">SUM(IF(AY3:AY38="R",1,0))</f>
        <v>0</v>
      </c>
      <c r="AZ40" s="11">
        <f t="array" ref="AZ40">SUM(IF(AZ3:AZ38="R",1,0))</f>
        <v>0</v>
      </c>
    </row>
    <row r="41">
      <c r="A41" s="17" t="s">
        <v>70</v>
      </c>
      <c r="C41" s="10">
        <f t="shared" si="2"/>
        <v>40</v>
      </c>
      <c r="D41" s="11"/>
      <c r="E41" s="11"/>
      <c r="F41" s="11">
        <f t="array" ref="F41">SUM(IF(F3:F38="R2",1,0))</f>
        <v>1</v>
      </c>
      <c r="G41" s="11">
        <f t="array" ref="G41">SUM(IF(G3:G38="R2",1,0))</f>
        <v>1</v>
      </c>
      <c r="H41" s="11">
        <f t="array" ref="H41">SUM(IF(H3:H38="R2",1,0))</f>
        <v>1</v>
      </c>
      <c r="I41" s="11">
        <f t="array" ref="I41">SUM(IF(I3:I38="R2",1,0))</f>
        <v>1</v>
      </c>
      <c r="J41" s="11">
        <f t="array" ref="J41">SUM(IF(J3:J38="R2",1,0))</f>
        <v>1</v>
      </c>
      <c r="K41" s="11">
        <f t="array" ref="K41">SUM(IF(K3:K38="R2",1,0))</f>
        <v>1</v>
      </c>
      <c r="L41" s="11">
        <f t="array" ref="L41">SUM(IF(L3:L38="R2",1,0))</f>
        <v>1</v>
      </c>
      <c r="M41" s="11">
        <f t="array" ref="M41">SUM(IF(M3:M38="R2",1,0))</f>
        <v>1</v>
      </c>
      <c r="N41" s="11">
        <f t="array" ref="N41">SUM(IF(N3:N38="R2",1,0))</f>
        <v>1</v>
      </c>
      <c r="O41" s="11">
        <f t="array" ref="O41">SUM(IF(O3:O38="R2",1,0))</f>
        <v>1</v>
      </c>
      <c r="P41" s="11">
        <f t="array" ref="P41">SUM(IF(P3:P38="R2",1,0))</f>
        <v>1</v>
      </c>
      <c r="Q41" s="11">
        <f t="array" ref="Q41">SUM(IF(Q3:Q38="R2",1,0))</f>
        <v>1</v>
      </c>
      <c r="R41" s="11">
        <f t="array" ref="R41">SUM(IF(R3:R38="R2",1,0))</f>
        <v>1</v>
      </c>
      <c r="S41" s="11">
        <f t="array" ref="S41">SUM(IF(S3:S38="R2",1,0))</f>
        <v>1</v>
      </c>
      <c r="T41" s="11">
        <f t="array" ref="T41">SUM(IF(T3:T38="R2",1,0))</f>
        <v>1</v>
      </c>
      <c r="U41" s="11">
        <f t="array" ref="U41">SUM(IF(U3:U38="R2",1,0))</f>
        <v>1</v>
      </c>
      <c r="V41" s="11">
        <f t="array" ref="V41">SUM(IF(V3:V38="R2",1,0))</f>
        <v>1</v>
      </c>
      <c r="W41" s="11">
        <f t="array" ref="W41">SUM(IF(W3:W38="R2",1,0))</f>
        <v>1</v>
      </c>
      <c r="X41" s="11">
        <f t="array" ref="X41">SUM(IF(X3:X38="R2",1,0))</f>
        <v>1</v>
      </c>
      <c r="Y41" s="11">
        <f t="array" ref="Y41">SUM(IF(Y3:Y38="R2",1,0))</f>
        <v>1</v>
      </c>
      <c r="Z41" s="11">
        <f t="array" ref="Z41">SUM(IF(Z3:Z38="R2",1,0))</f>
        <v>1</v>
      </c>
      <c r="AA41" s="11">
        <f t="array" ref="AA41">SUM(IF(AA3:AA38="R2",1,0))</f>
        <v>1</v>
      </c>
      <c r="AB41" s="11">
        <f t="array" ref="AB41">SUM(IF(AB3:AB38="R2",1,0))</f>
        <v>1</v>
      </c>
      <c r="AC41" s="11">
        <f t="array" ref="AC41">SUM(IF(AC3:AC38="R2",1,0))</f>
        <v>1</v>
      </c>
      <c r="AD41" s="11">
        <f t="array" ref="AD41">SUM(IF(AD3:AD38="R2",1,0))</f>
        <v>1</v>
      </c>
      <c r="AE41" s="11">
        <f t="array" ref="AE41">SUM(IF(AE3:AE38="R2",1,0))</f>
        <v>1</v>
      </c>
      <c r="AF41" s="11">
        <f t="array" ref="AF41">SUM(IF(AF3:AF38="R2",1,0))</f>
        <v>1</v>
      </c>
      <c r="AG41" s="11">
        <f t="array" ref="AG41">SUM(IF(AG3:AG38="R2",1,0))</f>
        <v>1</v>
      </c>
      <c r="AH41" s="11">
        <f t="array" ref="AH41">SUM(IF(AH3:AH38="R2",1,0))</f>
        <v>1</v>
      </c>
      <c r="AI41" s="11">
        <f t="array" ref="AI41">SUM(IF(AI3:AI38="R2",1,0))</f>
        <v>1</v>
      </c>
      <c r="AJ41" s="11">
        <f t="array" ref="AJ41">SUM(IF(AJ3:AJ38="R2",1,0))</f>
        <v>1</v>
      </c>
      <c r="AK41" s="11">
        <f t="array" ref="AK41">SUM(IF(AK3:AK38="R2",1,0))</f>
        <v>1</v>
      </c>
      <c r="AL41" s="11">
        <f t="array" ref="AL41">SUM(IF(AL3:AL38="R2",1,0))</f>
        <v>1</v>
      </c>
      <c r="AM41" s="11">
        <f t="array" ref="AM41">SUM(IF(AM3:AM38="R2",1,0))</f>
        <v>1</v>
      </c>
      <c r="AN41" s="11">
        <f t="array" ref="AN41">SUM(IF(AN3:AN38="R2",1,0))</f>
        <v>1</v>
      </c>
      <c r="AO41" s="11">
        <f t="array" ref="AO41">SUM(IF(AO3:AO38="R2",1,0))</f>
        <v>1</v>
      </c>
      <c r="AP41" s="11">
        <f t="array" ref="AP41">SUM(IF(AP3:AP38="R2",1,0))</f>
        <v>1</v>
      </c>
      <c r="AQ41" s="11">
        <f t="array" ref="AQ41">SUM(IF(AQ3:AQ38="R2",1,0))</f>
        <v>1</v>
      </c>
      <c r="AR41" s="11">
        <f t="array" ref="AR41">SUM(IF(AR3:AR38="R2",1,0))</f>
        <v>1</v>
      </c>
      <c r="AS41" s="11">
        <f t="array" ref="AS41">SUM(IF(AS3:AS38="R2",1,0))</f>
        <v>1</v>
      </c>
      <c r="AT41" s="11">
        <f t="array" ref="AT41">SUM(IF(AT3:AT38="R2",1,0))</f>
        <v>0</v>
      </c>
      <c r="AU41" s="11">
        <f t="array" ref="AU41">SUM(IF(AU3:AU38="R2",1,0))</f>
        <v>0</v>
      </c>
      <c r="AV41" s="11">
        <f t="array" ref="AV41">SUM(IF(AV3:AV38="R2",1,0))</f>
        <v>0</v>
      </c>
      <c r="AW41" s="11">
        <f t="array" ref="AW41">SUM(IF(AW3:AW38="R2",1,0))</f>
        <v>0</v>
      </c>
      <c r="AX41" s="11">
        <f t="array" ref="AX41">SUM(IF(AX3:AX38="R2",1,0))</f>
        <v>0</v>
      </c>
      <c r="AY41" s="11">
        <f t="array" ref="AY41">SUM(IF(AY3:AY38="R2",1,0))</f>
        <v>0</v>
      </c>
      <c r="AZ41" s="11">
        <f t="array" ref="AZ41">SUM(IF(AZ3:AZ38="R2",1,0))</f>
        <v>0</v>
      </c>
    </row>
    <row r="42">
      <c r="E42" s="46" t="s">
        <v>71</v>
      </c>
      <c r="F42" s="29" t="str">
        <f t="shared" ref="F42:V42" si="7">IFERROR(INDEX($A$3:$A$38, MATCH(1, INDEX($F$3:$AV$38, 0, MATCH(F2, $F$2:$AV$2, 0)), 0)), INDEX($A$3:$A$38, MATCH(1, INDEX($F$3:$AV$38, 0, MATCH(F2&amp;" AM", $F$2:$AV$2, 0)), 0)))</f>
        <v>REC RUI FENG</v>
      </c>
      <c r="G42" s="29" t="str">
        <f t="shared" si="7"/>
        <v>PTE ANISH</v>
      </c>
      <c r="H42" s="29" t="str">
        <f t="shared" si="7"/>
        <v>LCP DYLAN</v>
      </c>
      <c r="I42" s="29" t="str">
        <f t="shared" si="7"/>
        <v>PTE JEREMIAH</v>
      </c>
      <c r="J42" s="29" t="str">
        <f t="shared" si="7"/>
        <v>LCP EZRA</v>
      </c>
      <c r="K42" s="29" t="str">
        <f t="shared" si="7"/>
        <v>PTE GABRIEL</v>
      </c>
      <c r="L42" s="29" t="str">
        <f t="shared" si="7"/>
        <v>CPL FIRMAN</v>
      </c>
      <c r="M42" s="29" t="str">
        <f t="shared" si="7"/>
        <v>PTE RYAN</v>
      </c>
      <c r="N42" s="29" t="str">
        <f t="shared" si="7"/>
        <v>PTE NATHAN</v>
      </c>
      <c r="O42" s="29" t="str">
        <f t="shared" si="7"/>
        <v>PTE ANISH</v>
      </c>
      <c r="P42" s="29" t="str">
        <f t="shared" si="7"/>
        <v>PTE SYAFIQ</v>
      </c>
      <c r="Q42" s="29" t="str">
        <f t="shared" si="7"/>
        <v>PTE AFIF</v>
      </c>
      <c r="R42" s="29" t="str">
        <f t="shared" si="7"/>
        <v>PTE JEREMIAH</v>
      </c>
      <c r="S42" s="29" t="str">
        <f t="shared" si="7"/>
        <v>PTE BRYAN</v>
      </c>
      <c r="T42" s="29" t="str">
        <f t="shared" si="7"/>
        <v>PTE BARATHAN</v>
      </c>
      <c r="U42" s="29" t="str">
        <f t="shared" si="7"/>
        <v>PTE  HILAL</v>
      </c>
      <c r="V42" s="29" t="str">
        <f t="shared" si="7"/>
        <v>PTE RYAN</v>
      </c>
      <c r="W42" s="29" t="str">
        <f t="shared" ref="W42:AC42" si="8">IFERROR(INDEX($A$3:$A$38, MATCH(1, INDEX($F$3:$AV$38, 0, MATCH(W2, $F$2:$AV$2, 0)), 0)), INDEX($A$3:$A$38, MATCH(1, INDEX($F$3:$AV$38, 0, MATCH(X2&amp;" AM", $F$2:$AV$2, 0)), 0)))</f>
        <v>CPL KRISHAN</v>
      </c>
      <c r="X42" s="29" t="str">
        <f t="shared" si="8"/>
        <v>PTE KAI JIE</v>
      </c>
      <c r="Y42" s="29" t="str">
        <f t="shared" si="8"/>
        <v>PTE SYAFIQ</v>
      </c>
      <c r="Z42" s="29" t="str">
        <f t="shared" si="8"/>
        <v>REC ASH</v>
      </c>
      <c r="AA42" s="29" t="str">
        <f t="shared" si="8"/>
        <v>PTE RYAN T</v>
      </c>
      <c r="AB42" s="29" t="str">
        <f t="shared" si="8"/>
        <v>PTE BRYAN</v>
      </c>
      <c r="AC42" s="29" t="str">
        <f t="shared" si="8"/>
        <v>LCP SURIA</v>
      </c>
      <c r="AD42" s="29" t="str">
        <f t="shared" ref="AD42:AZ42" si="9">IFERROR(INDEX($A$3:$A$38, MATCH(1, INDEX($F$3:$AV$38, 0, MATCH(AD2, $F$2:$AV$2, 0)), 0)), INDEX($A$3:$A$38, MATCH(1, INDEX($F$3:$AV$38, 0, MATCH(AD2&amp;" AM", $F$2:$AV$2, 0)), 0)))</f>
        <v>PTE PARAM</v>
      </c>
      <c r="AE42" s="29" t="str">
        <f t="shared" si="9"/>
        <v>LCP NICO</v>
      </c>
      <c r="AF42" s="29" t="str">
        <f t="shared" si="9"/>
        <v>PTE BARATHAN</v>
      </c>
      <c r="AG42" s="29" t="str">
        <f t="shared" si="9"/>
        <v>PTE RYAN T</v>
      </c>
      <c r="AH42" s="29" t="str">
        <f t="shared" si="9"/>
        <v>PTE DARRYL</v>
      </c>
      <c r="AI42" s="29" t="str">
        <f t="shared" si="9"/>
        <v>PTE BARATHAN</v>
      </c>
      <c r="AJ42" s="29" t="str">
        <f t="shared" si="9"/>
        <v>LCP MITCHELL</v>
      </c>
      <c r="AK42" s="29" t="str">
        <f t="shared" si="9"/>
        <v>PTE KAI JIE</v>
      </c>
      <c r="AL42" s="29" t="str">
        <f t="shared" si="9"/>
        <v>PTE BRYAN</v>
      </c>
      <c r="AM42" s="29" t="str">
        <f t="shared" si="9"/>
        <v>LCP JERRYL</v>
      </c>
      <c r="AN42" s="29" t="str">
        <f t="shared" si="9"/>
        <v>PTE  HILAL</v>
      </c>
      <c r="AO42" s="29" t="str">
        <f t="shared" si="9"/>
        <v>PTE SUSHIL</v>
      </c>
      <c r="AP42" s="29" t="str">
        <f t="shared" si="9"/>
        <v>PTE INDRA</v>
      </c>
      <c r="AQ42" s="29" t="str">
        <f t="shared" si="9"/>
        <v>PTE DARRYL</v>
      </c>
      <c r="AR42" s="29" t="str">
        <f t="shared" si="9"/>
        <v>PTE CLARENCE</v>
      </c>
      <c r="AS42" s="29" t="str">
        <f t="shared" si="9"/>
        <v>LCP ISAAC</v>
      </c>
      <c r="AT42" s="29" t="str">
        <f t="shared" si="9"/>
        <v>#N/A</v>
      </c>
      <c r="AU42" s="29" t="str">
        <f t="shared" si="9"/>
        <v>#N/A</v>
      </c>
      <c r="AV42" s="29" t="str">
        <f t="shared" si="9"/>
        <v>#N/A</v>
      </c>
      <c r="AW42" s="29" t="str">
        <f t="shared" si="9"/>
        <v>#N/A</v>
      </c>
      <c r="AX42" s="29" t="str">
        <f t="shared" si="9"/>
        <v>#N/A</v>
      </c>
      <c r="AY42" s="29" t="str">
        <f t="shared" si="9"/>
        <v>#N/A</v>
      </c>
      <c r="AZ42" s="29" t="str">
        <f t="shared" si="9"/>
        <v>#N/A</v>
      </c>
    </row>
    <row r="43">
      <c r="E43" s="46" t="s">
        <v>72</v>
      </c>
      <c r="F43" s="28" t="str">
        <f t="shared" ref="F43:AZ43" si="10">INDEX($A$3:$A$38, MATCH("R", INDEX($F$3:$AV$38, 0, MATCH(F2, $F$2:$AV$2, 0)), 0))</f>
        <v>LCP NICO</v>
      </c>
      <c r="G43" s="28" t="str">
        <f t="shared" si="10"/>
        <v>PTE NATHAN</v>
      </c>
      <c r="H43" s="28" t="str">
        <f t="shared" si="10"/>
        <v>LCP JERRYL</v>
      </c>
      <c r="I43" s="28" t="str">
        <f t="shared" si="10"/>
        <v>LCP NICO</v>
      </c>
      <c r="J43" s="28" t="str">
        <f t="shared" si="10"/>
        <v>PTE BRYAN</v>
      </c>
      <c r="K43" s="28" t="str">
        <f t="shared" si="10"/>
        <v>PTE BARATHAN</v>
      </c>
      <c r="L43" s="28" t="str">
        <f t="shared" si="10"/>
        <v>PTE BRYAN</v>
      </c>
      <c r="M43" s="28" t="str">
        <f t="shared" si="10"/>
        <v>LCP JERRYL</v>
      </c>
      <c r="N43" s="28" t="str">
        <f t="shared" si="10"/>
        <v>LCP ISAAC</v>
      </c>
      <c r="O43" s="28" t="str">
        <f t="shared" si="10"/>
        <v>PTE INDRA</v>
      </c>
      <c r="P43" s="28" t="str">
        <f t="shared" si="10"/>
        <v>PTE GABRIEL</v>
      </c>
      <c r="Q43" s="28" t="str">
        <f t="shared" si="10"/>
        <v>LCP ISAAC</v>
      </c>
      <c r="R43" s="28" t="str">
        <f t="shared" si="10"/>
        <v>PTE KAI JIE</v>
      </c>
      <c r="S43" s="28" t="str">
        <f t="shared" si="10"/>
        <v>PTE SYAFIQ</v>
      </c>
      <c r="T43" s="28" t="str">
        <f t="shared" si="10"/>
        <v>PTE AFIF</v>
      </c>
      <c r="U43" s="28" t="str">
        <f t="shared" si="10"/>
        <v>PTE SYAFIQ</v>
      </c>
      <c r="V43" s="28" t="str">
        <f t="shared" si="10"/>
        <v>PTE RYAN T</v>
      </c>
      <c r="W43" s="28" t="str">
        <f t="shared" si="10"/>
        <v>LCP MITCHELL</v>
      </c>
      <c r="X43" s="28" t="str">
        <f t="shared" si="10"/>
        <v>PTE ANISH</v>
      </c>
      <c r="Y43" s="28" t="str">
        <f t="shared" si="10"/>
        <v>PTE DARRYL</v>
      </c>
      <c r="Z43" s="28" t="str">
        <f t="shared" si="10"/>
        <v>CPL KRISHAN</v>
      </c>
      <c r="AA43" s="28" t="str">
        <f t="shared" si="10"/>
        <v>PTE DARRYL</v>
      </c>
      <c r="AB43" s="28" t="str">
        <f t="shared" si="10"/>
        <v>PTE  HILAL</v>
      </c>
      <c r="AC43" s="28" t="str">
        <f t="shared" si="10"/>
        <v>PTE AFIF</v>
      </c>
      <c r="AD43" s="28" t="str">
        <f t="shared" si="10"/>
        <v>PTE RYAN</v>
      </c>
      <c r="AE43" s="28" t="str">
        <f t="shared" si="10"/>
        <v>CPL KRISHAN</v>
      </c>
      <c r="AF43" s="28" t="str">
        <f t="shared" si="10"/>
        <v>PTE CLARENCE</v>
      </c>
      <c r="AG43" s="28" t="str">
        <f t="shared" si="10"/>
        <v>PTE ANISH</v>
      </c>
      <c r="AH43" s="28" t="str">
        <f t="shared" si="10"/>
        <v>LCP DYLAN</v>
      </c>
      <c r="AI43" s="28" t="str">
        <f t="shared" si="10"/>
        <v>PTE JEREMIAH</v>
      </c>
      <c r="AJ43" s="28" t="str">
        <f t="shared" si="10"/>
        <v>PTE  HILAL</v>
      </c>
      <c r="AK43" s="28" t="str">
        <f t="shared" si="10"/>
        <v>PTE NATHAN</v>
      </c>
      <c r="AL43" s="28" t="str">
        <f t="shared" si="10"/>
        <v>LCP EZRA</v>
      </c>
      <c r="AM43" s="28" t="str">
        <f t="shared" si="10"/>
        <v>PTE CLARENCE</v>
      </c>
      <c r="AN43" s="28" t="str">
        <f t="shared" si="10"/>
        <v>CPL FIRMAN</v>
      </c>
      <c r="AO43" s="28" t="str">
        <f t="shared" si="10"/>
        <v>PTE RYAN</v>
      </c>
      <c r="AP43" s="28" t="str">
        <f t="shared" si="10"/>
        <v>LCP EZRA</v>
      </c>
      <c r="AQ43" s="28" t="str">
        <f t="shared" si="10"/>
        <v>REC ASH</v>
      </c>
      <c r="AR43" s="28" t="str">
        <f t="shared" si="10"/>
        <v>PTE KAI JIE</v>
      </c>
      <c r="AS43" s="28" t="str">
        <f t="shared" si="10"/>
        <v>PTE JEREMIAH</v>
      </c>
      <c r="AT43" s="28" t="str">
        <f t="shared" si="10"/>
        <v>#N/A</v>
      </c>
      <c r="AU43" s="28" t="str">
        <f t="shared" si="10"/>
        <v>#N/A</v>
      </c>
      <c r="AV43" s="28" t="str">
        <f t="shared" si="10"/>
        <v>#N/A</v>
      </c>
      <c r="AW43" s="28" t="str">
        <f t="shared" si="10"/>
        <v>#N/A</v>
      </c>
      <c r="AX43" s="28" t="str">
        <f t="shared" si="10"/>
        <v>#N/A</v>
      </c>
      <c r="AY43" s="28" t="str">
        <f t="shared" si="10"/>
        <v>#N/A</v>
      </c>
      <c r="AZ43" s="28" t="str">
        <f t="shared" si="10"/>
        <v>#N/A</v>
      </c>
    </row>
    <row r="44">
      <c r="A44" s="17" t="s">
        <v>232</v>
      </c>
      <c r="C44" s="49">
        <f>COUNTA($F$1:$AS1)</f>
        <v>40</v>
      </c>
      <c r="E44" s="46" t="s">
        <v>70</v>
      </c>
      <c r="F44" s="30" t="str">
        <f t="shared" ref="F44:AZ44" si="11">INDEX($A$3:$A$38, MATCH("R2", INDEX($F$3:$AV$38, 0, MATCH(F2, $F$2:$AV$2, 0)), 0))</f>
        <v>LCP JERRYL</v>
      </c>
      <c r="G44" s="30" t="str">
        <f t="shared" si="11"/>
        <v>PTE SUSHIL</v>
      </c>
      <c r="H44" s="30" t="str">
        <f t="shared" si="11"/>
        <v>PTE BARATHAN</v>
      </c>
      <c r="I44" s="30" t="str">
        <f t="shared" si="11"/>
        <v>PTE SUSHIL</v>
      </c>
      <c r="J44" s="30" t="str">
        <f t="shared" si="11"/>
        <v>LCP JERRYL</v>
      </c>
      <c r="K44" s="30" t="str">
        <f t="shared" si="11"/>
        <v>PTE AFIF</v>
      </c>
      <c r="L44" s="30" t="str">
        <f t="shared" si="11"/>
        <v>LCP ISAAC</v>
      </c>
      <c r="M44" s="30" t="str">
        <f t="shared" si="11"/>
        <v>PTE SYAFIQ</v>
      </c>
      <c r="N44" s="30" t="str">
        <f t="shared" si="11"/>
        <v>LCP EZRA</v>
      </c>
      <c r="O44" s="30" t="str">
        <f t="shared" si="11"/>
        <v>LCP SURIA</v>
      </c>
      <c r="P44" s="30" t="str">
        <f t="shared" si="11"/>
        <v>PTE DARRYL</v>
      </c>
      <c r="Q44" s="30" t="str">
        <f t="shared" si="11"/>
        <v>PTE RYAN</v>
      </c>
      <c r="R44" s="30" t="str">
        <f t="shared" si="11"/>
        <v>LCP MITCHELL</v>
      </c>
      <c r="S44" s="30" t="str">
        <f t="shared" si="11"/>
        <v>PTE DARRYL</v>
      </c>
      <c r="T44" s="30" t="str">
        <f t="shared" si="11"/>
        <v>PTE GABRIEL</v>
      </c>
      <c r="U44" s="30" t="str">
        <f t="shared" si="11"/>
        <v>PTE NATHAN</v>
      </c>
      <c r="V44" s="30" t="str">
        <f t="shared" si="11"/>
        <v>PTE AFIF</v>
      </c>
      <c r="W44" s="30" t="str">
        <f t="shared" si="11"/>
        <v>PTE SYAFIQ</v>
      </c>
      <c r="X44" s="30" t="str">
        <f t="shared" si="11"/>
        <v>PTE NATHAN</v>
      </c>
      <c r="Y44" s="30" t="str">
        <f t="shared" si="11"/>
        <v>PTE INDRA</v>
      </c>
      <c r="Z44" s="30" t="str">
        <f t="shared" si="11"/>
        <v>PTE RYAN</v>
      </c>
      <c r="AA44" s="30" t="str">
        <f t="shared" si="11"/>
        <v>PTE CLARENCE</v>
      </c>
      <c r="AB44" s="30" t="str">
        <f t="shared" si="11"/>
        <v>REC RUI FENG</v>
      </c>
      <c r="AC44" s="30" t="str">
        <f t="shared" si="11"/>
        <v>PTE CLARENCE</v>
      </c>
      <c r="AD44" s="30" t="str">
        <f t="shared" si="11"/>
        <v>PTE JEREMIAH</v>
      </c>
      <c r="AE44" s="30" t="str">
        <f t="shared" si="11"/>
        <v>PTE GABRIEL</v>
      </c>
      <c r="AF44" s="30" t="str">
        <f t="shared" si="11"/>
        <v>PTE KAI JIE</v>
      </c>
      <c r="AG44" s="30" t="str">
        <f t="shared" si="11"/>
        <v>REC ASH</v>
      </c>
      <c r="AH44" s="30" t="str">
        <f t="shared" si="11"/>
        <v>CPL KRISHAN</v>
      </c>
      <c r="AI44" s="30" t="str">
        <f t="shared" si="11"/>
        <v>LCP ISAAC</v>
      </c>
      <c r="AJ44" s="30" t="str">
        <f t="shared" si="11"/>
        <v>LCP NICO</v>
      </c>
      <c r="AK44" s="30" t="str">
        <f t="shared" si="11"/>
        <v>PTE RYAN T</v>
      </c>
      <c r="AL44" s="30" t="str">
        <f t="shared" si="11"/>
        <v>LCP DYLAN</v>
      </c>
      <c r="AM44" s="30" t="str">
        <f t="shared" si="11"/>
        <v>PTE JEREMIAH</v>
      </c>
      <c r="AN44" s="30" t="str">
        <f t="shared" si="11"/>
        <v>PTE PARAM</v>
      </c>
      <c r="AO44" s="30" t="str">
        <f t="shared" si="11"/>
        <v>LCP DYLAN</v>
      </c>
      <c r="AP44" s="30" t="str">
        <f t="shared" si="11"/>
        <v>PTE KAI JIE</v>
      </c>
      <c r="AQ44" s="30" t="str">
        <f t="shared" si="11"/>
        <v>PTE ANISH</v>
      </c>
      <c r="AR44" s="30" t="str">
        <f t="shared" si="11"/>
        <v>LCP NICO</v>
      </c>
      <c r="AS44" s="30" t="str">
        <f t="shared" si="11"/>
        <v>PTE ANISH</v>
      </c>
      <c r="AT44" s="30" t="str">
        <f t="shared" si="11"/>
        <v>#N/A</v>
      </c>
      <c r="AU44" s="30" t="str">
        <f t="shared" si="11"/>
        <v>#N/A</v>
      </c>
      <c r="AV44" s="30" t="str">
        <f t="shared" si="11"/>
        <v>#N/A</v>
      </c>
      <c r="AW44" s="30" t="str">
        <f t="shared" si="11"/>
        <v>#N/A</v>
      </c>
      <c r="AX44" s="30" t="str">
        <f t="shared" si="11"/>
        <v>#N/A</v>
      </c>
      <c r="AY44" s="30" t="str">
        <f t="shared" si="11"/>
        <v>#N/A</v>
      </c>
      <c r="AZ44" s="30" t="str">
        <f t="shared" si="11"/>
        <v>#N/A</v>
      </c>
    </row>
    <row r="45">
      <c r="A45" s="17" t="s">
        <v>154</v>
      </c>
      <c r="C45" s="50">
        <f>SUBTOTAL(103, $A$3:$A$38)
</f>
        <v>30</v>
      </c>
      <c r="H45" s="31"/>
    </row>
    <row r="46">
      <c r="H46" s="31"/>
    </row>
    <row r="47">
      <c r="H47" s="31"/>
    </row>
    <row r="48">
      <c r="A48" s="26" t="s">
        <v>118</v>
      </c>
      <c r="H48" s="31"/>
    </row>
    <row r="49">
      <c r="A49" s="25" t="s">
        <v>119</v>
      </c>
      <c r="H49" s="31"/>
    </row>
    <row r="50">
      <c r="A50" s="22" t="s">
        <v>120</v>
      </c>
      <c r="H50" s="31"/>
    </row>
    <row r="51">
      <c r="A51" s="20" t="s">
        <v>121</v>
      </c>
      <c r="H51" s="31"/>
    </row>
    <row r="52">
      <c r="A52" s="23" t="s">
        <v>122</v>
      </c>
      <c r="H52" s="31"/>
    </row>
    <row r="53">
      <c r="A53" s="14" t="s">
        <v>123</v>
      </c>
      <c r="H53" s="31"/>
    </row>
    <row r="54">
      <c r="A54" s="9" t="s">
        <v>125</v>
      </c>
      <c r="H54" s="31"/>
    </row>
    <row r="55">
      <c r="A55" s="44" t="s">
        <v>126</v>
      </c>
      <c r="C55" s="31"/>
      <c r="H55" s="31"/>
    </row>
    <row r="56">
      <c r="A56" s="62" t="s">
        <v>203</v>
      </c>
      <c r="H56" s="31"/>
    </row>
    <row r="57">
      <c r="A57" s="70" t="s">
        <v>233</v>
      </c>
      <c r="H57" s="31"/>
    </row>
    <row r="58">
      <c r="A58" s="69" t="s">
        <v>234</v>
      </c>
      <c r="H58" s="31"/>
    </row>
    <row r="59">
      <c r="A59" s="27" t="s">
        <v>124</v>
      </c>
      <c r="H59" s="31"/>
    </row>
    <row r="60">
      <c r="H60" s="31"/>
    </row>
    <row r="61">
      <c r="H61" s="31"/>
    </row>
    <row r="62">
      <c r="H62" s="31"/>
    </row>
    <row r="63">
      <c r="H63" s="31"/>
    </row>
    <row r="64">
      <c r="H64" s="31"/>
    </row>
    <row r="65">
      <c r="H65" s="31"/>
    </row>
    <row r="66">
      <c r="H66" s="31"/>
    </row>
    <row r="67">
      <c r="H67" s="31"/>
    </row>
    <row r="68">
      <c r="H68" s="31"/>
    </row>
    <row r="69">
      <c r="H69" s="31"/>
    </row>
    <row r="70">
      <c r="H70" s="31"/>
    </row>
    <row r="71">
      <c r="H71" s="31"/>
    </row>
    <row r="72">
      <c r="H72" s="31"/>
    </row>
    <row r="73">
      <c r="H73" s="31"/>
    </row>
    <row r="74">
      <c r="H74" s="31"/>
    </row>
    <row r="75">
      <c r="H75" s="31"/>
    </row>
    <row r="76">
      <c r="H76" s="31"/>
    </row>
    <row r="77">
      <c r="H77" s="31"/>
    </row>
    <row r="78">
      <c r="H78" s="31"/>
    </row>
    <row r="79">
      <c r="H79" s="31"/>
    </row>
    <row r="80">
      <c r="H80" s="31"/>
    </row>
    <row r="81">
      <c r="H81" s="31"/>
    </row>
    <row r="82">
      <c r="H82" s="31"/>
    </row>
    <row r="83">
      <c r="H83" s="31"/>
    </row>
    <row r="84">
      <c r="H84" s="31"/>
    </row>
    <row r="85">
      <c r="H85" s="31"/>
    </row>
    <row r="86">
      <c r="H86" s="31"/>
    </row>
    <row r="87">
      <c r="H87" s="31"/>
    </row>
    <row r="88">
      <c r="H88" s="31"/>
    </row>
    <row r="89">
      <c r="H89" s="31"/>
    </row>
    <row r="90">
      <c r="H90" s="31"/>
    </row>
    <row r="91">
      <c r="H91" s="31"/>
    </row>
    <row r="92">
      <c r="H92" s="31"/>
    </row>
    <row r="93">
      <c r="H93" s="31"/>
    </row>
    <row r="94">
      <c r="H94" s="31"/>
    </row>
    <row r="95">
      <c r="H95" s="31"/>
    </row>
    <row r="96">
      <c r="H96" s="31"/>
    </row>
    <row r="97">
      <c r="H97" s="31"/>
    </row>
    <row r="98">
      <c r="H98" s="31"/>
    </row>
    <row r="99">
      <c r="H99" s="31"/>
    </row>
    <row r="100">
      <c r="H100" s="31"/>
    </row>
    <row r="101">
      <c r="H101" s="31"/>
    </row>
    <row r="102">
      <c r="H102" s="31"/>
    </row>
    <row r="103">
      <c r="H103" s="31"/>
    </row>
    <row r="104">
      <c r="H104" s="31"/>
    </row>
    <row r="105">
      <c r="H105" s="31"/>
    </row>
    <row r="106">
      <c r="H106" s="31"/>
    </row>
    <row r="107">
      <c r="H107" s="31"/>
    </row>
    <row r="108">
      <c r="H108" s="31"/>
    </row>
    <row r="109">
      <c r="H109" s="31"/>
    </row>
    <row r="110">
      <c r="H110" s="31"/>
    </row>
    <row r="111">
      <c r="H111" s="31"/>
    </row>
    <row r="112">
      <c r="H112" s="31"/>
    </row>
    <row r="113">
      <c r="H113" s="31"/>
    </row>
    <row r="114">
      <c r="H114" s="31"/>
    </row>
    <row r="115">
      <c r="H115" s="31"/>
    </row>
    <row r="116">
      <c r="H116" s="31"/>
    </row>
    <row r="117">
      <c r="H117" s="31"/>
    </row>
    <row r="118">
      <c r="H118" s="31"/>
    </row>
    <row r="119">
      <c r="H119" s="31"/>
    </row>
    <row r="120">
      <c r="H120" s="31"/>
    </row>
    <row r="121">
      <c r="H121" s="31"/>
    </row>
    <row r="122">
      <c r="H122" s="31"/>
    </row>
    <row r="123">
      <c r="H123" s="31"/>
    </row>
    <row r="124">
      <c r="H124" s="31"/>
    </row>
    <row r="125">
      <c r="H125" s="31"/>
    </row>
    <row r="126">
      <c r="H126" s="31"/>
    </row>
    <row r="127">
      <c r="H127" s="31"/>
    </row>
    <row r="128">
      <c r="H128" s="31"/>
    </row>
    <row r="129">
      <c r="H129" s="31"/>
    </row>
    <row r="130">
      <c r="H130" s="31"/>
    </row>
    <row r="131">
      <c r="H131" s="31"/>
    </row>
    <row r="132">
      <c r="H132" s="31"/>
    </row>
    <row r="133">
      <c r="H133" s="31"/>
    </row>
    <row r="134">
      <c r="H134" s="31"/>
    </row>
    <row r="135">
      <c r="H135" s="31"/>
    </row>
    <row r="136">
      <c r="H136" s="31"/>
    </row>
    <row r="137">
      <c r="H137" s="31"/>
    </row>
    <row r="138">
      <c r="H138" s="31"/>
    </row>
    <row r="139">
      <c r="H139" s="31"/>
    </row>
    <row r="140">
      <c r="H140" s="31"/>
    </row>
    <row r="141">
      <c r="H141" s="31"/>
    </row>
    <row r="142">
      <c r="H142" s="31"/>
    </row>
    <row r="143">
      <c r="H143" s="31"/>
    </row>
    <row r="144">
      <c r="H144" s="31"/>
    </row>
    <row r="145">
      <c r="H145" s="31"/>
    </row>
    <row r="146">
      <c r="H146" s="31"/>
    </row>
    <row r="147">
      <c r="H147" s="31"/>
    </row>
    <row r="148">
      <c r="H148" s="31"/>
    </row>
    <row r="149">
      <c r="H149" s="31"/>
    </row>
    <row r="150">
      <c r="H150" s="31"/>
    </row>
    <row r="151">
      <c r="H151" s="31"/>
    </row>
    <row r="152">
      <c r="H152" s="31"/>
    </row>
    <row r="153">
      <c r="H153" s="31"/>
    </row>
    <row r="154">
      <c r="H154" s="31"/>
    </row>
    <row r="155">
      <c r="H155" s="31"/>
    </row>
    <row r="156">
      <c r="H156" s="31"/>
    </row>
    <row r="157">
      <c r="H157" s="31"/>
    </row>
    <row r="158">
      <c r="H158" s="31"/>
    </row>
    <row r="159">
      <c r="H159" s="31"/>
    </row>
    <row r="160">
      <c r="H160" s="31"/>
    </row>
    <row r="161">
      <c r="H161" s="31"/>
    </row>
    <row r="162">
      <c r="H162" s="31"/>
    </row>
    <row r="163">
      <c r="H163" s="31"/>
    </row>
    <row r="164">
      <c r="H164" s="31"/>
    </row>
    <row r="165">
      <c r="H165" s="31"/>
    </row>
    <row r="166">
      <c r="H166" s="31"/>
    </row>
    <row r="167">
      <c r="H167" s="31"/>
    </row>
    <row r="168">
      <c r="H168" s="31"/>
    </row>
    <row r="169">
      <c r="H169" s="31"/>
    </row>
    <row r="170">
      <c r="H170" s="31"/>
    </row>
    <row r="171">
      <c r="H171" s="31"/>
    </row>
    <row r="172">
      <c r="H172" s="31"/>
    </row>
    <row r="173">
      <c r="H173" s="31"/>
    </row>
    <row r="174">
      <c r="H174" s="31"/>
    </row>
    <row r="175">
      <c r="H175" s="31"/>
    </row>
    <row r="176">
      <c r="H176" s="31"/>
    </row>
    <row r="177">
      <c r="H177" s="31"/>
    </row>
    <row r="178">
      <c r="H178" s="31"/>
    </row>
    <row r="179">
      <c r="H179" s="31"/>
    </row>
    <row r="180">
      <c r="H180" s="31"/>
    </row>
    <row r="181">
      <c r="H181" s="31"/>
    </row>
    <row r="182">
      <c r="H182" s="31"/>
    </row>
    <row r="183">
      <c r="H183" s="31"/>
    </row>
    <row r="184">
      <c r="H184" s="31"/>
    </row>
    <row r="185">
      <c r="H185" s="31"/>
    </row>
    <row r="186">
      <c r="H186" s="31"/>
    </row>
    <row r="187">
      <c r="H187" s="31"/>
    </row>
    <row r="188">
      <c r="H188" s="31"/>
    </row>
    <row r="189">
      <c r="H189" s="31"/>
    </row>
    <row r="190">
      <c r="H190" s="31"/>
    </row>
    <row r="191">
      <c r="H191" s="31"/>
    </row>
    <row r="192">
      <c r="H192" s="31"/>
    </row>
    <row r="193">
      <c r="H193" s="31"/>
    </row>
    <row r="194">
      <c r="H194" s="31"/>
    </row>
    <row r="195">
      <c r="H195" s="31"/>
    </row>
    <row r="196">
      <c r="H196" s="31"/>
    </row>
    <row r="197">
      <c r="H197" s="31"/>
    </row>
    <row r="198">
      <c r="H198" s="31"/>
    </row>
    <row r="199">
      <c r="H199" s="31"/>
    </row>
    <row r="200">
      <c r="H200" s="31"/>
    </row>
    <row r="201">
      <c r="H201" s="31"/>
    </row>
    <row r="202">
      <c r="H202" s="31"/>
    </row>
    <row r="203">
      <c r="H203" s="31"/>
    </row>
    <row r="204">
      <c r="H204" s="31"/>
    </row>
    <row r="205">
      <c r="H205" s="31"/>
    </row>
    <row r="206">
      <c r="H206" s="31"/>
    </row>
    <row r="207">
      <c r="H207" s="31"/>
    </row>
    <row r="208">
      <c r="H208" s="31"/>
    </row>
    <row r="209">
      <c r="H209" s="31"/>
    </row>
    <row r="210">
      <c r="H210" s="31"/>
    </row>
    <row r="211">
      <c r="H211" s="31"/>
    </row>
    <row r="212">
      <c r="H212" s="31"/>
    </row>
    <row r="213">
      <c r="H213" s="31"/>
    </row>
    <row r="214">
      <c r="H214" s="31"/>
    </row>
    <row r="215">
      <c r="H215" s="31"/>
    </row>
    <row r="216">
      <c r="H216" s="31"/>
    </row>
    <row r="217">
      <c r="H217" s="31"/>
    </row>
    <row r="218">
      <c r="H218" s="31"/>
    </row>
    <row r="219">
      <c r="H219" s="31"/>
    </row>
    <row r="220">
      <c r="H220" s="31"/>
    </row>
    <row r="221">
      <c r="H221" s="31"/>
    </row>
    <row r="222">
      <c r="H222" s="31"/>
    </row>
    <row r="223">
      <c r="H223" s="31"/>
    </row>
    <row r="224">
      <c r="H224" s="31"/>
    </row>
    <row r="225">
      <c r="H225" s="31"/>
    </row>
    <row r="226">
      <c r="H226" s="31"/>
    </row>
    <row r="227">
      <c r="H227" s="31"/>
    </row>
    <row r="228">
      <c r="H228" s="31"/>
    </row>
    <row r="229">
      <c r="H229" s="31"/>
    </row>
    <row r="230">
      <c r="H230" s="31"/>
    </row>
    <row r="231">
      <c r="H231" s="31"/>
    </row>
    <row r="232">
      <c r="H232" s="31"/>
    </row>
    <row r="233">
      <c r="H233" s="31"/>
    </row>
    <row r="234">
      <c r="H234" s="31"/>
    </row>
    <row r="235">
      <c r="H235" s="31"/>
    </row>
    <row r="236">
      <c r="H236" s="31"/>
    </row>
    <row r="237">
      <c r="H237" s="31"/>
    </row>
    <row r="238">
      <c r="H238" s="31"/>
    </row>
    <row r="239">
      <c r="H239" s="31"/>
    </row>
    <row r="240">
      <c r="H240" s="31"/>
    </row>
    <row r="241">
      <c r="H241" s="31"/>
    </row>
    <row r="242">
      <c r="H242" s="31"/>
    </row>
    <row r="243">
      <c r="H243" s="31"/>
    </row>
    <row r="244">
      <c r="H244" s="31"/>
    </row>
    <row r="245">
      <c r="H245" s="31"/>
    </row>
    <row r="246">
      <c r="H246" s="31"/>
    </row>
    <row r="247">
      <c r="H247" s="31"/>
    </row>
    <row r="248">
      <c r="H248" s="31"/>
    </row>
    <row r="249">
      <c r="H249" s="31"/>
    </row>
    <row r="250">
      <c r="H250" s="31"/>
    </row>
    <row r="251">
      <c r="H251" s="31"/>
    </row>
    <row r="252">
      <c r="H252" s="31"/>
    </row>
    <row r="253">
      <c r="H253" s="31"/>
    </row>
    <row r="254">
      <c r="H254" s="31"/>
    </row>
    <row r="255">
      <c r="H255" s="31"/>
    </row>
    <row r="256">
      <c r="H256" s="31"/>
    </row>
    <row r="257">
      <c r="H257" s="31"/>
    </row>
    <row r="258">
      <c r="H258" s="31"/>
    </row>
    <row r="259">
      <c r="H259" s="31"/>
    </row>
    <row r="260">
      <c r="H260" s="31"/>
    </row>
    <row r="261">
      <c r="H261" s="31"/>
    </row>
    <row r="262">
      <c r="H262" s="31"/>
    </row>
    <row r="263">
      <c r="H263" s="31"/>
    </row>
    <row r="264">
      <c r="H264" s="31"/>
    </row>
    <row r="265">
      <c r="H265" s="31"/>
    </row>
    <row r="266">
      <c r="H266" s="31"/>
    </row>
    <row r="267">
      <c r="H267" s="31"/>
    </row>
    <row r="268">
      <c r="H268" s="31"/>
    </row>
    <row r="269">
      <c r="H269" s="31"/>
    </row>
    <row r="270">
      <c r="H270" s="31"/>
    </row>
    <row r="271">
      <c r="H271" s="31"/>
    </row>
    <row r="272">
      <c r="H272" s="31"/>
    </row>
    <row r="273">
      <c r="H273" s="31"/>
    </row>
    <row r="274">
      <c r="H274" s="31"/>
    </row>
    <row r="275">
      <c r="H275" s="31"/>
    </row>
    <row r="276">
      <c r="H276" s="31"/>
    </row>
    <row r="277">
      <c r="H277" s="31"/>
    </row>
    <row r="278">
      <c r="H278" s="31"/>
    </row>
    <row r="279">
      <c r="H279" s="31"/>
    </row>
    <row r="280">
      <c r="H280" s="31"/>
    </row>
    <row r="281">
      <c r="H281" s="31"/>
    </row>
    <row r="282">
      <c r="H282" s="31"/>
    </row>
    <row r="283">
      <c r="H283" s="31"/>
    </row>
    <row r="284">
      <c r="H284" s="31"/>
    </row>
    <row r="285">
      <c r="H285" s="31"/>
    </row>
    <row r="286">
      <c r="H286" s="31"/>
    </row>
    <row r="287">
      <c r="H287" s="31"/>
    </row>
    <row r="288">
      <c r="H288" s="31"/>
    </row>
    <row r="289">
      <c r="H289" s="31"/>
    </row>
    <row r="290">
      <c r="H290" s="31"/>
    </row>
    <row r="291">
      <c r="H291" s="31"/>
    </row>
    <row r="292">
      <c r="H292" s="31"/>
    </row>
    <row r="293">
      <c r="H293" s="31"/>
    </row>
    <row r="294">
      <c r="H294" s="31"/>
    </row>
    <row r="295">
      <c r="H295" s="31"/>
    </row>
    <row r="296">
      <c r="H296" s="31"/>
    </row>
    <row r="297">
      <c r="H297" s="31"/>
    </row>
    <row r="298">
      <c r="H298" s="31"/>
    </row>
    <row r="299">
      <c r="H299" s="31"/>
    </row>
    <row r="300">
      <c r="H300" s="31"/>
    </row>
    <row r="301">
      <c r="H301" s="31"/>
    </row>
    <row r="302">
      <c r="H302" s="31"/>
    </row>
    <row r="303">
      <c r="H303" s="31"/>
    </row>
    <row r="304">
      <c r="H304" s="31"/>
    </row>
    <row r="305">
      <c r="H305" s="31"/>
    </row>
    <row r="306">
      <c r="H306" s="31"/>
    </row>
    <row r="307">
      <c r="H307" s="31"/>
    </row>
    <row r="308">
      <c r="H308" s="31"/>
    </row>
    <row r="309">
      <c r="H309" s="31"/>
    </row>
    <row r="310">
      <c r="H310" s="31"/>
    </row>
    <row r="311">
      <c r="H311" s="31"/>
    </row>
    <row r="312">
      <c r="H312" s="31"/>
    </row>
    <row r="313">
      <c r="H313" s="31"/>
    </row>
    <row r="314">
      <c r="H314" s="31"/>
    </row>
    <row r="315">
      <c r="H315" s="31"/>
    </row>
    <row r="316">
      <c r="H316" s="31"/>
    </row>
    <row r="317">
      <c r="H317" s="31"/>
    </row>
    <row r="318">
      <c r="H318" s="31"/>
    </row>
    <row r="319">
      <c r="H319" s="31"/>
    </row>
    <row r="320">
      <c r="H320" s="31"/>
    </row>
    <row r="321">
      <c r="H321" s="31"/>
    </row>
    <row r="322">
      <c r="H322" s="31"/>
    </row>
    <row r="323">
      <c r="H323" s="31"/>
    </row>
    <row r="324">
      <c r="H324" s="31"/>
    </row>
    <row r="325">
      <c r="H325" s="31"/>
    </row>
    <row r="326">
      <c r="H326" s="31"/>
    </row>
    <row r="327">
      <c r="H327" s="31"/>
    </row>
    <row r="328">
      <c r="H328" s="31"/>
    </row>
    <row r="329">
      <c r="H329" s="31"/>
    </row>
    <row r="330">
      <c r="H330" s="31"/>
    </row>
    <row r="331">
      <c r="H331" s="31"/>
    </row>
    <row r="332">
      <c r="H332" s="31"/>
    </row>
    <row r="333">
      <c r="H333" s="31"/>
    </row>
    <row r="334">
      <c r="H334" s="31"/>
    </row>
    <row r="335">
      <c r="H335" s="31"/>
    </row>
    <row r="336">
      <c r="H336" s="31"/>
    </row>
    <row r="337">
      <c r="H337" s="31"/>
    </row>
    <row r="338">
      <c r="H338" s="31"/>
    </row>
    <row r="339">
      <c r="H339" s="31"/>
    </row>
    <row r="340">
      <c r="H340" s="31"/>
    </row>
    <row r="341">
      <c r="H341" s="31"/>
    </row>
    <row r="342">
      <c r="H342" s="31"/>
    </row>
    <row r="343">
      <c r="H343" s="31"/>
    </row>
    <row r="344">
      <c r="H344" s="31"/>
    </row>
    <row r="345">
      <c r="H345" s="31"/>
    </row>
    <row r="346">
      <c r="H346" s="31"/>
    </row>
    <row r="347">
      <c r="H347" s="31"/>
    </row>
    <row r="348">
      <c r="H348" s="31"/>
    </row>
    <row r="349">
      <c r="H349" s="31"/>
    </row>
    <row r="350">
      <c r="H350" s="31"/>
    </row>
    <row r="351">
      <c r="H351" s="31"/>
    </row>
    <row r="352">
      <c r="H352" s="31"/>
    </row>
    <row r="353">
      <c r="H353" s="31"/>
    </row>
    <row r="354">
      <c r="H354" s="31"/>
    </row>
    <row r="355">
      <c r="H355" s="31"/>
    </row>
    <row r="356">
      <c r="H356" s="31"/>
    </row>
    <row r="357">
      <c r="H357" s="31"/>
    </row>
    <row r="358">
      <c r="H358" s="31"/>
    </row>
    <row r="359">
      <c r="H359" s="31"/>
    </row>
    <row r="360">
      <c r="H360" s="31"/>
    </row>
    <row r="361">
      <c r="H361" s="31"/>
    </row>
    <row r="362">
      <c r="H362" s="31"/>
    </row>
    <row r="363">
      <c r="H363" s="31"/>
    </row>
    <row r="364">
      <c r="H364" s="31"/>
    </row>
    <row r="365">
      <c r="H365" s="31"/>
    </row>
    <row r="366">
      <c r="H366" s="31"/>
    </row>
    <row r="367">
      <c r="H367" s="31"/>
    </row>
    <row r="368">
      <c r="H368" s="31"/>
    </row>
    <row r="369">
      <c r="H369" s="31"/>
    </row>
    <row r="370">
      <c r="H370" s="31"/>
    </row>
    <row r="371">
      <c r="H371" s="31"/>
    </row>
    <row r="372">
      <c r="H372" s="31"/>
    </row>
    <row r="373">
      <c r="H373" s="31"/>
    </row>
    <row r="374">
      <c r="H374" s="31"/>
    </row>
    <row r="375">
      <c r="H375" s="31"/>
    </row>
    <row r="376">
      <c r="H376" s="31"/>
    </row>
    <row r="377">
      <c r="H377" s="31"/>
    </row>
    <row r="378">
      <c r="H378" s="31"/>
    </row>
    <row r="379">
      <c r="H379" s="31"/>
    </row>
    <row r="380">
      <c r="H380" s="31"/>
    </row>
    <row r="381">
      <c r="H381" s="31"/>
    </row>
    <row r="382">
      <c r="H382" s="31"/>
    </row>
    <row r="383">
      <c r="H383" s="31"/>
    </row>
    <row r="384">
      <c r="H384" s="31"/>
    </row>
    <row r="385">
      <c r="H385" s="31"/>
    </row>
    <row r="386">
      <c r="H386" s="31"/>
    </row>
    <row r="387">
      <c r="H387" s="31"/>
    </row>
    <row r="388">
      <c r="H388" s="31"/>
    </row>
    <row r="389">
      <c r="H389" s="31"/>
    </row>
    <row r="390">
      <c r="H390" s="31"/>
    </row>
    <row r="391">
      <c r="H391" s="31"/>
    </row>
    <row r="392">
      <c r="H392" s="31"/>
    </row>
    <row r="393">
      <c r="H393" s="31"/>
    </row>
    <row r="394">
      <c r="H394" s="31"/>
    </row>
    <row r="395">
      <c r="H395" s="31"/>
    </row>
    <row r="396">
      <c r="H396" s="31"/>
    </row>
    <row r="397">
      <c r="H397" s="31"/>
    </row>
    <row r="398">
      <c r="H398" s="31"/>
    </row>
    <row r="399">
      <c r="H399" s="31"/>
    </row>
    <row r="400">
      <c r="H400" s="31"/>
    </row>
    <row r="401">
      <c r="H401" s="31"/>
    </row>
    <row r="402">
      <c r="H402" s="31"/>
    </row>
    <row r="403">
      <c r="H403" s="31"/>
    </row>
    <row r="404">
      <c r="H404" s="31"/>
    </row>
    <row r="405">
      <c r="H405" s="31"/>
    </row>
    <row r="406">
      <c r="H406" s="31"/>
    </row>
    <row r="407">
      <c r="H407" s="31"/>
    </row>
    <row r="408">
      <c r="H408" s="31"/>
    </row>
    <row r="409">
      <c r="H409" s="31"/>
    </row>
    <row r="410">
      <c r="H410" s="31"/>
    </row>
    <row r="411">
      <c r="H411" s="31"/>
    </row>
    <row r="412">
      <c r="H412" s="31"/>
    </row>
    <row r="413">
      <c r="H413" s="31"/>
    </row>
    <row r="414">
      <c r="H414" s="31"/>
    </row>
    <row r="415">
      <c r="H415" s="31"/>
    </row>
    <row r="416">
      <c r="H416" s="31"/>
    </row>
    <row r="417">
      <c r="H417" s="31"/>
    </row>
    <row r="418">
      <c r="H418" s="31"/>
    </row>
    <row r="419">
      <c r="H419" s="31"/>
    </row>
    <row r="420">
      <c r="H420" s="31"/>
    </row>
    <row r="421">
      <c r="H421" s="31"/>
    </row>
    <row r="422">
      <c r="H422" s="31"/>
    </row>
    <row r="423">
      <c r="H423" s="31"/>
    </row>
    <row r="424">
      <c r="H424" s="31"/>
    </row>
    <row r="425">
      <c r="H425" s="31"/>
    </row>
    <row r="426">
      <c r="H426" s="31"/>
    </row>
    <row r="427">
      <c r="H427" s="31"/>
    </row>
    <row r="428">
      <c r="H428" s="31"/>
    </row>
    <row r="429">
      <c r="H429" s="31"/>
    </row>
    <row r="430">
      <c r="H430" s="31"/>
    </row>
    <row r="431">
      <c r="H431" s="31"/>
    </row>
    <row r="432">
      <c r="H432" s="31"/>
    </row>
    <row r="433">
      <c r="H433" s="31"/>
    </row>
    <row r="434">
      <c r="H434" s="31"/>
    </row>
    <row r="435">
      <c r="H435" s="31"/>
    </row>
    <row r="436">
      <c r="H436" s="31"/>
    </row>
    <row r="437">
      <c r="H437" s="31"/>
    </row>
    <row r="438">
      <c r="H438" s="31"/>
    </row>
    <row r="439">
      <c r="H439" s="31"/>
    </row>
    <row r="440">
      <c r="H440" s="31"/>
    </row>
    <row r="441">
      <c r="H441" s="31"/>
    </row>
    <row r="442">
      <c r="H442" s="31"/>
    </row>
    <row r="443">
      <c r="H443" s="31"/>
    </row>
    <row r="444">
      <c r="H444" s="31"/>
    </row>
    <row r="445">
      <c r="H445" s="31"/>
    </row>
    <row r="446">
      <c r="H446" s="31"/>
    </row>
    <row r="447">
      <c r="H447" s="31"/>
    </row>
    <row r="448">
      <c r="H448" s="31"/>
    </row>
    <row r="449">
      <c r="H449" s="31"/>
    </row>
    <row r="450">
      <c r="H450" s="31"/>
    </row>
    <row r="451">
      <c r="H451" s="31"/>
    </row>
    <row r="452">
      <c r="H452" s="31"/>
    </row>
    <row r="453">
      <c r="H453" s="31"/>
    </row>
    <row r="454">
      <c r="H454" s="31"/>
    </row>
    <row r="455">
      <c r="H455" s="31"/>
    </row>
    <row r="456">
      <c r="H456" s="31"/>
    </row>
    <row r="457">
      <c r="H457" s="31"/>
    </row>
    <row r="458">
      <c r="H458" s="31"/>
    </row>
    <row r="459">
      <c r="H459" s="31"/>
    </row>
    <row r="460">
      <c r="H460" s="31"/>
    </row>
    <row r="461">
      <c r="H461" s="31"/>
    </row>
    <row r="462">
      <c r="H462" s="31"/>
    </row>
    <row r="463">
      <c r="H463" s="31"/>
    </row>
    <row r="464">
      <c r="H464" s="31"/>
    </row>
    <row r="465">
      <c r="H465" s="31"/>
    </row>
    <row r="466">
      <c r="H466" s="31"/>
    </row>
    <row r="467">
      <c r="H467" s="31"/>
    </row>
    <row r="468">
      <c r="H468" s="31"/>
    </row>
    <row r="469">
      <c r="H469" s="31"/>
    </row>
    <row r="470">
      <c r="H470" s="31"/>
    </row>
    <row r="471">
      <c r="H471" s="31"/>
    </row>
    <row r="472">
      <c r="H472" s="31"/>
    </row>
    <row r="473">
      <c r="H473" s="31"/>
    </row>
    <row r="474">
      <c r="H474" s="31"/>
    </row>
    <row r="475">
      <c r="H475" s="31"/>
    </row>
    <row r="476">
      <c r="H476" s="31"/>
    </row>
    <row r="477">
      <c r="H477" s="31"/>
    </row>
    <row r="478">
      <c r="H478" s="31"/>
    </row>
    <row r="479">
      <c r="H479" s="31"/>
    </row>
    <row r="480">
      <c r="H480" s="31"/>
    </row>
    <row r="481">
      <c r="H481" s="31"/>
    </row>
    <row r="482">
      <c r="H482" s="31"/>
    </row>
    <row r="483">
      <c r="H483" s="31"/>
    </row>
    <row r="484">
      <c r="H484" s="31"/>
    </row>
    <row r="485">
      <c r="H485" s="31"/>
    </row>
    <row r="486">
      <c r="H486" s="31"/>
    </row>
    <row r="487">
      <c r="H487" s="31"/>
    </row>
    <row r="488">
      <c r="H488" s="31"/>
    </row>
    <row r="489">
      <c r="H489" s="31"/>
    </row>
    <row r="490">
      <c r="H490" s="31"/>
    </row>
    <row r="491">
      <c r="H491" s="31"/>
    </row>
    <row r="492">
      <c r="H492" s="31"/>
    </row>
    <row r="493">
      <c r="H493" s="31"/>
    </row>
    <row r="494">
      <c r="H494" s="31"/>
    </row>
    <row r="495">
      <c r="H495" s="31"/>
    </row>
    <row r="496">
      <c r="H496" s="31"/>
    </row>
    <row r="497">
      <c r="H497" s="31"/>
    </row>
    <row r="498">
      <c r="H498" s="31"/>
    </row>
    <row r="499">
      <c r="H499" s="31"/>
    </row>
    <row r="500">
      <c r="H500" s="31"/>
    </row>
    <row r="501">
      <c r="H501" s="31"/>
    </row>
    <row r="502">
      <c r="H502" s="31"/>
    </row>
    <row r="503">
      <c r="H503" s="31"/>
    </row>
    <row r="504">
      <c r="H504" s="31"/>
    </row>
    <row r="505">
      <c r="H505" s="31"/>
    </row>
    <row r="506">
      <c r="H506" s="31"/>
    </row>
    <row r="507">
      <c r="H507" s="31"/>
    </row>
    <row r="508">
      <c r="H508" s="31"/>
    </row>
    <row r="509">
      <c r="H509" s="31"/>
    </row>
    <row r="510">
      <c r="H510" s="31"/>
    </row>
    <row r="511">
      <c r="H511" s="31"/>
    </row>
    <row r="512">
      <c r="H512" s="31"/>
    </row>
    <row r="513">
      <c r="H513" s="31"/>
    </row>
    <row r="514">
      <c r="H514" s="31"/>
    </row>
    <row r="515">
      <c r="H515" s="31"/>
    </row>
    <row r="516">
      <c r="H516" s="31"/>
    </row>
    <row r="517">
      <c r="H517" s="31"/>
    </row>
    <row r="518">
      <c r="H518" s="31"/>
    </row>
    <row r="519">
      <c r="H519" s="31"/>
    </row>
    <row r="520">
      <c r="H520" s="31"/>
    </row>
    <row r="521">
      <c r="H521" s="31"/>
    </row>
    <row r="522">
      <c r="H522" s="31"/>
    </row>
    <row r="523">
      <c r="H523" s="31"/>
    </row>
    <row r="524">
      <c r="H524" s="31"/>
    </row>
    <row r="525">
      <c r="H525" s="31"/>
    </row>
    <row r="526">
      <c r="H526" s="31"/>
    </row>
    <row r="527">
      <c r="H527" s="31"/>
    </row>
    <row r="528">
      <c r="H528" s="31"/>
    </row>
    <row r="529">
      <c r="H529" s="31"/>
    </row>
    <row r="530">
      <c r="H530" s="31"/>
    </row>
    <row r="531">
      <c r="H531" s="31"/>
    </row>
    <row r="532">
      <c r="H532" s="31"/>
    </row>
    <row r="533">
      <c r="H533" s="31"/>
    </row>
    <row r="534">
      <c r="H534" s="31"/>
    </row>
    <row r="535">
      <c r="H535" s="31"/>
    </row>
    <row r="536">
      <c r="H536" s="31"/>
    </row>
    <row r="537">
      <c r="H537" s="31"/>
    </row>
    <row r="538">
      <c r="H538" s="31"/>
    </row>
    <row r="539">
      <c r="H539" s="31"/>
    </row>
    <row r="540">
      <c r="H540" s="31"/>
    </row>
    <row r="541">
      <c r="H541" s="31"/>
    </row>
    <row r="542">
      <c r="H542" s="31"/>
    </row>
    <row r="543">
      <c r="H543" s="31"/>
    </row>
    <row r="544">
      <c r="H544" s="31"/>
    </row>
    <row r="545">
      <c r="H545" s="31"/>
    </row>
    <row r="546">
      <c r="H546" s="31"/>
    </row>
    <row r="547">
      <c r="H547" s="31"/>
    </row>
    <row r="548">
      <c r="H548" s="31"/>
    </row>
    <row r="549">
      <c r="H549" s="31"/>
    </row>
    <row r="550">
      <c r="H550" s="31"/>
    </row>
    <row r="551">
      <c r="H551" s="31"/>
    </row>
    <row r="552">
      <c r="H552" s="31"/>
    </row>
    <row r="553">
      <c r="H553" s="31"/>
    </row>
    <row r="554">
      <c r="H554" s="31"/>
    </row>
    <row r="555">
      <c r="H555" s="31"/>
    </row>
    <row r="556">
      <c r="H556" s="31"/>
    </row>
    <row r="557">
      <c r="H557" s="31"/>
    </row>
    <row r="558">
      <c r="H558" s="31"/>
    </row>
    <row r="559">
      <c r="H559" s="31"/>
    </row>
    <row r="560">
      <c r="H560" s="31"/>
    </row>
    <row r="561">
      <c r="H561" s="31"/>
    </row>
    <row r="562">
      <c r="H562" s="31"/>
    </row>
    <row r="563">
      <c r="H563" s="31"/>
    </row>
    <row r="564">
      <c r="H564" s="31"/>
    </row>
    <row r="565">
      <c r="H565" s="31"/>
    </row>
    <row r="566">
      <c r="H566" s="31"/>
    </row>
    <row r="567">
      <c r="H567" s="31"/>
    </row>
    <row r="568">
      <c r="H568" s="31"/>
    </row>
    <row r="569">
      <c r="H569" s="31"/>
    </row>
    <row r="570">
      <c r="H570" s="31"/>
    </row>
    <row r="571">
      <c r="H571" s="31"/>
    </row>
    <row r="572">
      <c r="H572" s="31"/>
    </row>
    <row r="573">
      <c r="H573" s="31"/>
    </row>
    <row r="574">
      <c r="H574" s="31"/>
    </row>
    <row r="575">
      <c r="H575" s="31"/>
    </row>
    <row r="576">
      <c r="H576" s="31"/>
    </row>
    <row r="577">
      <c r="H577" s="31"/>
    </row>
    <row r="578">
      <c r="H578" s="31"/>
    </row>
    <row r="579">
      <c r="H579" s="31"/>
    </row>
    <row r="580">
      <c r="H580" s="31"/>
    </row>
    <row r="581">
      <c r="H581" s="31"/>
    </row>
    <row r="582">
      <c r="H582" s="31"/>
    </row>
    <row r="583">
      <c r="H583" s="31"/>
    </row>
    <row r="584">
      <c r="H584" s="31"/>
    </row>
    <row r="585">
      <c r="H585" s="31"/>
    </row>
    <row r="586">
      <c r="H586" s="31"/>
    </row>
    <row r="587">
      <c r="H587" s="31"/>
    </row>
    <row r="588">
      <c r="H588" s="31"/>
    </row>
    <row r="589">
      <c r="H589" s="31"/>
    </row>
    <row r="590">
      <c r="H590" s="31"/>
    </row>
    <row r="591">
      <c r="H591" s="31"/>
    </row>
    <row r="592">
      <c r="H592" s="31"/>
    </row>
    <row r="593">
      <c r="H593" s="31"/>
    </row>
    <row r="594">
      <c r="H594" s="31"/>
    </row>
    <row r="595">
      <c r="H595" s="31"/>
    </row>
    <row r="596">
      <c r="H596" s="31"/>
    </row>
    <row r="597">
      <c r="H597" s="31"/>
    </row>
    <row r="598">
      <c r="H598" s="31"/>
    </row>
    <row r="599">
      <c r="H599" s="31"/>
    </row>
    <row r="600">
      <c r="H600" s="31"/>
    </row>
    <row r="601">
      <c r="H601" s="31"/>
    </row>
    <row r="602">
      <c r="H602" s="31"/>
    </row>
    <row r="603">
      <c r="H603" s="31"/>
    </row>
    <row r="604">
      <c r="H604" s="31"/>
    </row>
    <row r="605">
      <c r="H605" s="31"/>
    </row>
    <row r="606">
      <c r="H606" s="31"/>
    </row>
    <row r="607">
      <c r="H607" s="31"/>
    </row>
    <row r="608">
      <c r="H608" s="31"/>
    </row>
    <row r="609">
      <c r="H609" s="31"/>
    </row>
    <row r="610">
      <c r="H610" s="31"/>
    </row>
    <row r="611">
      <c r="H611" s="31"/>
    </row>
    <row r="612">
      <c r="H612" s="31"/>
    </row>
    <row r="613">
      <c r="H613" s="31"/>
    </row>
    <row r="614">
      <c r="H614" s="31"/>
    </row>
    <row r="615">
      <c r="H615" s="31"/>
    </row>
    <row r="616">
      <c r="H616" s="31"/>
    </row>
    <row r="617">
      <c r="H617" s="31"/>
    </row>
    <row r="618">
      <c r="H618" s="31"/>
    </row>
    <row r="619">
      <c r="H619" s="31"/>
    </row>
    <row r="620">
      <c r="H620" s="31"/>
    </row>
    <row r="621">
      <c r="H621" s="31"/>
    </row>
    <row r="622">
      <c r="H622" s="31"/>
    </row>
    <row r="623">
      <c r="H623" s="31"/>
    </row>
    <row r="624">
      <c r="H624" s="31"/>
    </row>
    <row r="625">
      <c r="H625" s="31"/>
    </row>
    <row r="626">
      <c r="H626" s="31"/>
    </row>
    <row r="627">
      <c r="H627" s="31"/>
    </row>
    <row r="628">
      <c r="H628" s="31"/>
    </row>
    <row r="629">
      <c r="H629" s="31"/>
    </row>
    <row r="630">
      <c r="H630" s="31"/>
    </row>
    <row r="631">
      <c r="H631" s="31"/>
    </row>
    <row r="632">
      <c r="H632" s="31"/>
    </row>
    <row r="633">
      <c r="H633" s="31"/>
    </row>
    <row r="634">
      <c r="H634" s="31"/>
    </row>
    <row r="635">
      <c r="H635" s="31"/>
    </row>
    <row r="636">
      <c r="H636" s="31"/>
    </row>
    <row r="637">
      <c r="H637" s="31"/>
    </row>
    <row r="638">
      <c r="H638" s="31"/>
    </row>
    <row r="639">
      <c r="H639" s="31"/>
    </row>
    <row r="640">
      <c r="H640" s="31"/>
    </row>
    <row r="641">
      <c r="H641" s="31"/>
    </row>
    <row r="642">
      <c r="H642" s="31"/>
    </row>
    <row r="643">
      <c r="H643" s="31"/>
    </row>
    <row r="644">
      <c r="H644" s="31"/>
    </row>
    <row r="645">
      <c r="H645" s="31"/>
    </row>
    <row r="646">
      <c r="H646" s="31"/>
    </row>
    <row r="647">
      <c r="H647" s="31"/>
    </row>
    <row r="648">
      <c r="H648" s="31"/>
    </row>
    <row r="649">
      <c r="H649" s="31"/>
    </row>
    <row r="650">
      <c r="H650" s="31"/>
    </row>
    <row r="651">
      <c r="H651" s="31"/>
    </row>
    <row r="652">
      <c r="H652" s="31"/>
    </row>
    <row r="653">
      <c r="H653" s="31"/>
    </row>
    <row r="654">
      <c r="H654" s="31"/>
    </row>
    <row r="655">
      <c r="H655" s="31"/>
    </row>
    <row r="656">
      <c r="H656" s="31"/>
    </row>
    <row r="657">
      <c r="H657" s="31"/>
    </row>
    <row r="658">
      <c r="H658" s="31"/>
    </row>
    <row r="659">
      <c r="H659" s="31"/>
    </row>
    <row r="660">
      <c r="H660" s="31"/>
    </row>
    <row r="661">
      <c r="H661" s="31"/>
    </row>
    <row r="662">
      <c r="H662" s="31"/>
    </row>
    <row r="663">
      <c r="H663" s="31"/>
    </row>
    <row r="664">
      <c r="H664" s="31"/>
    </row>
    <row r="665">
      <c r="H665" s="31"/>
    </row>
    <row r="666">
      <c r="H666" s="31"/>
    </row>
    <row r="667">
      <c r="H667" s="31"/>
    </row>
    <row r="668">
      <c r="H668" s="31"/>
    </row>
    <row r="669">
      <c r="H669" s="31"/>
    </row>
    <row r="670">
      <c r="H670" s="31"/>
    </row>
    <row r="671">
      <c r="H671" s="31"/>
    </row>
    <row r="672">
      <c r="H672" s="31"/>
    </row>
    <row r="673">
      <c r="H673" s="31"/>
    </row>
    <row r="674">
      <c r="H674" s="31"/>
    </row>
    <row r="675">
      <c r="H675" s="31"/>
    </row>
    <row r="676">
      <c r="H676" s="31"/>
    </row>
    <row r="677">
      <c r="H677" s="31"/>
    </row>
    <row r="678">
      <c r="H678" s="31"/>
    </row>
    <row r="679">
      <c r="H679" s="31"/>
    </row>
    <row r="680">
      <c r="H680" s="31"/>
    </row>
    <row r="681">
      <c r="H681" s="31"/>
    </row>
    <row r="682">
      <c r="H682" s="31"/>
    </row>
    <row r="683">
      <c r="H683" s="31"/>
    </row>
    <row r="684">
      <c r="H684" s="31"/>
    </row>
    <row r="685">
      <c r="H685" s="31"/>
    </row>
    <row r="686">
      <c r="H686" s="31"/>
    </row>
    <row r="687">
      <c r="H687" s="31"/>
    </row>
    <row r="688">
      <c r="H688" s="31"/>
    </row>
    <row r="689">
      <c r="H689" s="31"/>
    </row>
    <row r="690">
      <c r="H690" s="31"/>
    </row>
    <row r="691">
      <c r="H691" s="31"/>
    </row>
    <row r="692">
      <c r="H692" s="31"/>
    </row>
    <row r="693">
      <c r="H693" s="31"/>
    </row>
    <row r="694">
      <c r="H694" s="31"/>
    </row>
    <row r="695">
      <c r="H695" s="31"/>
    </row>
    <row r="696">
      <c r="H696" s="31"/>
    </row>
    <row r="697">
      <c r="H697" s="31"/>
    </row>
    <row r="698">
      <c r="H698" s="31"/>
    </row>
    <row r="699">
      <c r="H699" s="31"/>
    </row>
    <row r="700">
      <c r="H700" s="31"/>
    </row>
    <row r="701">
      <c r="H701" s="31"/>
    </row>
    <row r="702">
      <c r="H702" s="31"/>
    </row>
    <row r="703">
      <c r="H703" s="31"/>
    </row>
    <row r="704">
      <c r="H704" s="31"/>
    </row>
    <row r="705">
      <c r="H705" s="31"/>
    </row>
    <row r="706">
      <c r="H706" s="31"/>
    </row>
    <row r="707">
      <c r="H707" s="31"/>
    </row>
    <row r="708">
      <c r="H708" s="31"/>
    </row>
    <row r="709">
      <c r="H709" s="31"/>
    </row>
    <row r="710">
      <c r="H710" s="31"/>
    </row>
    <row r="711">
      <c r="H711" s="31"/>
    </row>
    <row r="712">
      <c r="H712" s="31"/>
    </row>
    <row r="713">
      <c r="H713" s="31"/>
    </row>
    <row r="714">
      <c r="H714" s="31"/>
    </row>
    <row r="715">
      <c r="H715" s="31"/>
    </row>
    <row r="716">
      <c r="H716" s="31"/>
    </row>
    <row r="717">
      <c r="H717" s="31"/>
    </row>
    <row r="718">
      <c r="H718" s="31"/>
    </row>
    <row r="719">
      <c r="H719" s="31"/>
    </row>
    <row r="720">
      <c r="H720" s="31"/>
    </row>
    <row r="721">
      <c r="H721" s="31"/>
    </row>
    <row r="722">
      <c r="H722" s="31"/>
    </row>
    <row r="723">
      <c r="H723" s="31"/>
    </row>
    <row r="724">
      <c r="H724" s="31"/>
    </row>
    <row r="725">
      <c r="H725" s="31"/>
    </row>
    <row r="726">
      <c r="H726" s="31"/>
    </row>
    <row r="727">
      <c r="H727" s="31"/>
    </row>
    <row r="728">
      <c r="H728" s="31"/>
    </row>
    <row r="729">
      <c r="H729" s="31"/>
    </row>
    <row r="730">
      <c r="H730" s="31"/>
    </row>
    <row r="731">
      <c r="H731" s="31"/>
    </row>
    <row r="732">
      <c r="H732" s="31"/>
    </row>
    <row r="733">
      <c r="H733" s="31"/>
    </row>
    <row r="734">
      <c r="H734" s="31"/>
    </row>
    <row r="735">
      <c r="H735" s="31"/>
    </row>
    <row r="736">
      <c r="H736" s="31"/>
    </row>
    <row r="737">
      <c r="H737" s="31"/>
    </row>
    <row r="738">
      <c r="H738" s="31"/>
    </row>
    <row r="739">
      <c r="H739" s="31"/>
    </row>
    <row r="740">
      <c r="H740" s="31"/>
    </row>
    <row r="741">
      <c r="H741" s="31"/>
    </row>
    <row r="742">
      <c r="H742" s="31"/>
    </row>
    <row r="743">
      <c r="H743" s="31"/>
    </row>
    <row r="744">
      <c r="H744" s="31"/>
    </row>
    <row r="745">
      <c r="H745" s="31"/>
    </row>
    <row r="746">
      <c r="H746" s="31"/>
    </row>
    <row r="747">
      <c r="H747" s="31"/>
    </row>
    <row r="748">
      <c r="H748" s="31"/>
    </row>
    <row r="749">
      <c r="H749" s="31"/>
    </row>
    <row r="750">
      <c r="H750" s="31"/>
    </row>
    <row r="751">
      <c r="H751" s="31"/>
    </row>
    <row r="752">
      <c r="H752" s="31"/>
    </row>
    <row r="753">
      <c r="H753" s="31"/>
    </row>
    <row r="754">
      <c r="H754" s="31"/>
    </row>
    <row r="755">
      <c r="H755" s="31"/>
    </row>
    <row r="756">
      <c r="H756" s="31"/>
    </row>
    <row r="757">
      <c r="H757" s="31"/>
    </row>
    <row r="758">
      <c r="H758" s="31"/>
    </row>
    <row r="759">
      <c r="H759" s="31"/>
    </row>
    <row r="760">
      <c r="H760" s="31"/>
    </row>
    <row r="761">
      <c r="H761" s="31"/>
    </row>
    <row r="762">
      <c r="H762" s="31"/>
    </row>
    <row r="763">
      <c r="H763" s="31"/>
    </row>
    <row r="764">
      <c r="H764" s="31"/>
    </row>
    <row r="765">
      <c r="H765" s="31"/>
    </row>
    <row r="766">
      <c r="H766" s="31"/>
    </row>
    <row r="767">
      <c r="H767" s="31"/>
    </row>
    <row r="768">
      <c r="H768" s="31"/>
    </row>
    <row r="769">
      <c r="H769" s="31"/>
    </row>
    <row r="770">
      <c r="H770" s="31"/>
    </row>
    <row r="771">
      <c r="H771" s="31"/>
    </row>
    <row r="772">
      <c r="H772" s="31"/>
    </row>
    <row r="773">
      <c r="H773" s="31"/>
    </row>
    <row r="774">
      <c r="H774" s="31"/>
    </row>
    <row r="775">
      <c r="H775" s="31"/>
    </row>
    <row r="776">
      <c r="H776" s="31"/>
    </row>
    <row r="777">
      <c r="H777" s="31"/>
    </row>
    <row r="778">
      <c r="H778" s="31"/>
    </row>
    <row r="779">
      <c r="H779" s="31"/>
    </row>
    <row r="780">
      <c r="H780" s="31"/>
    </row>
    <row r="781">
      <c r="H781" s="31"/>
    </row>
    <row r="782">
      <c r="H782" s="31"/>
    </row>
    <row r="783">
      <c r="H783" s="31"/>
    </row>
    <row r="784">
      <c r="H784" s="31"/>
    </row>
    <row r="785">
      <c r="H785" s="31"/>
    </row>
    <row r="786">
      <c r="H786" s="31"/>
    </row>
    <row r="787">
      <c r="H787" s="31"/>
    </row>
    <row r="788">
      <c r="H788" s="31"/>
    </row>
    <row r="789">
      <c r="H789" s="31"/>
    </row>
    <row r="790">
      <c r="H790" s="31"/>
    </row>
    <row r="791">
      <c r="H791" s="31"/>
    </row>
    <row r="792">
      <c r="H792" s="31"/>
    </row>
    <row r="793">
      <c r="H793" s="31"/>
    </row>
    <row r="794">
      <c r="H794" s="31"/>
    </row>
    <row r="795">
      <c r="H795" s="31"/>
    </row>
    <row r="796">
      <c r="H796" s="31"/>
    </row>
    <row r="797">
      <c r="H797" s="31"/>
    </row>
    <row r="798">
      <c r="H798" s="31"/>
    </row>
    <row r="799">
      <c r="H799" s="31"/>
    </row>
    <row r="800">
      <c r="H800" s="31"/>
    </row>
    <row r="801">
      <c r="H801" s="31"/>
    </row>
    <row r="802">
      <c r="H802" s="31"/>
    </row>
    <row r="803">
      <c r="H803" s="31"/>
    </row>
    <row r="804">
      <c r="H804" s="31"/>
    </row>
    <row r="805">
      <c r="H805" s="31"/>
    </row>
    <row r="806">
      <c r="H806" s="31"/>
    </row>
    <row r="807">
      <c r="H807" s="31"/>
    </row>
    <row r="808">
      <c r="H808" s="31"/>
    </row>
    <row r="809">
      <c r="H809" s="31"/>
    </row>
    <row r="810">
      <c r="H810" s="31"/>
    </row>
    <row r="811">
      <c r="H811" s="31"/>
    </row>
    <row r="812">
      <c r="H812" s="31"/>
    </row>
    <row r="813">
      <c r="H813" s="31"/>
    </row>
    <row r="814">
      <c r="H814" s="31"/>
    </row>
    <row r="815">
      <c r="H815" s="31"/>
    </row>
    <row r="816">
      <c r="H816" s="31"/>
    </row>
    <row r="817">
      <c r="H817" s="31"/>
    </row>
    <row r="818">
      <c r="H818" s="31"/>
    </row>
    <row r="819">
      <c r="H819" s="31"/>
    </row>
    <row r="820">
      <c r="H820" s="31"/>
    </row>
    <row r="821">
      <c r="H821" s="31"/>
    </row>
    <row r="822">
      <c r="H822" s="31"/>
    </row>
    <row r="823">
      <c r="H823" s="31"/>
    </row>
    <row r="824">
      <c r="H824" s="31"/>
    </row>
    <row r="825">
      <c r="H825" s="31"/>
    </row>
    <row r="826">
      <c r="H826" s="31"/>
    </row>
    <row r="827">
      <c r="H827" s="31"/>
    </row>
    <row r="828">
      <c r="H828" s="31"/>
    </row>
    <row r="829">
      <c r="H829" s="31"/>
    </row>
    <row r="830">
      <c r="H830" s="31"/>
    </row>
    <row r="831">
      <c r="H831" s="31"/>
    </row>
    <row r="832">
      <c r="H832" s="31"/>
    </row>
    <row r="833">
      <c r="H833" s="31"/>
    </row>
    <row r="834">
      <c r="H834" s="31"/>
    </row>
    <row r="835">
      <c r="H835" s="31"/>
    </row>
    <row r="836">
      <c r="H836" s="31"/>
    </row>
    <row r="837">
      <c r="H837" s="31"/>
    </row>
    <row r="838">
      <c r="H838" s="31"/>
    </row>
    <row r="839">
      <c r="H839" s="31"/>
    </row>
    <row r="840">
      <c r="H840" s="31"/>
    </row>
    <row r="841">
      <c r="H841" s="31"/>
    </row>
    <row r="842">
      <c r="H842" s="31"/>
    </row>
    <row r="843">
      <c r="H843" s="31"/>
    </row>
    <row r="844">
      <c r="H844" s="31"/>
    </row>
    <row r="845">
      <c r="H845" s="31"/>
    </row>
    <row r="846">
      <c r="H846" s="31"/>
    </row>
    <row r="847">
      <c r="H847" s="31"/>
    </row>
    <row r="848">
      <c r="H848" s="31"/>
    </row>
    <row r="849">
      <c r="H849" s="31"/>
    </row>
    <row r="850">
      <c r="H850" s="31"/>
    </row>
    <row r="851">
      <c r="H851" s="31"/>
    </row>
    <row r="852">
      <c r="H852" s="31"/>
    </row>
    <row r="853">
      <c r="H853" s="31"/>
    </row>
    <row r="854">
      <c r="H854" s="31"/>
    </row>
    <row r="855">
      <c r="H855" s="31"/>
    </row>
    <row r="856">
      <c r="H856" s="31"/>
    </row>
    <row r="857">
      <c r="H857" s="31"/>
    </row>
    <row r="858">
      <c r="H858" s="31"/>
    </row>
    <row r="859">
      <c r="H859" s="31"/>
    </row>
    <row r="860">
      <c r="H860" s="31"/>
    </row>
    <row r="861">
      <c r="H861" s="31"/>
    </row>
    <row r="862">
      <c r="H862" s="31"/>
    </row>
    <row r="863">
      <c r="H863" s="31"/>
    </row>
    <row r="864">
      <c r="H864" s="31"/>
    </row>
    <row r="865">
      <c r="H865" s="31"/>
    </row>
    <row r="866">
      <c r="H866" s="31"/>
    </row>
    <row r="867">
      <c r="H867" s="31"/>
    </row>
    <row r="868">
      <c r="H868" s="31"/>
    </row>
    <row r="869">
      <c r="H869" s="31"/>
    </row>
    <row r="870">
      <c r="H870" s="31"/>
    </row>
    <row r="871">
      <c r="H871" s="31"/>
    </row>
    <row r="872">
      <c r="H872" s="31"/>
    </row>
    <row r="873">
      <c r="H873" s="31"/>
    </row>
    <row r="874">
      <c r="H874" s="31"/>
    </row>
    <row r="875">
      <c r="H875" s="31"/>
    </row>
    <row r="876">
      <c r="H876" s="31"/>
    </row>
    <row r="877">
      <c r="H877" s="31"/>
    </row>
    <row r="878">
      <c r="H878" s="31"/>
    </row>
    <row r="879">
      <c r="H879" s="31"/>
    </row>
    <row r="880">
      <c r="H880" s="31"/>
    </row>
    <row r="881">
      <c r="H881" s="31"/>
    </row>
    <row r="882">
      <c r="H882" s="31"/>
    </row>
    <row r="883">
      <c r="H883" s="31"/>
    </row>
    <row r="884">
      <c r="H884" s="31"/>
    </row>
    <row r="885">
      <c r="H885" s="31"/>
    </row>
    <row r="886">
      <c r="H886" s="31"/>
    </row>
    <row r="887">
      <c r="H887" s="31"/>
    </row>
    <row r="888">
      <c r="H888" s="31"/>
    </row>
    <row r="889">
      <c r="H889" s="31"/>
    </row>
    <row r="890">
      <c r="H890" s="31"/>
    </row>
    <row r="891">
      <c r="H891" s="31"/>
    </row>
    <row r="892">
      <c r="H892" s="31"/>
    </row>
    <row r="893">
      <c r="H893" s="31"/>
    </row>
    <row r="894">
      <c r="H894" s="31"/>
    </row>
    <row r="895">
      <c r="H895" s="31"/>
    </row>
    <row r="896">
      <c r="H896" s="31"/>
    </row>
    <row r="897">
      <c r="H897" s="31"/>
    </row>
    <row r="898">
      <c r="H898" s="31"/>
    </row>
    <row r="899">
      <c r="H899" s="31"/>
    </row>
    <row r="900">
      <c r="H900" s="31"/>
    </row>
    <row r="901">
      <c r="H901" s="31"/>
    </row>
    <row r="902">
      <c r="H902" s="31"/>
    </row>
    <row r="903">
      <c r="H903" s="31"/>
    </row>
    <row r="904">
      <c r="H904" s="31"/>
    </row>
    <row r="905">
      <c r="H905" s="31"/>
    </row>
    <row r="906">
      <c r="H906" s="31"/>
    </row>
    <row r="907">
      <c r="H907" s="31"/>
    </row>
    <row r="908">
      <c r="H908" s="31"/>
    </row>
    <row r="909">
      <c r="H909" s="31"/>
    </row>
    <row r="910">
      <c r="H910" s="31"/>
    </row>
    <row r="911">
      <c r="H911" s="31"/>
    </row>
    <row r="912">
      <c r="H912" s="31"/>
    </row>
    <row r="913">
      <c r="H913" s="31"/>
    </row>
    <row r="914">
      <c r="H914" s="31"/>
    </row>
    <row r="915">
      <c r="H915" s="31"/>
    </row>
    <row r="916">
      <c r="H916" s="31"/>
    </row>
    <row r="917">
      <c r="H917" s="31"/>
    </row>
    <row r="918">
      <c r="H918" s="31"/>
    </row>
    <row r="919">
      <c r="H919" s="31"/>
    </row>
    <row r="920">
      <c r="H920" s="31"/>
    </row>
    <row r="921">
      <c r="H921" s="31"/>
    </row>
    <row r="922">
      <c r="H922" s="31"/>
    </row>
    <row r="923">
      <c r="H923" s="31"/>
    </row>
    <row r="924">
      <c r="H924" s="31"/>
    </row>
    <row r="925">
      <c r="H925" s="31"/>
    </row>
    <row r="926">
      <c r="H926" s="31"/>
    </row>
    <row r="927">
      <c r="H927" s="31"/>
    </row>
    <row r="928">
      <c r="H928" s="31"/>
    </row>
    <row r="929">
      <c r="H929" s="31"/>
    </row>
    <row r="930">
      <c r="H930" s="31"/>
    </row>
    <row r="931">
      <c r="H931" s="31"/>
    </row>
    <row r="932">
      <c r="H932" s="31"/>
    </row>
    <row r="933">
      <c r="H933" s="31"/>
    </row>
    <row r="934">
      <c r="H934" s="31"/>
    </row>
    <row r="935">
      <c r="H935" s="31"/>
    </row>
    <row r="936">
      <c r="H936" s="31"/>
    </row>
    <row r="937">
      <c r="H937" s="31"/>
    </row>
    <row r="938">
      <c r="H938" s="31"/>
    </row>
    <row r="939">
      <c r="H939" s="31"/>
    </row>
    <row r="940">
      <c r="H940" s="31"/>
    </row>
    <row r="941">
      <c r="H941" s="31"/>
    </row>
    <row r="942">
      <c r="H942" s="31"/>
    </row>
    <row r="943">
      <c r="H943" s="31"/>
    </row>
    <row r="944">
      <c r="H944" s="31"/>
    </row>
    <row r="945">
      <c r="H945" s="31"/>
    </row>
    <row r="946">
      <c r="H946" s="31"/>
    </row>
    <row r="947">
      <c r="H947" s="31"/>
    </row>
    <row r="948">
      <c r="H948" s="31"/>
    </row>
    <row r="949">
      <c r="H949" s="31"/>
    </row>
    <row r="950">
      <c r="H950" s="31"/>
    </row>
    <row r="951">
      <c r="H951" s="31"/>
    </row>
    <row r="952">
      <c r="H952" s="31"/>
    </row>
    <row r="953">
      <c r="H953" s="31"/>
    </row>
    <row r="954">
      <c r="H954" s="31"/>
    </row>
    <row r="955">
      <c r="H955" s="31"/>
    </row>
    <row r="956">
      <c r="H956" s="31"/>
    </row>
    <row r="957">
      <c r="H957" s="31"/>
    </row>
    <row r="958">
      <c r="H958" s="31"/>
    </row>
    <row r="959">
      <c r="H959" s="31"/>
    </row>
    <row r="960">
      <c r="H960" s="31"/>
    </row>
    <row r="961">
      <c r="H961" s="31"/>
    </row>
    <row r="962">
      <c r="H962" s="31"/>
    </row>
    <row r="963">
      <c r="H963" s="31"/>
    </row>
    <row r="964">
      <c r="H964" s="31"/>
    </row>
    <row r="965">
      <c r="H965" s="31"/>
    </row>
    <row r="966">
      <c r="H966" s="31"/>
    </row>
    <row r="967">
      <c r="H967" s="31"/>
    </row>
    <row r="968">
      <c r="H968" s="31"/>
    </row>
    <row r="969">
      <c r="H969" s="31"/>
    </row>
    <row r="970">
      <c r="H970" s="31"/>
    </row>
    <row r="971">
      <c r="H971" s="31"/>
    </row>
    <row r="972">
      <c r="H972" s="31"/>
    </row>
    <row r="973">
      <c r="H973" s="31"/>
    </row>
    <row r="974">
      <c r="H974" s="31"/>
    </row>
    <row r="975">
      <c r="H975" s="31"/>
    </row>
    <row r="976">
      <c r="H976" s="31"/>
    </row>
    <row r="977">
      <c r="H977" s="31"/>
    </row>
    <row r="978">
      <c r="H978" s="31"/>
    </row>
    <row r="979">
      <c r="H979" s="31"/>
    </row>
    <row r="980">
      <c r="H980" s="31"/>
    </row>
    <row r="981">
      <c r="H981" s="31"/>
    </row>
    <row r="982">
      <c r="H982" s="31"/>
    </row>
    <row r="983">
      <c r="H983" s="31"/>
    </row>
    <row r="984">
      <c r="H984" s="31"/>
    </row>
    <row r="985">
      <c r="H985" s="31"/>
    </row>
    <row r="986">
      <c r="H986" s="31"/>
    </row>
    <row r="987">
      <c r="H987" s="31"/>
    </row>
    <row r="988">
      <c r="H988" s="31"/>
    </row>
    <row r="989">
      <c r="H989" s="31"/>
    </row>
    <row r="990">
      <c r="H990" s="31"/>
    </row>
    <row r="991">
      <c r="H991" s="31"/>
    </row>
    <row r="992">
      <c r="H992" s="31"/>
    </row>
    <row r="993">
      <c r="H993" s="31"/>
    </row>
    <row r="994">
      <c r="H994" s="31"/>
    </row>
    <row r="995">
      <c r="H995" s="31"/>
    </row>
    <row r="996">
      <c r="H996" s="31"/>
    </row>
    <row r="997">
      <c r="H997" s="31"/>
    </row>
    <row r="998">
      <c r="H998" s="31"/>
    </row>
    <row r="999">
      <c r="H999" s="31"/>
    </row>
  </sheetData>
  <mergeCells count="5">
    <mergeCell ref="A1:A2"/>
    <mergeCell ref="B1:B2"/>
    <mergeCell ref="C1:C2"/>
    <mergeCell ref="D1:D2"/>
    <mergeCell ref="E1:E2"/>
  </mergeCells>
  <conditionalFormatting sqref="F3:AV38 AW3:AZ30">
    <cfRule type="cellIs" dxfId="3" priority="1" operator="equal">
      <formula>1</formula>
    </cfRule>
  </conditionalFormatting>
  <conditionalFormatting sqref="F3:AV38 AW8:AX8 AW37:AZ37">
    <cfRule type="cellIs" dxfId="4" priority="2" operator="equal">
      <formula>"R"</formula>
    </cfRule>
  </conditionalFormatting>
  <conditionalFormatting sqref="B3:B30 C3:C38 B37">
    <cfRule type="cellIs" dxfId="5" priority="3" operator="greaterThanOrEqual">
      <formula>3</formula>
    </cfRule>
  </conditionalFormatting>
  <conditionalFormatting sqref="B3:B30 B37">
    <cfRule type="cellIs" dxfId="6" priority="4" operator="lessThan">
      <formula>1</formula>
    </cfRule>
  </conditionalFormatting>
  <conditionalFormatting sqref="B3:B31 C3:C41 B37">
    <cfRule type="cellIs" dxfId="7" priority="5" operator="equal">
      <formula>0</formula>
    </cfRule>
  </conditionalFormatting>
  <conditionalFormatting sqref="B3:B30 C3:C38 B37">
    <cfRule type="cellIs" dxfId="8" priority="6" operator="lessThan">
      <formula>2</formula>
    </cfRule>
  </conditionalFormatting>
  <conditionalFormatting sqref="B3:B30 C3:C38 B37">
    <cfRule type="cellIs" dxfId="9" priority="7" operator="lessThan">
      <formula>3</formula>
    </cfRule>
  </conditionalFormatting>
  <conditionalFormatting sqref="B3:B31 C3:C41 B37">
    <cfRule type="containsBlanks" dxfId="6" priority="8">
      <formula>LEN(TRIM(B3))=0</formula>
    </cfRule>
  </conditionalFormatting>
  <conditionalFormatting sqref="F3:AV38 AW8:AX8 AW37:AZ37">
    <cfRule type="cellIs" dxfId="10" priority="9" operator="equal">
      <formula>"R2"</formula>
    </cfRule>
  </conditionalFormatting>
  <conditionalFormatting sqref="AQ31:AZ31 F39:AZ39">
    <cfRule type="cellIs" dxfId="7" priority="10" operator="lessThan">
      <formula>1</formula>
    </cfRule>
  </conditionalFormatting>
  <conditionalFormatting sqref="AQ31:AZ31 F39:AZ39">
    <cfRule type="cellIs" dxfId="3" priority="11" operator="equal">
      <formula>1</formula>
    </cfRule>
  </conditionalFormatting>
  <conditionalFormatting sqref="AQ31:AZ31 F39:AZ39">
    <cfRule type="cellIs" dxfId="11" priority="12" operator="greaterThan">
      <formula>1</formula>
    </cfRule>
  </conditionalFormatting>
  <conditionalFormatting sqref="D3:E41">
    <cfRule type="cellIs" dxfId="9" priority="13" operator="equal">
      <formula>1</formula>
    </cfRule>
  </conditionalFormatting>
  <conditionalFormatting sqref="Z30:Z36 F32:Y36 AA32:AZ36 F38:AZ41">
    <cfRule type="cellIs" dxfId="7" priority="14" operator="lessThan">
      <formula>1</formula>
    </cfRule>
  </conditionalFormatting>
  <conditionalFormatting sqref="Z30:Z36 F32:Y36 AA32:AZ36 F38:AZ41">
    <cfRule type="cellIs" dxfId="12" priority="15" operator="equal">
      <formula>1</formula>
    </cfRule>
  </conditionalFormatting>
  <conditionalFormatting sqref="Z30:Z36 F32:Y36 AA32:AZ36 F38:AZ41">
    <cfRule type="cellIs" dxfId="11" priority="16" operator="greaterThan">
      <formula>1</formula>
    </cfRule>
  </conditionalFormatting>
  <conditionalFormatting sqref="D3:D41 E3:E38">
    <cfRule type="cellIs" dxfId="7" priority="17" operator="equal">
      <formula>0</formula>
    </cfRule>
  </conditionalFormatting>
  <conditionalFormatting sqref="D3:D41 E3:E38">
    <cfRule type="cellIs" dxfId="4" priority="18" operator="equal">
      <formula>2</formula>
    </cfRule>
  </conditionalFormatting>
  <conditionalFormatting sqref="E3:E41">
    <cfRule type="cellIs" dxfId="7" priority="19" operator="equal">
      <formula>0</formula>
    </cfRule>
  </conditionalFormatting>
  <conditionalFormatting sqref="E3:E41">
    <cfRule type="cellIs" dxfId="4" priority="20" operator="greaterThanOrEqual">
      <formula>2</formula>
    </cfRule>
  </conditionalFormatting>
  <conditionalFormatting sqref="C44">
    <cfRule type="notContainsBlanks" dxfId="3" priority="21">
      <formula>LEN(TRIM(C44))&gt;0</formula>
    </cfRule>
  </conditionalFormatting>
  <conditionalFormatting sqref="AT2:AZ2">
    <cfRule type="containsText" dxfId="13" priority="22" operator="containsText" text="(PAM)">
      <formula>NOT(ISERROR(SEARCH(("(PAM)"),(AT2))))</formula>
    </cfRule>
  </conditionalFormatting>
  <conditionalFormatting sqref="AT2:AZ2">
    <cfRule type="containsText" dxfId="13" priority="23" operator="containsText" text="(PPM)">
      <formula>NOT(ISERROR(SEARCH(("(PPM)"),(AT2))))</formula>
    </cfRule>
  </conditionalFormatting>
  <conditionalFormatting sqref="F2:AZ2">
    <cfRule type="containsText" dxfId="13" priority="24" operator="containsText" text="PAM">
      <formula>NOT(ISERROR(SEARCH(("PAM"),(F2))))</formula>
    </cfRule>
  </conditionalFormatting>
  <conditionalFormatting sqref="F2:AZ2">
    <cfRule type="containsText" dxfId="13" priority="25" operator="containsText" text="PPM">
      <formula>NOT(ISERROR(SEARCH(("PPM"),(F2))))</formula>
    </cfRule>
  </conditionalFormatting>
  <conditionalFormatting sqref="F2:AZ2">
    <cfRule type="containsText" dxfId="11" priority="26" operator="containsText" text="(AM)">
      <formula>NOT(ISERROR(SEARCH(("(AM)"),(F2))))</formula>
    </cfRule>
  </conditionalFormatting>
  <conditionalFormatting sqref="F2:AZ2">
    <cfRule type="containsText" dxfId="7" priority="27" operator="containsText" text="(PM)">
      <formula>NOT(ISERROR(SEARCH(("(PM)"),(F2))))</formula>
    </cfRule>
  </conditionalFormatting>
  <conditionalFormatting sqref="F2:AZ2">
    <cfRule type="notContainsText" dxfId="15" priority="28" operator="notContains" text="(AM)">
      <formula>ISERROR(SEARCH(("(AM)"),(F2)))</formula>
    </cfRule>
  </conditionalFormatting>
  <conditionalFormatting sqref="F2:AZ2">
    <cfRule type="notContainsText" dxfId="15" priority="29" operator="notContains" text="(PM)">
      <formula>ISERROR(SEARCH(("(PM)"),(F2)))</formula>
    </cfRule>
  </conditionalFormatting>
  <conditionalFormatting sqref="F2:AZ2">
    <cfRule type="notContainsText" dxfId="15" priority="30" operator="notContains" text="(PM)">
      <formula>ISERROR(SEARCH(("(PM)"),(F2)))</formula>
    </cfRule>
  </conditionalFormatting>
  <dataValidations>
    <dataValidation type="list" allowBlank="1" showErrorMessage="1" sqref="A3:A39">
      <formula1>'Personnel List'!$D$2:$D$43</formula1>
    </dataValidation>
  </dataValidations>
  <drawing r:id="rId2"/>
  <legacyDrawing r:id="rId3"/>
  <tableParts count="2">
    <tablePart r:id="rId6"/>
    <tablePart r:id="rId7"/>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14.63"/>
    <col customWidth="1" hidden="1" min="2" max="2" width="11.38"/>
    <col customWidth="1" min="4" max="4" width="14.13"/>
    <col customWidth="1" min="6" max="9" width="8.63"/>
    <col customWidth="1" min="10" max="10" width="8.38"/>
    <col customWidth="1" min="11" max="11" width="8.25"/>
    <col customWidth="1" min="12" max="46" width="8.63"/>
    <col customWidth="1" hidden="1" min="47" max="53" width="9.5"/>
  </cols>
  <sheetData>
    <row r="1">
      <c r="A1" s="1"/>
      <c r="B1" s="1" t="s">
        <v>1</v>
      </c>
      <c r="C1" s="1" t="s">
        <v>2</v>
      </c>
      <c r="D1" s="1" t="s">
        <v>3</v>
      </c>
      <c r="E1" s="1" t="s">
        <v>4</v>
      </c>
      <c r="F1" s="2" t="s">
        <v>420</v>
      </c>
      <c r="G1" s="2" t="s">
        <v>421</v>
      </c>
      <c r="H1" s="2" t="s">
        <v>422</v>
      </c>
      <c r="I1" s="2" t="s">
        <v>423</v>
      </c>
      <c r="J1" s="2" t="s">
        <v>423</v>
      </c>
      <c r="K1" s="2" t="s">
        <v>424</v>
      </c>
      <c r="L1" s="2" t="s">
        <v>425</v>
      </c>
      <c r="M1" s="2" t="s">
        <v>426</v>
      </c>
      <c r="N1" s="2" t="s">
        <v>427</v>
      </c>
      <c r="O1" s="2" t="s">
        <v>420</v>
      </c>
      <c r="P1" s="2" t="s">
        <v>422</v>
      </c>
      <c r="Q1" s="2" t="s">
        <v>422</v>
      </c>
      <c r="R1" s="2" t="s">
        <v>423</v>
      </c>
      <c r="S1" s="2" t="s">
        <v>423</v>
      </c>
      <c r="T1" s="2" t="s">
        <v>424</v>
      </c>
      <c r="U1" s="2" t="s">
        <v>425</v>
      </c>
      <c r="V1" s="2" t="s">
        <v>426</v>
      </c>
      <c r="W1" s="2" t="s">
        <v>427</v>
      </c>
      <c r="X1" s="2" t="s">
        <v>420</v>
      </c>
      <c r="Y1" s="2" t="s">
        <v>422</v>
      </c>
      <c r="Z1" s="2" t="s">
        <v>422</v>
      </c>
      <c r="AA1" s="2" t="s">
        <v>423</v>
      </c>
      <c r="AB1" s="2" t="s">
        <v>423</v>
      </c>
      <c r="AC1" s="2" t="s">
        <v>424</v>
      </c>
      <c r="AD1" s="2" t="s">
        <v>425</v>
      </c>
      <c r="AE1" s="2" t="s">
        <v>426</v>
      </c>
      <c r="AF1" s="2" t="s">
        <v>427</v>
      </c>
      <c r="AG1" s="2" t="s">
        <v>420</v>
      </c>
      <c r="AH1" s="2" t="s">
        <v>422</v>
      </c>
      <c r="AI1" s="2" t="s">
        <v>422</v>
      </c>
      <c r="AJ1" s="2" t="s">
        <v>423</v>
      </c>
      <c r="AK1" s="2" t="s">
        <v>423</v>
      </c>
      <c r="AL1" s="2" t="s">
        <v>424</v>
      </c>
      <c r="AM1" s="2" t="s">
        <v>425</v>
      </c>
      <c r="AN1" s="2" t="s">
        <v>426</v>
      </c>
      <c r="AO1" s="2" t="s">
        <v>427</v>
      </c>
      <c r="AP1" s="2" t="s">
        <v>420</v>
      </c>
      <c r="AQ1" s="2" t="s">
        <v>422</v>
      </c>
      <c r="AR1" s="2" t="s">
        <v>422</v>
      </c>
      <c r="AS1" s="2" t="s">
        <v>423</v>
      </c>
      <c r="AT1" s="2" t="s">
        <v>423</v>
      </c>
      <c r="AU1" s="2"/>
      <c r="AV1" s="55"/>
      <c r="AW1" s="2" t="s">
        <v>317</v>
      </c>
      <c r="AX1" s="55" t="s">
        <v>7</v>
      </c>
      <c r="AY1" s="55" t="s">
        <v>8</v>
      </c>
      <c r="AZ1" s="55" t="s">
        <v>7</v>
      </c>
      <c r="BA1" s="55" t="s">
        <v>8</v>
      </c>
    </row>
    <row r="2">
      <c r="F2" s="87">
        <v>45870.0</v>
      </c>
      <c r="G2" s="88" t="s">
        <v>428</v>
      </c>
      <c r="H2" s="88" t="s">
        <v>429</v>
      </c>
      <c r="I2" s="88" t="s">
        <v>430</v>
      </c>
      <c r="J2" s="88" t="s">
        <v>431</v>
      </c>
      <c r="K2" s="87">
        <v>45873.0</v>
      </c>
      <c r="L2" s="87">
        <v>45874.0</v>
      </c>
      <c r="M2" s="87">
        <v>45875.0</v>
      </c>
      <c r="N2" s="87">
        <v>45876.0</v>
      </c>
      <c r="O2" s="87">
        <v>45877.0</v>
      </c>
      <c r="P2" s="88" t="s">
        <v>432</v>
      </c>
      <c r="Q2" s="88" t="s">
        <v>433</v>
      </c>
      <c r="R2" s="88" t="s">
        <v>434</v>
      </c>
      <c r="S2" s="88" t="s">
        <v>435</v>
      </c>
      <c r="T2" s="87">
        <v>45880.0</v>
      </c>
      <c r="U2" s="87">
        <v>45881.0</v>
      </c>
      <c r="V2" s="87">
        <v>45882.0</v>
      </c>
      <c r="W2" s="87">
        <v>45883.0</v>
      </c>
      <c r="X2" s="87">
        <v>45884.0</v>
      </c>
      <c r="Y2" s="88" t="s">
        <v>436</v>
      </c>
      <c r="Z2" s="88" t="s">
        <v>437</v>
      </c>
      <c r="AA2" s="88" t="s">
        <v>438</v>
      </c>
      <c r="AB2" s="88" t="s">
        <v>439</v>
      </c>
      <c r="AC2" s="87">
        <v>45887.0</v>
      </c>
      <c r="AD2" s="87">
        <v>45888.0</v>
      </c>
      <c r="AE2" s="87">
        <v>45889.0</v>
      </c>
      <c r="AF2" s="87">
        <v>45890.0</v>
      </c>
      <c r="AG2" s="87">
        <v>45891.0</v>
      </c>
      <c r="AH2" s="88" t="s">
        <v>440</v>
      </c>
      <c r="AI2" s="88" t="s">
        <v>441</v>
      </c>
      <c r="AJ2" s="88" t="s">
        <v>442</v>
      </c>
      <c r="AK2" s="88" t="s">
        <v>443</v>
      </c>
      <c r="AL2" s="87">
        <v>45894.0</v>
      </c>
      <c r="AM2" s="87">
        <v>45895.0</v>
      </c>
      <c r="AN2" s="87">
        <v>45896.0</v>
      </c>
      <c r="AO2" s="87">
        <v>45897.0</v>
      </c>
      <c r="AP2" s="87">
        <v>45898.0</v>
      </c>
      <c r="AQ2" s="88" t="s">
        <v>444</v>
      </c>
      <c r="AR2" s="88" t="s">
        <v>445</v>
      </c>
      <c r="AS2" s="88" t="s">
        <v>446</v>
      </c>
      <c r="AT2" s="88" t="s">
        <v>447</v>
      </c>
      <c r="AU2" s="87"/>
      <c r="AV2" s="51"/>
      <c r="AW2" s="51"/>
      <c r="AX2" s="51" t="s">
        <v>252</v>
      </c>
      <c r="AY2" s="51" t="s">
        <v>253</v>
      </c>
      <c r="AZ2" s="51" t="s">
        <v>252</v>
      </c>
      <c r="BA2" s="51" t="s">
        <v>253</v>
      </c>
    </row>
    <row r="3">
      <c r="A3" s="39" t="s">
        <v>226</v>
      </c>
      <c r="B3" s="40">
        <f t="shared" ref="B3:B8" si="1">SUM(C3:D3)</f>
        <v>3</v>
      </c>
      <c r="C3" s="10">
        <f t="shared" ref="C3:C41" si="2">SUM(F3:AW3)</f>
        <v>2</v>
      </c>
      <c r="D3" s="11">
        <f t="array" ref="D3">SUM(IF(F3:AW3="R",1,0))</f>
        <v>1</v>
      </c>
      <c r="E3" s="11">
        <f t="array" ref="E3">SUM(IF(F3:AW3="R2",1,0))</f>
        <v>1</v>
      </c>
      <c r="F3" s="99"/>
      <c r="G3" s="99" t="s">
        <v>40</v>
      </c>
      <c r="H3" s="90"/>
      <c r="I3" s="91"/>
      <c r="J3" s="90"/>
      <c r="K3" s="16"/>
      <c r="L3" s="91"/>
      <c r="M3" s="16"/>
      <c r="N3" s="90"/>
      <c r="O3" s="91"/>
      <c r="P3" s="90">
        <v>1.0</v>
      </c>
      <c r="Q3" s="91"/>
      <c r="R3" s="90"/>
      <c r="S3" s="90"/>
      <c r="T3" s="16"/>
      <c r="U3" s="16"/>
      <c r="V3" s="21"/>
      <c r="W3" s="91"/>
      <c r="X3" s="91"/>
      <c r="Y3" s="91"/>
      <c r="Z3" s="91"/>
      <c r="AA3" s="91"/>
      <c r="AB3" s="91"/>
      <c r="AC3" s="91"/>
      <c r="AD3" s="91"/>
      <c r="AE3" s="16"/>
      <c r="AF3" s="91"/>
      <c r="AG3" s="91"/>
      <c r="AH3" s="90">
        <v>1.0</v>
      </c>
      <c r="AI3" s="91"/>
      <c r="AJ3" s="91"/>
      <c r="AK3" s="90" t="s">
        <v>39</v>
      </c>
      <c r="AL3" s="90"/>
      <c r="AM3" s="90"/>
      <c r="AN3" s="91"/>
      <c r="AO3" s="91"/>
      <c r="AP3" s="90"/>
      <c r="AQ3" s="91"/>
      <c r="AR3" s="91"/>
      <c r="AS3" s="91"/>
      <c r="AT3" s="91"/>
      <c r="AU3" s="91"/>
      <c r="AV3" s="91"/>
      <c r="AW3" s="91"/>
      <c r="AX3" s="91"/>
      <c r="AY3" s="91"/>
      <c r="AZ3" s="91"/>
      <c r="BA3" s="91"/>
    </row>
    <row r="4">
      <c r="A4" s="14" t="s">
        <v>283</v>
      </c>
      <c r="B4" s="10">
        <f t="shared" si="1"/>
        <v>3</v>
      </c>
      <c r="C4" s="10">
        <f t="shared" si="2"/>
        <v>2</v>
      </c>
      <c r="D4" s="11">
        <f t="array" ref="D4">SUM(IF(F4:AW4="R",1,0))</f>
        <v>1</v>
      </c>
      <c r="E4" s="11">
        <f t="array" ref="E4">SUM(IF(F4:AW4="R2",1,0))</f>
        <v>1</v>
      </c>
      <c r="F4" s="90"/>
      <c r="G4" s="90">
        <v>1.0</v>
      </c>
      <c r="H4" s="91"/>
      <c r="I4" s="90"/>
      <c r="J4" s="91"/>
      <c r="K4" s="16"/>
      <c r="L4" s="90"/>
      <c r="M4" s="21"/>
      <c r="N4" s="91"/>
      <c r="O4" s="90" t="s">
        <v>39</v>
      </c>
      <c r="P4" s="90"/>
      <c r="Q4" s="91"/>
      <c r="R4" s="91"/>
      <c r="S4" s="91"/>
      <c r="T4" s="21"/>
      <c r="U4" s="21"/>
      <c r="V4" s="16"/>
      <c r="W4" s="91"/>
      <c r="X4" s="91"/>
      <c r="Y4" s="90"/>
      <c r="Z4" s="90" t="s">
        <v>40</v>
      </c>
      <c r="AA4" s="91"/>
      <c r="AB4" s="91"/>
      <c r="AC4" s="91"/>
      <c r="AD4" s="91"/>
      <c r="AE4" s="91"/>
      <c r="AF4" s="91"/>
      <c r="AG4" s="91"/>
      <c r="AH4" s="91"/>
      <c r="AI4" s="91"/>
      <c r="AJ4" s="91"/>
      <c r="AK4" s="90"/>
      <c r="AL4" s="90"/>
      <c r="AM4" s="16"/>
      <c r="AN4" s="21"/>
      <c r="AO4" s="90"/>
      <c r="AP4" s="90"/>
      <c r="AQ4" s="91"/>
      <c r="AR4" s="91"/>
      <c r="AS4" s="91"/>
      <c r="AT4" s="90">
        <v>1.0</v>
      </c>
      <c r="AU4" s="91"/>
      <c r="AV4" s="91"/>
      <c r="AW4" s="91"/>
      <c r="AX4" s="91"/>
      <c r="AY4" s="91"/>
      <c r="AZ4" s="91"/>
      <c r="BA4" s="91"/>
    </row>
    <row r="5">
      <c r="A5" s="14" t="s">
        <v>44</v>
      </c>
      <c r="B5" s="10">
        <f t="shared" si="1"/>
        <v>2</v>
      </c>
      <c r="C5" s="10">
        <f t="shared" si="2"/>
        <v>1</v>
      </c>
      <c r="D5" s="11">
        <f t="array" ref="D5">SUM(IF(F5:AW5="R",1,0))</f>
        <v>1</v>
      </c>
      <c r="E5" s="11">
        <f t="array" ref="E5">SUM(IF(F5:AW5="R2",1,0))</f>
        <v>1</v>
      </c>
      <c r="F5" s="16"/>
      <c r="G5" s="21"/>
      <c r="H5" s="16"/>
      <c r="I5" s="16"/>
      <c r="J5" s="16"/>
      <c r="K5" s="21"/>
      <c r="L5" s="16"/>
      <c r="M5" s="16"/>
      <c r="N5" s="21"/>
      <c r="O5" s="90"/>
      <c r="P5" s="90"/>
      <c r="Q5" s="90"/>
      <c r="R5" s="90"/>
      <c r="S5" s="91"/>
      <c r="T5" s="21"/>
      <c r="U5" s="16"/>
      <c r="V5" s="21"/>
      <c r="W5" s="91"/>
      <c r="X5" s="91"/>
      <c r="Y5" s="91"/>
      <c r="Z5" s="91"/>
      <c r="AA5" s="91"/>
      <c r="AB5" s="91"/>
      <c r="AC5" s="90"/>
      <c r="AD5" s="91"/>
      <c r="AE5" s="91"/>
      <c r="AF5" s="90"/>
      <c r="AG5" s="91"/>
      <c r="AH5" s="91"/>
      <c r="AI5" s="91"/>
      <c r="AJ5" s="91"/>
      <c r="AK5" s="90"/>
      <c r="AL5" s="90">
        <v>1.0</v>
      </c>
      <c r="AM5" s="16"/>
      <c r="AN5" s="90" t="s">
        <v>40</v>
      </c>
      <c r="AO5" s="90"/>
      <c r="AP5" s="91"/>
      <c r="AQ5" s="91"/>
      <c r="AR5" s="91"/>
      <c r="AS5" s="90" t="s">
        <v>39</v>
      </c>
      <c r="AT5" s="91"/>
      <c r="AU5" s="91"/>
      <c r="AV5" s="91"/>
      <c r="AW5" s="91"/>
      <c r="AX5" s="91"/>
      <c r="AY5" s="91"/>
      <c r="AZ5" s="91"/>
      <c r="BA5" s="91"/>
    </row>
    <row r="6">
      <c r="A6" s="14" t="s">
        <v>413</v>
      </c>
      <c r="B6" s="10">
        <f t="shared" si="1"/>
        <v>2</v>
      </c>
      <c r="C6" s="10">
        <f t="shared" si="2"/>
        <v>0</v>
      </c>
      <c r="D6" s="11">
        <f t="array" ref="D6">SUM(IF(F6:AW6="R",1,0))</f>
        <v>2</v>
      </c>
      <c r="E6" s="11">
        <f t="array" ref="E6">SUM(IF(F6:AW6="R2",1,0))</f>
        <v>2</v>
      </c>
      <c r="F6" s="91"/>
      <c r="G6" s="91"/>
      <c r="H6" s="91"/>
      <c r="I6" s="90"/>
      <c r="J6" s="91"/>
      <c r="K6" s="91"/>
      <c r="L6" s="90" t="s">
        <v>40</v>
      </c>
      <c r="M6" s="91"/>
      <c r="N6" s="90" t="s">
        <v>39</v>
      </c>
      <c r="O6" s="91"/>
      <c r="P6" s="91"/>
      <c r="Q6" s="91"/>
      <c r="R6" s="90"/>
      <c r="S6" s="91"/>
      <c r="T6" s="91"/>
      <c r="U6" s="91"/>
      <c r="V6" s="90"/>
      <c r="W6" s="91"/>
      <c r="X6" s="91"/>
      <c r="Y6" s="91"/>
      <c r="Z6" s="91"/>
      <c r="AA6" s="91"/>
      <c r="AB6" s="90" t="s">
        <v>40</v>
      </c>
      <c r="AC6" s="90" t="s">
        <v>39</v>
      </c>
      <c r="AD6" s="90"/>
      <c r="AE6" s="91"/>
      <c r="AF6" s="91"/>
      <c r="AG6" s="91"/>
      <c r="AH6" s="91"/>
      <c r="AI6" s="90"/>
      <c r="AJ6" s="91"/>
      <c r="AK6" s="91"/>
      <c r="AL6" s="91"/>
      <c r="AM6" s="90"/>
      <c r="AN6" s="91"/>
      <c r="AO6" s="91"/>
      <c r="AP6" s="90"/>
      <c r="AQ6" s="91"/>
      <c r="AR6" s="91"/>
      <c r="AS6" s="91"/>
      <c r="AT6" s="90"/>
      <c r="AU6" s="91"/>
      <c r="AV6" s="91"/>
      <c r="AW6" s="91"/>
      <c r="AX6" s="91"/>
      <c r="AY6" s="91"/>
      <c r="AZ6" s="91"/>
      <c r="BA6" s="91"/>
    </row>
    <row r="7">
      <c r="A7" s="14" t="s">
        <v>414</v>
      </c>
      <c r="B7" s="10">
        <f t="shared" si="1"/>
        <v>3</v>
      </c>
      <c r="C7" s="10">
        <f t="shared" si="2"/>
        <v>1</v>
      </c>
      <c r="D7" s="11">
        <f t="array" ref="D7">SUM(IF(F7:AW7="R",1,0))</f>
        <v>2</v>
      </c>
      <c r="E7" s="11">
        <f t="array" ref="E7">SUM(IF(F7:AW7="R2",1,0))</f>
        <v>1</v>
      </c>
      <c r="F7" s="90"/>
      <c r="G7" s="91"/>
      <c r="H7" s="91"/>
      <c r="I7" s="91"/>
      <c r="J7" s="91"/>
      <c r="K7" s="16"/>
      <c r="L7" s="90" t="s">
        <v>39</v>
      </c>
      <c r="M7" s="21"/>
      <c r="N7" s="90"/>
      <c r="O7" s="90"/>
      <c r="P7" s="16"/>
      <c r="Q7" s="16"/>
      <c r="R7" s="21"/>
      <c r="S7" s="21"/>
      <c r="T7" s="16"/>
      <c r="U7" s="16"/>
      <c r="V7" s="21"/>
      <c r="W7" s="90" t="s">
        <v>40</v>
      </c>
      <c r="X7" s="90"/>
      <c r="Y7" s="21"/>
      <c r="Z7" s="16"/>
      <c r="AA7" s="16"/>
      <c r="AB7" s="16"/>
      <c r="AC7" s="91"/>
      <c r="AD7" s="90" t="s">
        <v>39</v>
      </c>
      <c r="AE7" s="91"/>
      <c r="AF7" s="90"/>
      <c r="AG7" s="90"/>
      <c r="AH7" s="91"/>
      <c r="AI7" s="91"/>
      <c r="AJ7" s="91"/>
      <c r="AK7" s="90"/>
      <c r="AL7" s="91"/>
      <c r="AM7" s="16"/>
      <c r="AN7" s="91"/>
      <c r="AO7" s="90">
        <v>1.0</v>
      </c>
      <c r="AP7" s="90"/>
      <c r="AQ7" s="91"/>
      <c r="AR7" s="90"/>
      <c r="AS7" s="90"/>
      <c r="AT7" s="91"/>
      <c r="AU7" s="91"/>
      <c r="AV7" s="91"/>
      <c r="AW7" s="91"/>
      <c r="AX7" s="91"/>
      <c r="AY7" s="91"/>
      <c r="AZ7" s="91"/>
      <c r="BA7" s="91"/>
    </row>
    <row r="8">
      <c r="A8" s="26" t="s">
        <v>284</v>
      </c>
      <c r="B8" s="10">
        <f t="shared" si="1"/>
        <v>0</v>
      </c>
      <c r="C8" s="10">
        <f t="shared" si="2"/>
        <v>0</v>
      </c>
      <c r="D8" s="11">
        <f t="array" ref="D8">SUM(IF(G8:AW8="R",1,0))</f>
        <v>0</v>
      </c>
      <c r="E8" s="11">
        <f t="array" ref="E8">SUM(IF(F8:AW8="R2",1,0))</f>
        <v>0</v>
      </c>
      <c r="F8" s="90"/>
      <c r="G8" s="91"/>
      <c r="H8" s="91"/>
      <c r="I8" s="91"/>
      <c r="J8" s="91"/>
      <c r="K8" s="91"/>
      <c r="L8" s="91"/>
      <c r="M8" s="91"/>
      <c r="N8" s="91"/>
      <c r="O8" s="90"/>
      <c r="P8" s="91"/>
      <c r="Q8" s="91"/>
      <c r="R8" s="91"/>
      <c r="S8" s="91"/>
      <c r="T8" s="91"/>
      <c r="U8" s="91"/>
      <c r="V8" s="91"/>
      <c r="W8" s="91"/>
      <c r="X8" s="90"/>
      <c r="Y8" s="91"/>
      <c r="Z8" s="91"/>
      <c r="AA8" s="91"/>
      <c r="AB8" s="90"/>
      <c r="AC8" s="91"/>
      <c r="AD8" s="91"/>
      <c r="AE8" s="90"/>
      <c r="AF8" s="91"/>
      <c r="AG8" s="90"/>
      <c r="AH8" s="91"/>
      <c r="AI8" s="91"/>
      <c r="AJ8" s="91"/>
      <c r="AK8" s="91"/>
      <c r="AL8" s="91"/>
      <c r="AM8" s="91"/>
      <c r="AN8" s="91"/>
      <c r="AO8" s="91"/>
      <c r="AP8" s="91"/>
      <c r="AQ8" s="91"/>
      <c r="AR8" s="91"/>
      <c r="AS8" s="91"/>
      <c r="AT8" s="91"/>
      <c r="AU8" s="91"/>
      <c r="AV8" s="91"/>
      <c r="AW8" s="91"/>
      <c r="AY8" s="61"/>
      <c r="AZ8" s="91"/>
      <c r="BA8" s="91"/>
    </row>
    <row r="9">
      <c r="A9" s="22" t="s">
        <v>363</v>
      </c>
      <c r="B9" s="10"/>
      <c r="C9" s="10">
        <f t="shared" si="2"/>
        <v>2</v>
      </c>
      <c r="D9" s="11">
        <f t="array" ref="D9">SUM(IF(F9:AW9="R",1,0))</f>
        <v>2</v>
      </c>
      <c r="E9" s="11">
        <f t="array" ref="E9">SUM(IF(F9:AW9="R2",1,0))</f>
        <v>2</v>
      </c>
      <c r="F9" s="16"/>
      <c r="G9" s="90"/>
      <c r="H9" s="91"/>
      <c r="I9" s="91"/>
      <c r="J9" s="91"/>
      <c r="K9" s="91"/>
      <c r="L9" s="90"/>
      <c r="M9" s="91"/>
      <c r="N9" s="90">
        <v>1.0</v>
      </c>
      <c r="O9" s="90"/>
      <c r="P9" s="91"/>
      <c r="Q9" s="91"/>
      <c r="R9" s="91"/>
      <c r="S9" s="90" t="s">
        <v>39</v>
      </c>
      <c r="T9" s="91"/>
      <c r="U9" s="21"/>
      <c r="V9" s="16"/>
      <c r="W9" s="91"/>
      <c r="X9" s="90" t="s">
        <v>39</v>
      </c>
      <c r="Y9" s="90"/>
      <c r="Z9" s="91"/>
      <c r="AA9" s="91"/>
      <c r="AB9" s="91"/>
      <c r="AC9" s="91"/>
      <c r="AD9" s="90" t="s">
        <v>40</v>
      </c>
      <c r="AE9" s="91"/>
      <c r="AF9" s="90">
        <v>1.0</v>
      </c>
      <c r="AG9" s="90"/>
      <c r="AH9" s="91"/>
      <c r="AI9" s="91"/>
      <c r="AJ9" s="91"/>
      <c r="AK9" s="91"/>
      <c r="AL9" s="90" t="s">
        <v>40</v>
      </c>
      <c r="AM9" s="91"/>
      <c r="AN9" s="91"/>
      <c r="AO9" s="91"/>
      <c r="AP9" s="91"/>
      <c r="AQ9" s="90"/>
      <c r="AR9" s="91"/>
      <c r="AS9" s="91"/>
      <c r="AT9" s="90"/>
      <c r="AU9" s="91"/>
      <c r="AV9" s="91"/>
      <c r="AW9" s="91"/>
      <c r="AX9" s="91"/>
      <c r="AY9" s="91"/>
      <c r="AZ9" s="91"/>
      <c r="BA9" s="91"/>
    </row>
    <row r="10">
      <c r="A10" s="22" t="s">
        <v>362</v>
      </c>
      <c r="B10" s="10">
        <f>SUM(C10:D10)</f>
        <v>1</v>
      </c>
      <c r="C10" s="10">
        <f t="shared" si="2"/>
        <v>0</v>
      </c>
      <c r="D10" s="11">
        <f t="array" ref="D10">SUM(IF(F10:AW10="R",1,0))</f>
        <v>1</v>
      </c>
      <c r="E10" s="11">
        <f t="array" ref="E10">SUM(IF(F10:AW10="R2",1,0))</f>
        <v>1</v>
      </c>
      <c r="F10" s="91"/>
      <c r="G10" s="91"/>
      <c r="H10" s="90"/>
      <c r="I10" s="91"/>
      <c r="J10" s="90" t="s">
        <v>39</v>
      </c>
      <c r="K10" s="91"/>
      <c r="L10" s="91"/>
      <c r="M10" s="91"/>
      <c r="N10" s="90"/>
      <c r="O10" s="91"/>
      <c r="P10" s="91"/>
      <c r="Q10" s="91"/>
      <c r="R10" s="90"/>
      <c r="S10" s="91"/>
      <c r="T10" s="91"/>
      <c r="U10" s="90"/>
      <c r="V10" s="91"/>
      <c r="W10" s="90"/>
      <c r="X10" s="91"/>
      <c r="Y10" s="91"/>
      <c r="Z10" s="91"/>
      <c r="AA10" s="90"/>
      <c r="AB10" s="91"/>
      <c r="AC10" s="91"/>
      <c r="AD10" s="91"/>
      <c r="AE10" s="91"/>
      <c r="AF10" s="91"/>
      <c r="AG10" s="91"/>
      <c r="AH10" s="91"/>
      <c r="AI10" s="91"/>
      <c r="AJ10" s="90" t="s">
        <v>40</v>
      </c>
      <c r="AK10" s="91"/>
      <c r="AL10" s="91"/>
      <c r="AM10" s="91"/>
      <c r="AN10" s="91"/>
      <c r="AO10" s="91"/>
      <c r="AP10" s="90"/>
      <c r="AQ10" s="91"/>
      <c r="AR10" s="90"/>
      <c r="AS10" s="90"/>
      <c r="AT10" s="90"/>
      <c r="AU10" s="91"/>
      <c r="AV10" s="91"/>
      <c r="AW10" s="91"/>
      <c r="AX10" s="91"/>
      <c r="AY10" s="91"/>
      <c r="AZ10" s="91"/>
      <c r="BA10" s="91"/>
    </row>
    <row r="11">
      <c r="A11" s="22" t="s">
        <v>415</v>
      </c>
      <c r="B11" s="10"/>
      <c r="C11" s="10">
        <f t="shared" si="2"/>
        <v>2</v>
      </c>
      <c r="D11" s="11">
        <f t="array" ref="D11">SUM(IF(F11:AW11="R",1,0))</f>
        <v>2</v>
      </c>
      <c r="E11" s="11">
        <f t="array" ref="E11">SUM(IF(F11:AW11="R2",1,0))</f>
        <v>2</v>
      </c>
      <c r="F11" s="91"/>
      <c r="G11" s="91"/>
      <c r="H11" s="91"/>
      <c r="I11" s="91"/>
      <c r="J11" s="91"/>
      <c r="K11" s="90">
        <v>1.0</v>
      </c>
      <c r="L11" s="91"/>
      <c r="M11" s="90" t="s">
        <v>39</v>
      </c>
      <c r="N11" s="90"/>
      <c r="O11" s="16"/>
      <c r="P11" s="90"/>
      <c r="Q11" s="91"/>
      <c r="R11" s="91"/>
      <c r="S11" s="90"/>
      <c r="T11" s="90">
        <v>1.0</v>
      </c>
      <c r="U11" s="91"/>
      <c r="V11" s="91"/>
      <c r="W11" s="90" t="s">
        <v>39</v>
      </c>
      <c r="X11" s="91"/>
      <c r="Y11" s="21"/>
      <c r="Z11" s="16"/>
      <c r="AA11" s="90" t="s">
        <v>40</v>
      </c>
      <c r="AB11" s="91"/>
      <c r="AC11" s="90" t="s">
        <v>40</v>
      </c>
      <c r="AD11" s="91"/>
      <c r="AE11" s="91"/>
      <c r="AF11" s="91"/>
      <c r="AG11" s="21"/>
      <c r="AH11" s="90"/>
      <c r="AI11" s="91"/>
      <c r="AJ11" s="91"/>
      <c r="AK11" s="91"/>
      <c r="AL11" s="91"/>
      <c r="AM11" s="91"/>
      <c r="AN11" s="91"/>
      <c r="AO11" s="91"/>
      <c r="AP11" s="91"/>
      <c r="AQ11" s="21"/>
      <c r="AR11" s="16"/>
      <c r="AS11" s="91"/>
      <c r="AT11" s="91"/>
      <c r="AU11" s="91"/>
      <c r="AV11" s="91"/>
      <c r="AW11" s="91"/>
      <c r="AX11" s="91"/>
      <c r="AY11" s="91"/>
      <c r="AZ11" s="91"/>
      <c r="BA11" s="91"/>
    </row>
    <row r="12" hidden="1">
      <c r="A12" s="20" t="s">
        <v>231</v>
      </c>
      <c r="B12" s="10"/>
      <c r="C12" s="10">
        <f t="shared" si="2"/>
        <v>0</v>
      </c>
      <c r="D12" s="11">
        <f t="array" ref="D12">SUM(IF(F12:AW12="R",1,0))</f>
        <v>0</v>
      </c>
      <c r="E12" s="11">
        <f t="array" ref="E12">SUM(IF(F12:AW12="R2",1,0))</f>
        <v>0</v>
      </c>
      <c r="F12" s="91"/>
      <c r="G12" s="91"/>
      <c r="H12" s="90"/>
      <c r="I12" s="90"/>
      <c r="J12" s="91"/>
      <c r="K12" s="91"/>
      <c r="L12" s="91"/>
      <c r="M12" s="91"/>
      <c r="N12" s="91"/>
      <c r="O12" s="90"/>
      <c r="P12" s="91"/>
      <c r="Q12" s="91"/>
      <c r="R12" s="90"/>
      <c r="S12" s="90"/>
      <c r="T12" s="91"/>
      <c r="U12" s="91"/>
      <c r="V12" s="91"/>
      <c r="W12" s="90"/>
      <c r="X12" s="91"/>
      <c r="Y12" s="90"/>
      <c r="Z12" s="90"/>
      <c r="AA12" s="91"/>
      <c r="AB12" s="91"/>
      <c r="AC12" s="91"/>
      <c r="AD12" s="91"/>
      <c r="AE12" s="91"/>
      <c r="AF12" s="90"/>
      <c r="AG12" s="90"/>
      <c r="AH12" s="91"/>
      <c r="AI12" s="91"/>
      <c r="AJ12" s="91"/>
      <c r="AK12" s="91"/>
      <c r="AL12" s="91"/>
      <c r="AM12" s="91"/>
      <c r="AN12" s="91"/>
      <c r="AO12" s="91"/>
      <c r="AP12" s="90"/>
      <c r="AQ12" s="91"/>
      <c r="AR12" s="91"/>
      <c r="AS12" s="91"/>
      <c r="AT12" s="91"/>
      <c r="AU12" s="91"/>
      <c r="AV12" s="91"/>
      <c r="AW12" s="91"/>
      <c r="AX12" s="91"/>
      <c r="AY12" s="91"/>
      <c r="AZ12" s="91"/>
      <c r="BA12" s="91"/>
    </row>
    <row r="13" hidden="1">
      <c r="A13" s="20" t="s">
        <v>416</v>
      </c>
      <c r="B13" s="10"/>
      <c r="C13" s="10">
        <f t="shared" si="2"/>
        <v>0</v>
      </c>
      <c r="D13" s="11">
        <f t="array" ref="D13">SUM(IF(F13:AW13="R",1,0))</f>
        <v>0</v>
      </c>
      <c r="E13" s="11">
        <f t="array" ref="E13">SUM(IF(F13:AW13="R2",1,0))</f>
        <v>0</v>
      </c>
      <c r="F13" s="91"/>
      <c r="G13" s="90"/>
      <c r="H13" s="91"/>
      <c r="I13" s="91"/>
      <c r="J13" s="91"/>
      <c r="K13" s="91"/>
      <c r="L13" s="91"/>
      <c r="M13" s="90"/>
      <c r="N13" s="90"/>
      <c r="O13" s="91"/>
      <c r="P13" s="91"/>
      <c r="Q13" s="90"/>
      <c r="R13" s="91"/>
      <c r="S13" s="91"/>
      <c r="T13" s="91"/>
      <c r="U13" s="90"/>
      <c r="V13" s="91"/>
      <c r="W13" s="90"/>
      <c r="X13" s="90"/>
      <c r="Y13" s="91"/>
      <c r="Z13" s="90"/>
      <c r="AA13" s="91"/>
      <c r="AB13" s="90"/>
      <c r="AC13" s="91"/>
      <c r="AD13" s="91"/>
      <c r="AE13" s="90"/>
      <c r="AF13" s="91"/>
      <c r="AG13" s="91"/>
      <c r="AH13" s="90"/>
      <c r="AI13" s="90"/>
      <c r="AJ13" s="91"/>
      <c r="AK13" s="90"/>
      <c r="AL13" s="90"/>
      <c r="AM13" s="91"/>
      <c r="AN13" s="91"/>
      <c r="AO13" s="91"/>
      <c r="AP13" s="91"/>
      <c r="AQ13" s="91"/>
      <c r="AR13" s="91"/>
      <c r="AS13" s="91"/>
      <c r="AT13" s="91"/>
      <c r="AU13" s="91"/>
      <c r="AV13" s="91"/>
      <c r="AW13" s="91"/>
      <c r="AX13" s="91"/>
      <c r="AY13" s="91"/>
      <c r="AZ13" s="91"/>
      <c r="BA13" s="91"/>
    </row>
    <row r="14" hidden="1">
      <c r="A14" s="20" t="s">
        <v>365</v>
      </c>
      <c r="B14" s="10">
        <f>SUM(C14:D14)</f>
        <v>0</v>
      </c>
      <c r="C14" s="10">
        <f t="shared" si="2"/>
        <v>0</v>
      </c>
      <c r="D14" s="11">
        <f t="array" ref="D14">SUM(IF(F14:AW14="R",1,0))</f>
        <v>0</v>
      </c>
      <c r="E14" s="11">
        <f t="array" ref="E14">SUM(IF(F14:AW14="R2",1,0))</f>
        <v>0</v>
      </c>
      <c r="F14" s="91"/>
      <c r="G14" s="91"/>
      <c r="H14" s="91"/>
      <c r="I14" s="91"/>
      <c r="J14" s="91"/>
      <c r="K14" s="91"/>
      <c r="L14" s="91"/>
      <c r="M14" s="91"/>
      <c r="N14" s="91"/>
      <c r="O14" s="91"/>
      <c r="P14" s="91"/>
      <c r="Q14" s="91"/>
      <c r="R14" s="91"/>
      <c r="S14" s="91"/>
      <c r="T14" s="91"/>
      <c r="U14" s="91"/>
      <c r="V14" s="91"/>
      <c r="W14" s="91"/>
      <c r="X14" s="91"/>
      <c r="Y14" s="90"/>
      <c r="Z14" s="90"/>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row>
    <row r="15">
      <c r="A15" s="20" t="s">
        <v>287</v>
      </c>
      <c r="B15" s="10"/>
      <c r="C15" s="10">
        <f t="shared" si="2"/>
        <v>1</v>
      </c>
      <c r="D15" s="11">
        <f t="array" ref="D15">SUM(IF(F15:AW15="R",1,0))</f>
        <v>0</v>
      </c>
      <c r="E15" s="11">
        <f t="array" ref="E15">SUM(IF(F15:AW15="R2",1,0))</f>
        <v>1</v>
      </c>
      <c r="F15" s="90"/>
      <c r="G15" s="21"/>
      <c r="H15" s="21"/>
      <c r="I15" s="90" t="s">
        <v>40</v>
      </c>
      <c r="J15" s="91"/>
      <c r="K15" s="91"/>
      <c r="L15" s="91"/>
      <c r="M15" s="90">
        <v>1.0</v>
      </c>
      <c r="N15" s="91"/>
      <c r="O15" s="91"/>
      <c r="P15" s="90"/>
      <c r="Q15" s="91"/>
      <c r="R15" s="91"/>
      <c r="S15" s="90"/>
      <c r="T15" s="91"/>
      <c r="U15" s="16"/>
      <c r="V15" s="16"/>
      <c r="W15" s="90"/>
      <c r="X15" s="90"/>
      <c r="Y15" s="21"/>
      <c r="Z15" s="21"/>
      <c r="AA15" s="21"/>
      <c r="AB15" s="16"/>
      <c r="AC15" s="90"/>
      <c r="AD15" s="91"/>
      <c r="AE15" s="91"/>
      <c r="AF15" s="90"/>
      <c r="AG15" s="16"/>
      <c r="AH15" s="16"/>
      <c r="AI15" s="16"/>
      <c r="AJ15" s="16"/>
      <c r="AK15" s="16"/>
      <c r="AL15" s="91"/>
      <c r="AM15" s="90"/>
      <c r="AN15" s="91"/>
      <c r="AO15" s="90"/>
      <c r="AP15" s="91"/>
      <c r="AQ15" s="91"/>
      <c r="AR15" s="90"/>
      <c r="AS15" s="21"/>
      <c r="AT15" s="16"/>
      <c r="AU15" s="91"/>
      <c r="AV15" s="91"/>
      <c r="AW15" s="91"/>
      <c r="AX15" s="91"/>
      <c r="AY15" s="91"/>
      <c r="AZ15" s="91"/>
      <c r="BA15" s="91"/>
    </row>
    <row r="16" ht="15.0" hidden="1" customHeight="1">
      <c r="A16" s="23" t="s">
        <v>366</v>
      </c>
      <c r="B16" s="10">
        <f>SUM(C16:D16)</f>
        <v>0</v>
      </c>
      <c r="C16" s="10">
        <f t="shared" si="2"/>
        <v>0</v>
      </c>
      <c r="D16" s="11">
        <f t="array" ref="D16">SUM(IF(F16:AW16="R",1,0))</f>
        <v>0</v>
      </c>
      <c r="E16" s="11">
        <f t="array" ref="E16">SUM(IF(F16:AW16="R2",1,0))</f>
        <v>0</v>
      </c>
      <c r="F16" s="91"/>
      <c r="G16" s="91"/>
      <c r="H16" s="90"/>
      <c r="I16" s="91"/>
      <c r="J16" s="91"/>
      <c r="K16" s="91"/>
      <c r="L16" s="91"/>
      <c r="M16" s="91"/>
      <c r="N16" s="91"/>
      <c r="O16" s="91"/>
      <c r="P16" s="91"/>
      <c r="Q16" s="91"/>
      <c r="R16" s="91"/>
      <c r="S16" s="91"/>
      <c r="T16" s="91"/>
      <c r="U16" s="91"/>
      <c r="V16" s="91"/>
      <c r="W16" s="91"/>
      <c r="X16" s="91"/>
      <c r="Y16" s="91"/>
      <c r="Z16" s="91"/>
      <c r="AA16" s="90"/>
      <c r="AB16" s="91"/>
      <c r="AC16" s="91"/>
      <c r="AD16" s="91"/>
      <c r="AE16" s="91"/>
      <c r="AF16" s="91"/>
      <c r="AG16" s="91"/>
      <c r="AH16" s="91"/>
      <c r="AI16" s="91"/>
      <c r="AJ16" s="91"/>
      <c r="AK16" s="91"/>
      <c r="AL16" s="91"/>
      <c r="AM16" s="91"/>
      <c r="AN16" s="91"/>
      <c r="AO16" s="91"/>
      <c r="AP16" s="90"/>
      <c r="AQ16" s="91"/>
      <c r="AR16" s="91"/>
      <c r="AS16" s="91"/>
      <c r="AT16" s="91"/>
      <c r="AU16" s="91"/>
      <c r="AV16" s="91"/>
      <c r="AW16" s="91"/>
      <c r="AX16" s="91"/>
      <c r="AY16" s="91"/>
      <c r="AZ16" s="91"/>
      <c r="BA16" s="91"/>
    </row>
    <row r="17" hidden="1">
      <c r="A17" s="23" t="s">
        <v>53</v>
      </c>
      <c r="B17" s="10"/>
      <c r="C17" s="10">
        <f t="shared" si="2"/>
        <v>0</v>
      </c>
      <c r="D17" s="11">
        <f t="array" ref="D17">SUM(IF(F17:AW17="R",1,0))</f>
        <v>0</v>
      </c>
      <c r="E17" s="11">
        <f t="array" ref="E17">SUM(IF(F17:AW17="R2",1,0))</f>
        <v>0</v>
      </c>
      <c r="F17" s="91"/>
      <c r="G17" s="91"/>
      <c r="H17" s="91"/>
      <c r="I17" s="91"/>
      <c r="J17" s="91"/>
      <c r="K17" s="91"/>
      <c r="L17" s="91"/>
      <c r="M17" s="91"/>
      <c r="N17" s="91"/>
      <c r="O17" s="91"/>
      <c r="P17" s="91"/>
      <c r="Q17" s="9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row>
    <row r="18" hidden="1">
      <c r="A18" s="23" t="s">
        <v>258</v>
      </c>
      <c r="B18" s="10">
        <f t="shared" ref="B18:B20" si="3">SUM(C18:D18)</f>
        <v>0</v>
      </c>
      <c r="C18" s="10">
        <f t="shared" si="2"/>
        <v>0</v>
      </c>
      <c r="D18" s="11">
        <f t="array" ref="D18">SUM(IF(F18:AW18="R",1,0))</f>
        <v>0</v>
      </c>
      <c r="E18" s="11">
        <f t="array" ref="E18">SUM(IF(F18:AW18="R2",1,0))</f>
        <v>0</v>
      </c>
      <c r="F18" s="91"/>
      <c r="G18" s="91"/>
      <c r="H18" s="91"/>
      <c r="I18" s="91"/>
      <c r="J18" s="91"/>
      <c r="K18" s="91"/>
      <c r="L18" s="91"/>
      <c r="M18" s="91"/>
      <c r="N18" s="91"/>
      <c r="O18" s="91"/>
      <c r="P18" s="91"/>
      <c r="Q18" s="91"/>
      <c r="R18" s="91"/>
      <c r="S18" s="91"/>
      <c r="T18" s="91"/>
      <c r="U18" s="91"/>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c r="AZ18" s="91"/>
      <c r="BA18" s="91"/>
    </row>
    <row r="19" hidden="1">
      <c r="A19" s="20" t="s">
        <v>388</v>
      </c>
      <c r="B19" s="10">
        <f t="shared" si="3"/>
        <v>0</v>
      </c>
      <c r="C19" s="10">
        <f t="shared" si="2"/>
        <v>0</v>
      </c>
      <c r="D19" s="11">
        <f t="array" ref="D19">SUM(IF(F19:AW19="R",1,0))</f>
        <v>0</v>
      </c>
      <c r="E19" s="11">
        <f t="array" ref="E19">SUM(IF(F19:AW19="R2",1,0))</f>
        <v>0</v>
      </c>
      <c r="F19" s="91"/>
      <c r="G19" s="90"/>
      <c r="H19" s="91"/>
      <c r="I19" s="90"/>
      <c r="J19" s="91"/>
      <c r="K19" s="90"/>
      <c r="L19" s="91"/>
      <c r="M19" s="91"/>
      <c r="N19" s="91"/>
      <c r="O19" s="91"/>
      <c r="P19" s="91"/>
      <c r="Q19" s="90"/>
      <c r="R19" s="91"/>
      <c r="S19" s="91"/>
      <c r="T19" s="91"/>
      <c r="U19" s="90"/>
      <c r="V19" s="91"/>
      <c r="W19" s="91"/>
      <c r="X19" s="91"/>
      <c r="Y19" s="90"/>
      <c r="Z19" s="91"/>
      <c r="AA19" s="91"/>
      <c r="AB19" s="91"/>
      <c r="AC19" s="91"/>
      <c r="AD19" s="91"/>
      <c r="AE19" s="91"/>
      <c r="AF19" s="91"/>
      <c r="AG19" s="91"/>
      <c r="AH19" s="91"/>
      <c r="AI19" s="91"/>
      <c r="AJ19" s="91"/>
      <c r="AK19" s="91"/>
      <c r="AL19" s="91"/>
      <c r="AM19" s="91"/>
      <c r="AN19" s="91"/>
      <c r="AO19" s="91"/>
      <c r="AP19" s="90"/>
      <c r="AQ19" s="91"/>
      <c r="AR19" s="91"/>
      <c r="AS19" s="91"/>
      <c r="AT19" s="91"/>
      <c r="AU19" s="91"/>
      <c r="AV19" s="91"/>
      <c r="AW19" s="91"/>
      <c r="AX19" s="91"/>
      <c r="AY19" s="91"/>
      <c r="AZ19" s="91"/>
      <c r="BA19" s="91"/>
    </row>
    <row r="20">
      <c r="A20" s="26" t="s">
        <v>367</v>
      </c>
      <c r="B20" s="10">
        <f t="shared" si="3"/>
        <v>3</v>
      </c>
      <c r="C20" s="10">
        <f t="shared" si="2"/>
        <v>1</v>
      </c>
      <c r="D20" s="11">
        <f t="array" ref="D20">SUM(IF(F20:AW20="R",1,0))</f>
        <v>2</v>
      </c>
      <c r="E20" s="11">
        <f t="array" ref="E20">SUM(IF(F20:AW20="R2",1,0))</f>
        <v>2</v>
      </c>
      <c r="F20" s="91"/>
      <c r="G20" s="91"/>
      <c r="H20" s="91"/>
      <c r="I20" s="90"/>
      <c r="J20" s="91"/>
      <c r="K20" s="91"/>
      <c r="L20" s="91"/>
      <c r="M20" s="91"/>
      <c r="N20" s="91"/>
      <c r="O20" s="91"/>
      <c r="P20" s="90" t="s">
        <v>63</v>
      </c>
      <c r="Q20" s="91"/>
      <c r="R20" s="90"/>
      <c r="S20" s="91"/>
      <c r="T20" s="91"/>
      <c r="U20" s="90"/>
      <c r="V20" s="91"/>
      <c r="W20" s="91"/>
      <c r="X20" s="91"/>
      <c r="Y20" s="90" t="s">
        <v>62</v>
      </c>
      <c r="Z20" s="91"/>
      <c r="AA20" s="91"/>
      <c r="AB20" s="91"/>
      <c r="AC20" s="91"/>
      <c r="AD20" s="90"/>
      <c r="AE20" s="90"/>
      <c r="AF20" s="91"/>
      <c r="AG20" s="90"/>
      <c r="AH20" s="90" t="s">
        <v>63</v>
      </c>
      <c r="AI20" s="91"/>
      <c r="AJ20" s="90">
        <v>1.0</v>
      </c>
      <c r="AK20" s="91"/>
      <c r="AL20" s="91"/>
      <c r="AM20" s="91"/>
      <c r="AN20" s="90"/>
      <c r="AO20" s="90"/>
      <c r="AP20" s="91"/>
      <c r="AQ20" s="90" t="s">
        <v>40</v>
      </c>
      <c r="AR20" s="91"/>
      <c r="AS20" s="91"/>
      <c r="AT20" s="91"/>
      <c r="AU20" s="91"/>
      <c r="AV20" s="91"/>
      <c r="AW20" s="91"/>
      <c r="AX20" s="91"/>
      <c r="AY20" s="91"/>
      <c r="AZ20" s="91"/>
      <c r="BA20" s="91"/>
    </row>
    <row r="21" hidden="1">
      <c r="A21" s="9" t="s">
        <v>56</v>
      </c>
      <c r="B21" s="10"/>
      <c r="C21" s="10">
        <f t="shared" si="2"/>
        <v>0</v>
      </c>
      <c r="D21" s="11">
        <f t="array" ref="D21">SUM(IF(F21:AW21="R",1,0))</f>
        <v>0</v>
      </c>
      <c r="E21" s="11">
        <f t="array" ref="E21">SUM(IF(F21:AW21="R2",1,0))</f>
        <v>0</v>
      </c>
      <c r="F21" s="91"/>
      <c r="G21" s="91"/>
      <c r="H21" s="91"/>
      <c r="I21" s="91"/>
      <c r="J21" s="91"/>
      <c r="K21" s="91"/>
      <c r="L21" s="91"/>
      <c r="M21" s="91"/>
      <c r="N21" s="91"/>
      <c r="O21" s="91"/>
      <c r="P21" s="91"/>
      <c r="Q21" s="9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1"/>
      <c r="AR21" s="91"/>
      <c r="AS21" s="91"/>
      <c r="AT21" s="91"/>
      <c r="AU21" s="91"/>
      <c r="AV21" s="91"/>
      <c r="AW21" s="91"/>
      <c r="AX21" s="91"/>
      <c r="AY21" s="91"/>
      <c r="AZ21" s="91"/>
      <c r="BA21" s="91"/>
    </row>
    <row r="22">
      <c r="A22" s="25" t="s">
        <v>389</v>
      </c>
      <c r="B22" s="10">
        <f>SUM(C22:D22)</f>
        <v>0</v>
      </c>
      <c r="C22" s="10">
        <f t="shared" si="2"/>
        <v>0</v>
      </c>
      <c r="D22" s="11">
        <f t="array" ref="D22">SUM(IF(F22:AW22="R",1,0))</f>
        <v>0</v>
      </c>
      <c r="E22" s="11">
        <f t="array" ref="E22">SUM(IF(F22:AW22="R2",1,0))</f>
        <v>0</v>
      </c>
      <c r="F22" s="91"/>
      <c r="G22" s="91"/>
      <c r="H22" s="91"/>
      <c r="I22" s="91"/>
      <c r="J22" s="91"/>
      <c r="K22" s="91"/>
      <c r="L22" s="91"/>
      <c r="M22" s="90"/>
      <c r="N22" s="91"/>
      <c r="O22" s="91"/>
      <c r="P22" s="90"/>
      <c r="Q22" s="90"/>
      <c r="R22" s="91"/>
      <c r="S22" s="90"/>
      <c r="T22" s="90"/>
      <c r="U22" s="90"/>
      <c r="V22" s="91"/>
      <c r="W22" s="90"/>
      <c r="X22" s="90"/>
      <c r="Y22" s="90"/>
      <c r="Z22" s="91"/>
      <c r="AA22" s="90"/>
      <c r="AB22" s="91"/>
      <c r="AC22" s="91"/>
      <c r="AD22" s="90"/>
      <c r="AE22" s="90"/>
      <c r="AF22" s="91"/>
      <c r="AG22" s="91"/>
      <c r="AH22" s="90"/>
      <c r="AI22" s="91"/>
      <c r="AJ22" s="91"/>
      <c r="AK22" s="91"/>
      <c r="AL22" s="91"/>
      <c r="AM22" s="91"/>
      <c r="AN22" s="91"/>
      <c r="AO22" s="91"/>
      <c r="AP22" s="91"/>
      <c r="AQ22" s="91"/>
      <c r="AR22" s="90"/>
      <c r="AS22" s="90"/>
      <c r="AT22" s="91"/>
      <c r="AU22" s="91"/>
      <c r="AV22" s="91"/>
      <c r="AW22" s="91"/>
      <c r="AX22" s="91"/>
      <c r="AY22" s="91"/>
      <c r="AZ22" s="91"/>
      <c r="BA22" s="91"/>
    </row>
    <row r="23">
      <c r="A23" s="25" t="s">
        <v>417</v>
      </c>
      <c r="B23" s="10"/>
      <c r="C23" s="10">
        <f t="shared" si="2"/>
        <v>1</v>
      </c>
      <c r="D23" s="11">
        <f t="array" ref="D23">SUM(IF(F23:AW23="R",1,0))</f>
        <v>2</v>
      </c>
      <c r="E23" s="11">
        <f t="array" ref="E23">SUM(IF(F23:AW23="R2",1,0))</f>
        <v>2</v>
      </c>
      <c r="F23" s="91"/>
      <c r="G23" s="91"/>
      <c r="H23" s="91"/>
      <c r="I23" s="91"/>
      <c r="J23" s="91"/>
      <c r="K23" s="91"/>
      <c r="L23" s="91"/>
      <c r="M23" s="91"/>
      <c r="N23" s="91"/>
      <c r="O23" s="91"/>
      <c r="P23" s="91"/>
      <c r="Q23" s="91"/>
      <c r="R23" s="91"/>
      <c r="S23" s="91"/>
      <c r="T23" s="21"/>
      <c r="U23" s="21" t="s">
        <v>39</v>
      </c>
      <c r="V23" s="21"/>
      <c r="W23" s="91"/>
      <c r="X23" s="90"/>
      <c r="Y23" s="91"/>
      <c r="Z23" s="91"/>
      <c r="AA23" s="90"/>
      <c r="AB23" s="91"/>
      <c r="AC23" s="91"/>
      <c r="AD23" s="90"/>
      <c r="AE23" s="90"/>
      <c r="AF23" s="91"/>
      <c r="AG23" s="90"/>
      <c r="AH23" s="90" t="s">
        <v>40</v>
      </c>
      <c r="AI23" s="91"/>
      <c r="AJ23" s="91"/>
      <c r="AK23" s="90" t="s">
        <v>40</v>
      </c>
      <c r="AL23" s="91"/>
      <c r="AM23" s="91"/>
      <c r="AN23" s="90">
        <v>1.0</v>
      </c>
      <c r="AO23" s="91"/>
      <c r="AP23" s="90" t="s">
        <v>39</v>
      </c>
      <c r="AQ23" s="91"/>
      <c r="AR23" s="90"/>
      <c r="AS23" s="90"/>
      <c r="AT23" s="91"/>
      <c r="AU23" s="91"/>
      <c r="AV23" s="91"/>
      <c r="AW23" s="91"/>
      <c r="AX23" s="91"/>
      <c r="AY23" s="91"/>
      <c r="AZ23" s="91"/>
      <c r="BA23" s="91"/>
    </row>
    <row r="24">
      <c r="A24" s="9" t="s">
        <v>390</v>
      </c>
      <c r="B24" s="10">
        <f>SUM(C24:D24)</f>
        <v>3</v>
      </c>
      <c r="C24" s="10">
        <f t="shared" si="2"/>
        <v>1</v>
      </c>
      <c r="D24" s="11">
        <f t="array" ref="D24">SUM(IF(F24:AW24="R",1,0))</f>
        <v>2</v>
      </c>
      <c r="E24" s="11">
        <f t="array" ref="E24">SUM(IF(F24:AW24="R2",1,0))</f>
        <v>2</v>
      </c>
      <c r="F24" s="90"/>
      <c r="G24" s="90"/>
      <c r="H24" s="91"/>
      <c r="I24" s="90"/>
      <c r="J24" s="90">
        <v>1.0</v>
      </c>
      <c r="K24" s="91"/>
      <c r="L24" s="90"/>
      <c r="M24" s="91"/>
      <c r="N24" s="90"/>
      <c r="O24" s="16"/>
      <c r="P24" s="91"/>
      <c r="Q24" s="90" t="s">
        <v>39</v>
      </c>
      <c r="R24" s="91"/>
      <c r="S24" s="91"/>
      <c r="T24" s="90" t="s">
        <v>40</v>
      </c>
      <c r="U24" s="91"/>
      <c r="V24" s="90"/>
      <c r="W24" s="91"/>
      <c r="X24" s="90" t="s">
        <v>40</v>
      </c>
      <c r="Y24" s="91"/>
      <c r="Z24" s="91"/>
      <c r="AA24" s="90"/>
      <c r="AB24" s="90" t="s">
        <v>39</v>
      </c>
      <c r="AC24" s="91"/>
      <c r="AD24" s="91"/>
      <c r="AE24" s="90"/>
      <c r="AF24" s="91"/>
      <c r="AG24" s="90"/>
      <c r="AH24" s="91"/>
      <c r="AI24" s="90"/>
      <c r="AJ24" s="91"/>
      <c r="AK24" s="91"/>
      <c r="AL24" s="91"/>
      <c r="AM24" s="91"/>
      <c r="AN24" s="91"/>
      <c r="AO24" s="91"/>
      <c r="AP24" s="91"/>
      <c r="AQ24" s="91"/>
      <c r="AR24" s="91"/>
      <c r="AS24" s="91"/>
      <c r="AT24" s="90"/>
      <c r="AU24" s="91"/>
      <c r="AV24" s="91"/>
      <c r="AW24" s="91"/>
      <c r="AX24" s="91"/>
      <c r="AY24" s="91"/>
      <c r="AZ24" s="91"/>
      <c r="BA24" s="91"/>
    </row>
    <row r="25">
      <c r="A25" s="9" t="s">
        <v>448</v>
      </c>
      <c r="B25" s="28"/>
      <c r="C25" s="10">
        <f t="shared" si="2"/>
        <v>2</v>
      </c>
      <c r="D25" s="11">
        <f t="array" ref="D25">SUM(IF(F25:AW25="R",1,0))</f>
        <v>1</v>
      </c>
      <c r="E25" s="11">
        <f t="array" ref="E25">SUM(IF(F25:AW25="R2",1,0))</f>
        <v>2</v>
      </c>
      <c r="F25" s="97"/>
      <c r="G25" s="97"/>
      <c r="H25" s="97"/>
      <c r="I25" s="97"/>
      <c r="J25" s="97"/>
      <c r="K25" s="97" t="s">
        <v>39</v>
      </c>
      <c r="L25" s="96"/>
      <c r="M25" s="96"/>
      <c r="N25" s="96"/>
      <c r="O25" s="97">
        <v>1.0</v>
      </c>
      <c r="P25" s="97"/>
      <c r="Q25" s="96"/>
      <c r="R25" s="97"/>
      <c r="S25" s="97"/>
      <c r="T25" s="96"/>
      <c r="U25" s="96"/>
      <c r="V25" s="97" t="s">
        <v>40</v>
      </c>
      <c r="W25" s="97"/>
      <c r="X25" s="97">
        <v>1.0</v>
      </c>
      <c r="Y25" s="96"/>
      <c r="Z25" s="97"/>
      <c r="AA25" s="96"/>
      <c r="AB25" s="96"/>
      <c r="AC25" s="97"/>
      <c r="AD25" s="96"/>
      <c r="AE25" s="97" t="s">
        <v>40</v>
      </c>
      <c r="AF25" s="97"/>
      <c r="AG25" s="96"/>
      <c r="AH25" s="97"/>
      <c r="AI25" s="97"/>
      <c r="AJ25" s="96"/>
      <c r="AK25" s="96"/>
      <c r="AL25" s="96"/>
      <c r="AM25" s="97"/>
      <c r="AN25" s="96"/>
      <c r="AO25" s="97"/>
      <c r="AP25" s="97"/>
      <c r="AQ25" s="96"/>
      <c r="AR25" s="97"/>
      <c r="AS25" s="97"/>
      <c r="AT25" s="96"/>
      <c r="AU25" s="97"/>
      <c r="AV25" s="96"/>
      <c r="AW25" s="97"/>
      <c r="AX25" s="96"/>
      <c r="AY25" s="96"/>
      <c r="AZ25" s="96"/>
      <c r="BA25" s="96"/>
    </row>
    <row r="26">
      <c r="A26" s="62" t="s">
        <v>449</v>
      </c>
      <c r="B26" s="10"/>
      <c r="C26" s="10">
        <f t="shared" si="2"/>
        <v>1</v>
      </c>
      <c r="D26" s="11">
        <f t="array" ref="D26">SUM(IF(F26:AW26="R",1,0))</f>
        <v>2</v>
      </c>
      <c r="E26" s="11">
        <f t="array" ref="E26">SUM(IF(F26:AW26="R2",1,0))</f>
        <v>2</v>
      </c>
      <c r="F26" s="91"/>
      <c r="G26" s="91"/>
      <c r="H26" s="90" t="s">
        <v>40</v>
      </c>
      <c r="I26" s="91"/>
      <c r="J26" s="91"/>
      <c r="K26" s="90" t="s">
        <v>40</v>
      </c>
      <c r="L26" s="91"/>
      <c r="M26" s="91"/>
      <c r="N26" s="91"/>
      <c r="O26" s="90"/>
      <c r="P26" s="91"/>
      <c r="Q26" s="90"/>
      <c r="R26" s="91"/>
      <c r="S26" s="91"/>
      <c r="T26" s="91"/>
      <c r="U26" s="91"/>
      <c r="V26" s="91"/>
      <c r="W26" s="90"/>
      <c r="X26" s="91"/>
      <c r="Y26" s="91"/>
      <c r="Z26" s="90">
        <v>1.0</v>
      </c>
      <c r="AA26" s="91"/>
      <c r="AB26" s="91"/>
      <c r="AC26" s="90"/>
      <c r="AD26" s="91"/>
      <c r="AE26" s="91"/>
      <c r="AF26" s="90"/>
      <c r="AG26" s="91"/>
      <c r="AH26" s="91"/>
      <c r="AI26" s="90" t="s">
        <v>39</v>
      </c>
      <c r="AJ26" s="90"/>
      <c r="AK26" s="91"/>
      <c r="AL26" s="91"/>
      <c r="AM26" s="90"/>
      <c r="AN26" s="91"/>
      <c r="AO26" s="91"/>
      <c r="AP26" s="91"/>
      <c r="AQ26" s="91"/>
      <c r="AR26" s="90" t="s">
        <v>39</v>
      </c>
      <c r="AS26" s="91"/>
      <c r="AT26" s="91"/>
      <c r="AU26" s="91"/>
      <c r="AV26" s="91"/>
      <c r="AW26" s="91"/>
      <c r="AX26" s="91"/>
      <c r="AY26" s="91"/>
      <c r="AZ26" s="91"/>
      <c r="BA26" s="91"/>
    </row>
    <row r="27">
      <c r="A27" s="62" t="s">
        <v>391</v>
      </c>
      <c r="B27" s="10">
        <f>SUM(C27:D27)</f>
        <v>4</v>
      </c>
      <c r="C27" s="10">
        <f t="shared" si="2"/>
        <v>2</v>
      </c>
      <c r="D27" s="11">
        <f t="array" ref="D27">SUM(IF(F27:AW27="R",1,0))</f>
        <v>2</v>
      </c>
      <c r="E27" s="11">
        <f t="array" ref="E27">SUM(IF(F27:AW27="R2",1,0))</f>
        <v>2</v>
      </c>
      <c r="F27" s="90">
        <v>1.0</v>
      </c>
      <c r="G27" s="91"/>
      <c r="H27" s="90" t="s">
        <v>39</v>
      </c>
      <c r="I27" s="90"/>
      <c r="J27" s="91"/>
      <c r="K27" s="91"/>
      <c r="L27" s="91"/>
      <c r="M27" s="90" t="s">
        <v>40</v>
      </c>
      <c r="N27" s="91"/>
      <c r="O27" s="91"/>
      <c r="P27" s="91"/>
      <c r="Q27" s="90" t="s">
        <v>40</v>
      </c>
      <c r="R27" s="91"/>
      <c r="S27" s="90">
        <v>1.0</v>
      </c>
      <c r="T27" s="91"/>
      <c r="U27" s="91"/>
      <c r="V27" s="90"/>
      <c r="W27" s="91"/>
      <c r="X27" s="91"/>
      <c r="Y27" s="90"/>
      <c r="Z27" s="90" t="s">
        <v>39</v>
      </c>
      <c r="AA27" s="91"/>
      <c r="AB27" s="90"/>
      <c r="AC27" s="91"/>
      <c r="AD27" s="91"/>
      <c r="AE27" s="90"/>
      <c r="AF27" s="90"/>
      <c r="AG27" s="91"/>
      <c r="AH27" s="91"/>
      <c r="AI27" s="90"/>
      <c r="AJ27" s="90"/>
      <c r="AK27" s="91"/>
      <c r="AL27" s="91"/>
      <c r="AM27" s="90"/>
      <c r="AN27" s="91"/>
      <c r="AO27" s="91"/>
      <c r="AP27" s="91"/>
      <c r="AQ27" s="91"/>
      <c r="AR27" s="90"/>
      <c r="AS27" s="90"/>
      <c r="AT27" s="91"/>
      <c r="AU27" s="91"/>
      <c r="AV27" s="91"/>
      <c r="AW27" s="91"/>
      <c r="AX27" s="91"/>
      <c r="AY27" s="91"/>
      <c r="AZ27" s="91"/>
      <c r="BA27" s="91"/>
    </row>
    <row r="28">
      <c r="A28" s="62" t="s">
        <v>418</v>
      </c>
      <c r="B28" s="10"/>
      <c r="C28" s="10">
        <f t="shared" si="2"/>
        <v>2</v>
      </c>
      <c r="D28" s="11">
        <f t="array" ref="D28">SUM(IF(F28:AW28="R",1,0))</f>
        <v>2</v>
      </c>
      <c r="E28" s="11">
        <f t="array" ref="E28">SUM(IF(F28:AW28="R2",1,0))</f>
        <v>2</v>
      </c>
      <c r="F28" s="91"/>
      <c r="G28" s="91"/>
      <c r="H28" s="90"/>
      <c r="I28" s="91"/>
      <c r="J28" s="91"/>
      <c r="K28" s="91"/>
      <c r="L28" s="91"/>
      <c r="M28" s="91"/>
      <c r="N28" s="91"/>
      <c r="O28" s="91"/>
      <c r="P28" s="91"/>
      <c r="Q28" s="91"/>
      <c r="R28" s="91"/>
      <c r="S28" s="91"/>
      <c r="T28" s="90" t="s">
        <v>39</v>
      </c>
      <c r="U28" s="91"/>
      <c r="V28" s="91"/>
      <c r="W28" s="90">
        <v>1.0</v>
      </c>
      <c r="X28" s="90"/>
      <c r="Y28" s="91"/>
      <c r="Z28" s="90"/>
      <c r="AA28" s="91"/>
      <c r="AB28" s="90"/>
      <c r="AC28" s="90">
        <v>1.0</v>
      </c>
      <c r="AD28" s="90"/>
      <c r="AE28" s="91"/>
      <c r="AF28" s="90" t="s">
        <v>40</v>
      </c>
      <c r="AG28" s="90"/>
      <c r="AH28" s="90"/>
      <c r="AI28" s="90"/>
      <c r="AJ28" s="91"/>
      <c r="AK28" s="90"/>
      <c r="AL28" s="90" t="s">
        <v>39</v>
      </c>
      <c r="AM28" s="90"/>
      <c r="AN28" s="90"/>
      <c r="AO28" s="90"/>
      <c r="AP28" s="91"/>
      <c r="AQ28" s="91"/>
      <c r="AR28" s="90"/>
      <c r="AS28" s="90" t="s">
        <v>40</v>
      </c>
      <c r="AT28" s="91"/>
      <c r="AU28" s="91"/>
      <c r="AV28" s="91"/>
      <c r="AW28" s="91"/>
      <c r="AX28" s="91"/>
      <c r="AY28" s="91"/>
      <c r="AZ28" s="91"/>
      <c r="BA28" s="91"/>
    </row>
    <row r="29">
      <c r="A29" s="62" t="s">
        <v>369</v>
      </c>
      <c r="B29" s="10">
        <f t="shared" ref="B29:B30" si="4">SUM(C29:D29)</f>
        <v>4</v>
      </c>
      <c r="C29" s="10">
        <f t="shared" si="2"/>
        <v>2</v>
      </c>
      <c r="D29" s="11">
        <f t="array" ref="D29">SUM(IF(F29:AW29="R",1,0))</f>
        <v>2</v>
      </c>
      <c r="E29" s="11">
        <f t="array" ref="E29">SUM(IF(F29:AW29="R2",1,0))</f>
        <v>2</v>
      </c>
      <c r="F29" s="90" t="s">
        <v>39</v>
      </c>
      <c r="G29" s="90"/>
      <c r="H29" s="90">
        <v>1.0</v>
      </c>
      <c r="I29" s="91"/>
      <c r="J29" s="90"/>
      <c r="K29" s="90"/>
      <c r="L29" s="91"/>
      <c r="M29" s="90"/>
      <c r="N29" s="91"/>
      <c r="O29" s="90" t="s">
        <v>40</v>
      </c>
      <c r="P29" s="91"/>
      <c r="Q29" s="91"/>
      <c r="R29" s="91"/>
      <c r="S29" s="90" t="s">
        <v>40</v>
      </c>
      <c r="T29" s="91"/>
      <c r="U29" s="91"/>
      <c r="V29" s="90" t="s">
        <v>39</v>
      </c>
      <c r="W29" s="91"/>
      <c r="X29" s="91"/>
      <c r="Y29" s="91"/>
      <c r="Z29" s="91"/>
      <c r="AA29" s="91"/>
      <c r="AB29" s="90">
        <v>1.0</v>
      </c>
      <c r="AC29" s="91"/>
      <c r="AD29" s="90"/>
      <c r="AE29" s="91"/>
      <c r="AF29" s="91"/>
      <c r="AG29" s="90"/>
      <c r="AH29" s="91"/>
      <c r="AI29" s="90"/>
      <c r="AJ29" s="90"/>
      <c r="AK29" s="91"/>
      <c r="AL29" s="91"/>
      <c r="AM29" s="90"/>
      <c r="AN29" s="90"/>
      <c r="AO29" s="91"/>
      <c r="AP29" s="91"/>
      <c r="AQ29" s="90"/>
      <c r="AR29" s="91"/>
      <c r="AS29" s="91"/>
      <c r="AT29" s="90"/>
      <c r="AU29" s="91"/>
      <c r="AV29" s="91"/>
      <c r="AW29" s="91"/>
      <c r="AX29" s="91"/>
      <c r="AY29" s="91"/>
      <c r="AZ29" s="91"/>
      <c r="BA29" s="91"/>
    </row>
    <row r="30">
      <c r="A30" s="27" t="s">
        <v>450</v>
      </c>
      <c r="B30" s="10">
        <f t="shared" si="4"/>
        <v>3</v>
      </c>
      <c r="C30" s="10">
        <f t="shared" si="2"/>
        <v>1</v>
      </c>
      <c r="D30" s="11">
        <f t="array" ref="D30">SUM(IF(F30:AW30="R",1,0))</f>
        <v>2</v>
      </c>
      <c r="E30" s="11">
        <f t="array" ref="E30">SUM(IF(F30:AW30="R2",1,0))</f>
        <v>2</v>
      </c>
      <c r="F30" s="117"/>
      <c r="G30" s="117"/>
      <c r="H30" s="117"/>
      <c r="I30" s="117"/>
      <c r="J30" s="91"/>
      <c r="K30" s="91"/>
      <c r="L30" s="91"/>
      <c r="M30" s="21"/>
      <c r="N30" s="91"/>
      <c r="O30" s="91"/>
      <c r="P30" s="91"/>
      <c r="Q30" s="90"/>
      <c r="R30" s="91"/>
      <c r="S30" s="91"/>
      <c r="T30" s="16"/>
      <c r="U30" s="16"/>
      <c r="V30" s="21">
        <v>1.0</v>
      </c>
      <c r="W30" s="90"/>
      <c r="X30" s="91"/>
      <c r="Y30" s="91"/>
      <c r="Z30" s="90"/>
      <c r="AA30" s="90"/>
      <c r="AB30" s="91"/>
      <c r="AC30" s="90"/>
      <c r="AD30" s="90"/>
      <c r="AE30" s="90" t="s">
        <v>39</v>
      </c>
      <c r="AF30" s="91"/>
      <c r="AG30" s="90" t="s">
        <v>40</v>
      </c>
      <c r="AH30" s="90"/>
      <c r="AI30" s="91"/>
      <c r="AJ30" s="90"/>
      <c r="AK30" s="91"/>
      <c r="AL30" s="91"/>
      <c r="AM30" s="91"/>
      <c r="AN30" s="90" t="s">
        <v>39</v>
      </c>
      <c r="AO30" s="90"/>
      <c r="AP30" s="90" t="s">
        <v>40</v>
      </c>
      <c r="AQ30" s="90"/>
      <c r="AR30" s="91"/>
      <c r="AS30" s="91"/>
      <c r="AT30" s="91"/>
      <c r="AU30" s="91"/>
      <c r="AV30" s="91"/>
      <c r="AW30" s="91"/>
      <c r="AX30" s="91"/>
      <c r="AY30" s="91"/>
      <c r="AZ30" s="91"/>
      <c r="BA30" s="91"/>
    </row>
    <row r="31">
      <c r="A31" s="26" t="s">
        <v>392</v>
      </c>
      <c r="B31" s="10"/>
      <c r="C31" s="10">
        <f t="shared" si="2"/>
        <v>3</v>
      </c>
      <c r="D31" s="11">
        <f t="array" ref="D31">SUM(IF(F31:AW31="R",1,0))</f>
        <v>2</v>
      </c>
      <c r="E31" s="11">
        <f t="array" ref="E31">SUM(IF(F31:AW31="R2",1,0))</f>
        <v>2</v>
      </c>
      <c r="F31" s="91"/>
      <c r="G31" s="91"/>
      <c r="H31" s="90"/>
      <c r="I31" s="90"/>
      <c r="J31" s="90"/>
      <c r="K31" s="90"/>
      <c r="L31" s="90"/>
      <c r="M31" s="91"/>
      <c r="N31" s="91"/>
      <c r="O31" s="91"/>
      <c r="P31" s="91"/>
      <c r="Q31" s="91"/>
      <c r="R31" s="91"/>
      <c r="S31" s="90"/>
      <c r="T31" s="91"/>
      <c r="U31" s="91"/>
      <c r="V31" s="91"/>
      <c r="W31" s="91"/>
      <c r="X31" s="90"/>
      <c r="Y31" s="90" t="s">
        <v>63</v>
      </c>
      <c r="Z31" s="90"/>
      <c r="AA31" s="90" t="s">
        <v>63</v>
      </c>
      <c r="AB31" s="90"/>
      <c r="AC31" s="91"/>
      <c r="AD31" s="91"/>
      <c r="AE31" s="91"/>
      <c r="AF31" s="91"/>
      <c r="AG31" s="91"/>
      <c r="AH31" s="91"/>
      <c r="AI31" s="90">
        <v>1.0</v>
      </c>
      <c r="AJ31" s="91"/>
      <c r="AK31" s="90">
        <v>1.0</v>
      </c>
      <c r="AL31" s="90"/>
      <c r="AM31" s="91"/>
      <c r="AN31" s="91"/>
      <c r="AO31" s="91"/>
      <c r="AP31" s="90">
        <v>1.0</v>
      </c>
      <c r="AQ31" s="91"/>
      <c r="AR31" s="90" t="s">
        <v>62</v>
      </c>
      <c r="AS31" s="91"/>
      <c r="AT31" s="90" t="s">
        <v>62</v>
      </c>
      <c r="AU31" s="91"/>
      <c r="AV31" s="91"/>
      <c r="AW31" s="91"/>
      <c r="AX31" s="91"/>
      <c r="AY31" s="91"/>
      <c r="AZ31" s="91"/>
      <c r="BA31" s="91"/>
    </row>
    <row r="32">
      <c r="A32" s="27" t="s">
        <v>393</v>
      </c>
      <c r="B32" s="10" t="str">
        <f>SUM(B4:B37)</f>
        <v>#REF!</v>
      </c>
      <c r="C32" s="10">
        <f t="shared" si="2"/>
        <v>2</v>
      </c>
      <c r="D32" s="11">
        <f t="array" ref="D32">SUM(IF(F32:AW32="R",1,0))</f>
        <v>1</v>
      </c>
      <c r="E32" s="11">
        <f t="array" ref="E32">SUM(IF(F32:AW32="R2",1,0))</f>
        <v>0</v>
      </c>
      <c r="F32" s="91"/>
      <c r="G32" s="91"/>
      <c r="H32" s="90"/>
      <c r="I32" s="90"/>
      <c r="J32" s="91"/>
      <c r="K32" s="90"/>
      <c r="L32" s="90">
        <v>1.0</v>
      </c>
      <c r="M32" s="91"/>
      <c r="N32" s="91"/>
      <c r="O32" s="91"/>
      <c r="P32" s="90"/>
      <c r="Q32" s="91"/>
      <c r="R32" s="91"/>
      <c r="S32" s="91"/>
      <c r="T32" s="90"/>
      <c r="U32" s="90">
        <v>1.0</v>
      </c>
      <c r="V32" s="91"/>
      <c r="W32" s="16"/>
      <c r="X32" s="103"/>
      <c r="Y32" s="16"/>
      <c r="Z32" s="16"/>
      <c r="AA32" s="16"/>
      <c r="AB32" s="16"/>
      <c r="AC32" s="16"/>
      <c r="AD32" s="16"/>
      <c r="AE32" s="16"/>
      <c r="AF32" s="21"/>
      <c r="AG32" s="16"/>
      <c r="AH32" s="16"/>
      <c r="AI32" s="21"/>
      <c r="AJ32" s="16"/>
      <c r="AK32" s="16"/>
      <c r="AL32" s="91"/>
      <c r="AM32" s="90" t="s">
        <v>39</v>
      </c>
      <c r="AN32" s="90"/>
      <c r="AO32" s="91"/>
      <c r="AP32" s="91"/>
      <c r="AQ32" s="91"/>
      <c r="AR32" s="91"/>
      <c r="AS32" s="91"/>
      <c r="AT32" s="91"/>
      <c r="AU32" s="100"/>
      <c r="AV32" s="100"/>
      <c r="AW32" s="100"/>
      <c r="AX32" s="100"/>
      <c r="AY32" s="100"/>
      <c r="AZ32" s="100"/>
      <c r="BA32" s="100"/>
    </row>
    <row r="33">
      <c r="A33" s="27" t="s">
        <v>149</v>
      </c>
      <c r="B33" s="28">
        <f t="shared" ref="B33:B34" si="5">SUM(F33:AU33)</f>
        <v>2</v>
      </c>
      <c r="C33" s="10">
        <f t="shared" si="2"/>
        <v>2</v>
      </c>
      <c r="D33" s="11">
        <f t="array" ref="D33">SUM(IF(F33:AW33="R",1,0))</f>
        <v>2</v>
      </c>
      <c r="E33" s="11">
        <f t="array" ref="E33">SUM(IF(F33:AW33="R2",1,0))</f>
        <v>2</v>
      </c>
      <c r="F33" s="90" t="s">
        <v>40</v>
      </c>
      <c r="G33" s="16"/>
      <c r="H33" s="16"/>
      <c r="I33" s="103"/>
      <c r="J33" s="16"/>
      <c r="K33" s="103"/>
      <c r="L33" s="91"/>
      <c r="M33" s="91"/>
      <c r="N33" s="90" t="s">
        <v>40</v>
      </c>
      <c r="O33" s="16"/>
      <c r="P33" s="16"/>
      <c r="Q33" s="16"/>
      <c r="R33" s="16"/>
      <c r="S33" s="16"/>
      <c r="T33" s="16"/>
      <c r="U33" s="16"/>
      <c r="V33" s="16"/>
      <c r="W33" s="21"/>
      <c r="X33" s="21"/>
      <c r="Y33" s="16"/>
      <c r="Z33" s="21"/>
      <c r="AA33" s="16"/>
      <c r="AB33" s="16"/>
      <c r="AC33" s="91"/>
      <c r="AD33" s="90">
        <v>1.0</v>
      </c>
      <c r="AE33" s="91"/>
      <c r="AF33" s="90" t="s">
        <v>39</v>
      </c>
      <c r="AG33" s="90"/>
      <c r="AH33" s="16"/>
      <c r="AI33" s="21"/>
      <c r="AJ33" s="21"/>
      <c r="AK33" s="21"/>
      <c r="AL33" s="90"/>
      <c r="AM33" s="90">
        <v>1.0</v>
      </c>
      <c r="AN33" s="91"/>
      <c r="AO33" s="90" t="s">
        <v>39</v>
      </c>
      <c r="AP33" s="91"/>
      <c r="AQ33" s="21"/>
      <c r="AR33" s="16"/>
      <c r="AS33" s="16"/>
      <c r="AT33" s="16"/>
      <c r="AU33" s="100"/>
      <c r="AV33" s="100"/>
      <c r="AW33" s="100"/>
      <c r="AX33" s="104"/>
      <c r="AY33" s="104"/>
      <c r="AZ33" s="104"/>
      <c r="BA33" s="104"/>
    </row>
    <row r="34">
      <c r="A34" s="27" t="s">
        <v>451</v>
      </c>
      <c r="B34" s="28">
        <f t="shared" si="5"/>
        <v>2</v>
      </c>
      <c r="C34" s="10">
        <f t="shared" si="2"/>
        <v>2</v>
      </c>
      <c r="D34" s="11">
        <f t="array" ref="D34">SUM(IF(F34:AW34="R",1,0))</f>
        <v>2</v>
      </c>
      <c r="E34" s="11">
        <f t="array" ref="E34">SUM(IF(F34:AW34="R2",1,0))</f>
        <v>2</v>
      </c>
      <c r="F34" s="91"/>
      <c r="G34" s="91"/>
      <c r="H34" s="91"/>
      <c r="I34" s="118"/>
      <c r="J34" s="91"/>
      <c r="K34" s="90"/>
      <c r="L34" s="91"/>
      <c r="M34" s="90"/>
      <c r="N34" s="91"/>
      <c r="O34" s="91"/>
      <c r="P34" s="90"/>
      <c r="Q34" s="90">
        <v>1.0</v>
      </c>
      <c r="R34" s="91"/>
      <c r="S34" s="91"/>
      <c r="T34" s="90"/>
      <c r="U34" s="91"/>
      <c r="V34" s="90"/>
      <c r="W34" s="118"/>
      <c r="X34" s="118"/>
      <c r="Y34" s="90"/>
      <c r="Z34" s="118"/>
      <c r="AA34" s="91"/>
      <c r="AB34" s="91"/>
      <c r="AC34" s="91"/>
      <c r="AD34" s="91"/>
      <c r="AE34" s="90"/>
      <c r="AF34" s="91"/>
      <c r="AG34" s="90">
        <v>1.0</v>
      </c>
      <c r="AH34" s="90"/>
      <c r="AI34" s="118"/>
      <c r="AJ34" s="90" t="s">
        <v>39</v>
      </c>
      <c r="AK34" s="118"/>
      <c r="AL34" s="118"/>
      <c r="AM34" s="90" t="s">
        <v>40</v>
      </c>
      <c r="AN34" s="91"/>
      <c r="AO34" s="90" t="s">
        <v>40</v>
      </c>
      <c r="AP34" s="91"/>
      <c r="AQ34" s="90" t="s">
        <v>39</v>
      </c>
      <c r="AR34" s="91"/>
      <c r="AS34" s="91"/>
      <c r="AT34" s="91"/>
      <c r="AU34" s="100"/>
      <c r="AV34" s="100"/>
      <c r="AW34" s="100"/>
      <c r="AX34" s="104"/>
      <c r="AY34" s="104"/>
      <c r="AZ34" s="104"/>
      <c r="BA34" s="104"/>
    </row>
    <row r="35">
      <c r="A35" s="44" t="s">
        <v>337</v>
      </c>
      <c r="C35" s="10">
        <f t="shared" si="2"/>
        <v>2</v>
      </c>
      <c r="D35" s="11">
        <f t="array" ref="D35">SUM(IF(F35:AW35="R",1,0))</f>
        <v>2</v>
      </c>
      <c r="E35" s="11">
        <f t="array" ref="E35">SUM(IF(G35:AX35="R2",1,0))</f>
        <v>2</v>
      </c>
      <c r="F35" s="104"/>
      <c r="G35" s="116"/>
      <c r="H35" s="116"/>
      <c r="I35" s="116"/>
      <c r="J35" s="116" t="s">
        <v>40</v>
      </c>
      <c r="K35" s="116"/>
      <c r="L35" s="116"/>
      <c r="M35" s="119"/>
      <c r="N35" s="116"/>
      <c r="O35" s="104"/>
      <c r="P35" s="116"/>
      <c r="Q35" s="116"/>
      <c r="R35" s="116" t="s">
        <v>39</v>
      </c>
      <c r="S35" s="116"/>
      <c r="T35" s="116"/>
      <c r="U35" s="116" t="s">
        <v>40</v>
      </c>
      <c r="V35" s="116"/>
      <c r="W35" s="119"/>
      <c r="X35" s="116"/>
      <c r="Y35" s="116"/>
      <c r="Z35" s="119"/>
      <c r="AA35" s="104"/>
      <c r="AB35" s="116"/>
      <c r="AC35" s="104"/>
      <c r="AD35" s="104"/>
      <c r="AE35" s="116">
        <v>1.0</v>
      </c>
      <c r="AF35" s="116"/>
      <c r="AG35" s="116" t="s">
        <v>39</v>
      </c>
      <c r="AH35" s="119"/>
      <c r="AI35" s="119"/>
      <c r="AJ35" s="119"/>
      <c r="AK35" s="116"/>
      <c r="AL35" s="116"/>
      <c r="AM35" s="104"/>
      <c r="AN35" s="104"/>
      <c r="AO35" s="116"/>
      <c r="AP35" s="104"/>
      <c r="AQ35" s="116"/>
      <c r="AR35" s="116">
        <v>1.0</v>
      </c>
      <c r="AS35" s="104"/>
      <c r="AT35" s="104"/>
      <c r="AU35" s="104"/>
      <c r="AV35" s="116"/>
      <c r="AW35" s="116"/>
      <c r="AX35" s="104"/>
      <c r="AY35" s="104"/>
      <c r="AZ35" s="104"/>
      <c r="BA35" s="104"/>
    </row>
    <row r="36">
      <c r="A36" s="44" t="s">
        <v>338</v>
      </c>
      <c r="C36" s="10">
        <f t="shared" si="2"/>
        <v>2</v>
      </c>
      <c r="D36" s="11">
        <f t="array" ref="D36">SUM(IF(F36:AW36="R",1,0))</f>
        <v>1</v>
      </c>
      <c r="E36" s="11">
        <f t="array" ref="E36">SUM(IF(G36:AX36="R2",1,0))</f>
        <v>1</v>
      </c>
      <c r="F36" s="116"/>
      <c r="G36" s="116"/>
      <c r="H36" s="116"/>
      <c r="I36" s="116">
        <v>1.0</v>
      </c>
      <c r="J36" s="116"/>
      <c r="K36" s="119"/>
      <c r="L36" s="116"/>
      <c r="M36" s="116"/>
      <c r="N36" s="119"/>
      <c r="O36" s="104"/>
      <c r="P36" s="119"/>
      <c r="Q36" s="119"/>
      <c r="R36" s="116">
        <v>1.0</v>
      </c>
      <c r="S36" s="119"/>
      <c r="T36" s="116"/>
      <c r="U36" s="119"/>
      <c r="V36" s="119"/>
      <c r="W36" s="119"/>
      <c r="X36" s="116"/>
      <c r="Y36" s="119"/>
      <c r="Z36" s="116"/>
      <c r="AA36" s="104"/>
      <c r="AB36" s="119"/>
      <c r="AC36" s="104"/>
      <c r="AD36" s="116"/>
      <c r="AE36" s="116"/>
      <c r="AF36" s="116"/>
      <c r="AG36" s="119"/>
      <c r="AH36" s="119"/>
      <c r="AI36" s="116" t="s">
        <v>40</v>
      </c>
      <c r="AJ36" s="119"/>
      <c r="AK36" s="116"/>
      <c r="AL36" s="116"/>
      <c r="AM36" s="116"/>
      <c r="AN36" s="104"/>
      <c r="AO36" s="116"/>
      <c r="AP36" s="104"/>
      <c r="AQ36" s="116"/>
      <c r="AR36" s="116"/>
      <c r="AS36" s="116"/>
      <c r="AT36" s="116" t="s">
        <v>39</v>
      </c>
      <c r="AU36" s="104"/>
      <c r="AV36" s="119"/>
      <c r="AW36" s="116"/>
      <c r="AX36" s="104"/>
      <c r="AY36" s="104"/>
      <c r="AZ36" s="104"/>
      <c r="BA36" s="104"/>
    </row>
    <row r="37">
      <c r="A37" s="26" t="s">
        <v>46</v>
      </c>
      <c r="B37" s="10">
        <f>SUM(C37:D37)</f>
        <v>0</v>
      </c>
      <c r="C37" s="10">
        <f t="shared" si="2"/>
        <v>0</v>
      </c>
      <c r="D37" s="11">
        <f t="array" ref="D37">SUM(IF(F37:AW37="R",1,0))</f>
        <v>0</v>
      </c>
      <c r="E37" s="11">
        <f t="array" ref="E37">SUM(IF(F37:AW37="R2",1,0))</f>
        <v>0</v>
      </c>
      <c r="F37" s="91"/>
      <c r="G37" s="90"/>
      <c r="H37" s="91"/>
      <c r="I37" s="90"/>
      <c r="J37" s="91"/>
      <c r="K37" s="91"/>
      <c r="L37" s="91"/>
      <c r="M37" s="90"/>
      <c r="N37" s="91"/>
      <c r="O37" s="91"/>
      <c r="P37" s="90"/>
      <c r="Q37" s="91"/>
      <c r="R37" s="91"/>
      <c r="S37" s="91"/>
      <c r="T37" s="91"/>
      <c r="U37" s="91"/>
      <c r="V37" s="91"/>
      <c r="W37" s="91"/>
      <c r="X37" s="91"/>
      <c r="Y37" s="90"/>
      <c r="Z37" s="91"/>
      <c r="AA37" s="91"/>
      <c r="AB37" s="91"/>
      <c r="AC37" s="91"/>
      <c r="AD37" s="91"/>
      <c r="AE37" s="91"/>
      <c r="AF37" s="91"/>
      <c r="AG37" s="91"/>
      <c r="AH37" s="91"/>
      <c r="AI37" s="91"/>
      <c r="AJ37" s="91"/>
      <c r="AK37" s="91"/>
      <c r="AL37" s="91"/>
      <c r="AM37" s="91"/>
      <c r="AN37" s="91"/>
      <c r="AO37" s="91"/>
      <c r="AP37" s="91"/>
      <c r="AQ37" s="91"/>
      <c r="AR37" s="91"/>
      <c r="AS37" s="91"/>
      <c r="AT37" s="91"/>
      <c r="AU37" s="91"/>
      <c r="AV37" s="91"/>
      <c r="AW37" s="91"/>
      <c r="AX37" s="90"/>
      <c r="AY37" s="90"/>
      <c r="AZ37" s="90"/>
      <c r="BA37" s="90"/>
    </row>
    <row r="38">
      <c r="A38" s="26" t="s">
        <v>419</v>
      </c>
      <c r="C38" s="10">
        <f t="shared" si="2"/>
        <v>4</v>
      </c>
      <c r="D38" s="11">
        <f t="array" ref="D38">SUM(IF(F38:AW38="R",1,0))</f>
        <v>2</v>
      </c>
      <c r="E38" s="11">
        <f t="array" ref="E38">SUM(IF(F38:AW38="R2",1,0))</f>
        <v>2</v>
      </c>
      <c r="F38" s="97"/>
      <c r="G38" s="97" t="s">
        <v>63</v>
      </c>
      <c r="H38" s="97"/>
      <c r="I38" s="97" t="s">
        <v>63</v>
      </c>
      <c r="J38" s="96"/>
      <c r="K38" s="96"/>
      <c r="L38" s="96"/>
      <c r="M38" s="120"/>
      <c r="N38" s="96"/>
      <c r="O38" s="96"/>
      <c r="P38" s="97" t="s">
        <v>62</v>
      </c>
      <c r="Q38" s="96"/>
      <c r="R38" s="97" t="s">
        <v>40</v>
      </c>
      <c r="S38" s="96"/>
      <c r="T38" s="96"/>
      <c r="U38" s="97"/>
      <c r="V38" s="96"/>
      <c r="W38" s="96"/>
      <c r="X38" s="96"/>
      <c r="Y38" s="97">
        <v>1.0</v>
      </c>
      <c r="Z38" s="96"/>
      <c r="AA38" s="97">
        <v>1.0</v>
      </c>
      <c r="AB38" s="97"/>
      <c r="AC38" s="96"/>
      <c r="AD38" s="96"/>
      <c r="AE38" s="96"/>
      <c r="AF38" s="96"/>
      <c r="AG38" s="97"/>
      <c r="AH38" s="96"/>
      <c r="AI38" s="97"/>
      <c r="AJ38" s="97"/>
      <c r="AK38" s="96"/>
      <c r="AL38" s="96"/>
      <c r="AM38" s="96"/>
      <c r="AN38" s="97"/>
      <c r="AO38" s="96"/>
      <c r="AP38" s="97"/>
      <c r="AQ38" s="97">
        <v>1.0</v>
      </c>
      <c r="AR38" s="97"/>
      <c r="AS38" s="97">
        <v>1.0</v>
      </c>
      <c r="AT38" s="97"/>
      <c r="AU38" s="116"/>
      <c r="AV38" s="116"/>
      <c r="AW38" s="116"/>
      <c r="AX38" s="11"/>
      <c r="AY38" s="11"/>
      <c r="AZ38" s="11"/>
      <c r="BA38" s="11"/>
    </row>
    <row r="39">
      <c r="A39" s="17" t="s">
        <v>68</v>
      </c>
      <c r="C39" s="10">
        <f t="shared" si="2"/>
        <v>41</v>
      </c>
      <c r="D39" s="11"/>
      <c r="E39" s="11"/>
      <c r="F39" s="28">
        <f t="shared" ref="F39:BA39" si="6">SUM(F3:F38)</f>
        <v>1</v>
      </c>
      <c r="G39" s="28">
        <f t="shared" si="6"/>
        <v>1</v>
      </c>
      <c r="H39" s="28">
        <f t="shared" si="6"/>
        <v>1</v>
      </c>
      <c r="I39" s="28">
        <f t="shared" si="6"/>
        <v>1</v>
      </c>
      <c r="J39" s="28">
        <f t="shared" si="6"/>
        <v>1</v>
      </c>
      <c r="K39" s="28">
        <f t="shared" si="6"/>
        <v>1</v>
      </c>
      <c r="L39" s="28">
        <f t="shared" si="6"/>
        <v>1</v>
      </c>
      <c r="M39" s="28">
        <f t="shared" si="6"/>
        <v>1</v>
      </c>
      <c r="N39" s="28">
        <f t="shared" si="6"/>
        <v>1</v>
      </c>
      <c r="O39" s="28">
        <f t="shared" si="6"/>
        <v>1</v>
      </c>
      <c r="P39" s="28">
        <f t="shared" si="6"/>
        <v>1</v>
      </c>
      <c r="Q39" s="28">
        <f t="shared" si="6"/>
        <v>1</v>
      </c>
      <c r="R39" s="28">
        <f t="shared" si="6"/>
        <v>1</v>
      </c>
      <c r="S39" s="28">
        <f t="shared" si="6"/>
        <v>1</v>
      </c>
      <c r="T39" s="28">
        <f t="shared" si="6"/>
        <v>1</v>
      </c>
      <c r="U39" s="28">
        <f t="shared" si="6"/>
        <v>1</v>
      </c>
      <c r="V39" s="28">
        <f t="shared" si="6"/>
        <v>1</v>
      </c>
      <c r="W39" s="28">
        <f t="shared" si="6"/>
        <v>1</v>
      </c>
      <c r="X39" s="28">
        <f t="shared" si="6"/>
        <v>1</v>
      </c>
      <c r="Y39" s="28">
        <f t="shared" si="6"/>
        <v>1</v>
      </c>
      <c r="Z39" s="28">
        <f t="shared" si="6"/>
        <v>1</v>
      </c>
      <c r="AA39" s="28">
        <f t="shared" si="6"/>
        <v>1</v>
      </c>
      <c r="AB39" s="28">
        <f t="shared" si="6"/>
        <v>1</v>
      </c>
      <c r="AC39" s="28">
        <f t="shared" si="6"/>
        <v>1</v>
      </c>
      <c r="AD39" s="28">
        <f t="shared" si="6"/>
        <v>1</v>
      </c>
      <c r="AE39" s="28">
        <f t="shared" si="6"/>
        <v>1</v>
      </c>
      <c r="AF39" s="28">
        <f t="shared" si="6"/>
        <v>1</v>
      </c>
      <c r="AG39" s="28">
        <f t="shared" si="6"/>
        <v>1</v>
      </c>
      <c r="AH39" s="28">
        <f t="shared" si="6"/>
        <v>1</v>
      </c>
      <c r="AI39" s="28">
        <f t="shared" si="6"/>
        <v>1</v>
      </c>
      <c r="AJ39" s="28">
        <f t="shared" si="6"/>
        <v>1</v>
      </c>
      <c r="AK39" s="28">
        <f t="shared" si="6"/>
        <v>1</v>
      </c>
      <c r="AL39" s="28">
        <f t="shared" si="6"/>
        <v>1</v>
      </c>
      <c r="AM39" s="28">
        <f t="shared" si="6"/>
        <v>1</v>
      </c>
      <c r="AN39" s="28">
        <f t="shared" si="6"/>
        <v>1</v>
      </c>
      <c r="AO39" s="28">
        <f t="shared" si="6"/>
        <v>1</v>
      </c>
      <c r="AP39" s="28">
        <f t="shared" si="6"/>
        <v>1</v>
      </c>
      <c r="AQ39" s="28">
        <f t="shared" si="6"/>
        <v>1</v>
      </c>
      <c r="AR39" s="28">
        <f t="shared" si="6"/>
        <v>1</v>
      </c>
      <c r="AS39" s="28">
        <f t="shared" si="6"/>
        <v>1</v>
      </c>
      <c r="AT39" s="28">
        <f t="shared" si="6"/>
        <v>1</v>
      </c>
      <c r="AU39" s="28">
        <f t="shared" si="6"/>
        <v>0</v>
      </c>
      <c r="AV39" s="28">
        <f t="shared" si="6"/>
        <v>0</v>
      </c>
      <c r="AW39" s="28">
        <f t="shared" si="6"/>
        <v>0</v>
      </c>
      <c r="AX39" s="28">
        <f t="shared" si="6"/>
        <v>0</v>
      </c>
      <c r="AY39" s="28">
        <f t="shared" si="6"/>
        <v>0</v>
      </c>
      <c r="AZ39" s="28">
        <f t="shared" si="6"/>
        <v>0</v>
      </c>
      <c r="BA39" s="28">
        <f t="shared" si="6"/>
        <v>0</v>
      </c>
    </row>
    <row r="40">
      <c r="A40" s="17" t="s">
        <v>69</v>
      </c>
      <c r="C40" s="10">
        <f t="shared" si="2"/>
        <v>41</v>
      </c>
      <c r="D40" s="11"/>
      <c r="E40" s="11"/>
      <c r="F40" s="11">
        <f t="array" ref="F40">SUM(IF(F3:F38="R",1,0))</f>
        <v>1</v>
      </c>
      <c r="G40" s="11">
        <f t="array" ref="G40">SUM(IF(G3:G38="R",1,0))</f>
        <v>1</v>
      </c>
      <c r="H40" s="11">
        <f t="array" ref="H40">SUM(IF(H3:H38="R",1,0))</f>
        <v>1</v>
      </c>
      <c r="I40" s="11">
        <f t="array" ref="I40">SUM(IF(I3:I38="R",1,0))</f>
        <v>1</v>
      </c>
      <c r="J40" s="11">
        <f t="array" ref="J40">SUM(IF(J3:J38="R",1,0))</f>
        <v>1</v>
      </c>
      <c r="K40" s="11">
        <f t="array" ref="K40">SUM(IF(K3:K38="R",1,0))</f>
        <v>1</v>
      </c>
      <c r="L40" s="11">
        <f t="array" ref="L40">SUM(IF(L3:L38="R",1,0))</f>
        <v>1</v>
      </c>
      <c r="M40" s="11">
        <f t="array" ref="M40">SUM(IF(M3:M38="R",1,0))</f>
        <v>1</v>
      </c>
      <c r="N40" s="11">
        <f t="array" ref="N40">SUM(IF(N3:N38="R",1,0))</f>
        <v>1</v>
      </c>
      <c r="O40" s="11">
        <f t="array" ref="O40">SUM(IF(O3:O38="R",1,0))</f>
        <v>1</v>
      </c>
      <c r="P40" s="11">
        <f t="array" ref="P40">SUM(IF(P3:P38="R",1,0))</f>
        <v>1</v>
      </c>
      <c r="Q40" s="11">
        <f t="array" ref="Q40">SUM(IF(Q3:Q38="R",1,0))</f>
        <v>1</v>
      </c>
      <c r="R40" s="11">
        <f t="array" ref="R40">SUM(IF(R3:R38="R",1,0))</f>
        <v>1</v>
      </c>
      <c r="S40" s="11">
        <f t="array" ref="S40">SUM(IF(S3:S38="R",1,0))</f>
        <v>1</v>
      </c>
      <c r="T40" s="11">
        <f t="array" ref="T40">SUM(IF(T3:T38="R",1,0))</f>
        <v>1</v>
      </c>
      <c r="U40" s="11">
        <f t="array" ref="U40">SUM(IF(U3:U38="R",1,0))</f>
        <v>1</v>
      </c>
      <c r="V40" s="11">
        <f t="array" ref="V40">SUM(IF(V3:V38="R",1,0))</f>
        <v>1</v>
      </c>
      <c r="W40" s="11">
        <f t="array" ref="W40">SUM(IF(W3:W38="R",1,0))</f>
        <v>1</v>
      </c>
      <c r="X40" s="11">
        <f t="array" ref="X40">SUM(IF(X3:X38="R",1,0))</f>
        <v>1</v>
      </c>
      <c r="Y40" s="11">
        <f t="array" ref="Y40">SUM(IF(Y3:Y38="R",1,0))</f>
        <v>1</v>
      </c>
      <c r="Z40" s="11">
        <f t="array" ref="Z40">SUM(IF(Z3:Z38="R",1,0))</f>
        <v>1</v>
      </c>
      <c r="AA40" s="11">
        <f t="array" ref="AA40">SUM(IF(AA3:AA38="R",1,0))</f>
        <v>1</v>
      </c>
      <c r="AB40" s="11">
        <f t="array" ref="AB40">SUM(IF(AB3:AB38="R",1,0))</f>
        <v>1</v>
      </c>
      <c r="AC40" s="11">
        <f t="array" ref="AC40">SUM(IF(AC3:AC38="R",1,0))</f>
        <v>1</v>
      </c>
      <c r="AD40" s="11">
        <f t="array" ref="AD40">SUM(IF(AD3:AD38="R",1,0))</f>
        <v>1</v>
      </c>
      <c r="AE40" s="11">
        <f t="array" ref="AE40">SUM(IF(AE3:AE38="R",1,0))</f>
        <v>1</v>
      </c>
      <c r="AF40" s="11">
        <f t="array" ref="AF40">SUM(IF(AF3:AF38="R",1,0))</f>
        <v>1</v>
      </c>
      <c r="AG40" s="11">
        <f t="array" ref="AG40">SUM(IF(AG3:AG38="R",1,0))</f>
        <v>1</v>
      </c>
      <c r="AH40" s="11">
        <f t="array" ref="AH40">SUM(IF(AH3:AH38="R",1,0))</f>
        <v>1</v>
      </c>
      <c r="AI40" s="11">
        <f t="array" ref="AI40">SUM(IF(AI3:AI38="R",1,0))</f>
        <v>1</v>
      </c>
      <c r="AJ40" s="11">
        <f t="array" ref="AJ40">SUM(IF(AJ3:AJ38="R",1,0))</f>
        <v>1</v>
      </c>
      <c r="AK40" s="11">
        <f t="array" ref="AK40">SUM(IF(AK3:AK38="R",1,0))</f>
        <v>1</v>
      </c>
      <c r="AL40" s="11">
        <f t="array" ref="AL40">SUM(IF(AL3:AL38="R",1,0))</f>
        <v>1</v>
      </c>
      <c r="AM40" s="11">
        <f t="array" ref="AM40">SUM(IF(AM3:AM38="R",1,0))</f>
        <v>1</v>
      </c>
      <c r="AN40" s="11">
        <f t="array" ref="AN40">SUM(IF(AN3:AN38="R",1,0))</f>
        <v>1</v>
      </c>
      <c r="AO40" s="11">
        <f t="array" ref="AO40">SUM(IF(AO3:AO38="R",1,0))</f>
        <v>1</v>
      </c>
      <c r="AP40" s="11">
        <f t="array" ref="AP40">SUM(IF(AP3:AP38="R",1,0))</f>
        <v>1</v>
      </c>
      <c r="AQ40" s="11">
        <f t="array" ref="AQ40">SUM(IF(AQ3:AQ38="R",1,0))</f>
        <v>1</v>
      </c>
      <c r="AR40" s="11">
        <f t="array" ref="AR40">SUM(IF(AR3:AR38="R",1,0))</f>
        <v>1</v>
      </c>
      <c r="AS40" s="11">
        <f t="array" ref="AS40">SUM(IF(AS3:AS38="R",1,0))</f>
        <v>1</v>
      </c>
      <c r="AT40" s="11">
        <f t="array" ref="AT40">SUM(IF(AT3:AT38="R",1,0))</f>
        <v>1</v>
      </c>
      <c r="AU40" s="11">
        <f t="array" ref="AU40">SUM(IF(AU3:AU38="R",1,0))</f>
        <v>0</v>
      </c>
      <c r="AV40" s="11">
        <f t="array" ref="AV40">SUM(IF(AV3:AV38="R",1,0))</f>
        <v>0</v>
      </c>
      <c r="AW40" s="11">
        <f t="array" ref="AW40">SUM(IF(AW3:AW38="R",1,0))</f>
        <v>0</v>
      </c>
      <c r="AX40" s="11">
        <f t="array" ref="AX40">SUM(IF(AX3:AX38="R",1,0))</f>
        <v>0</v>
      </c>
      <c r="AY40" s="11">
        <f t="array" ref="AY40">SUM(IF(AY3:AY38="R",1,0))</f>
        <v>0</v>
      </c>
      <c r="AZ40" s="11">
        <f t="array" ref="AZ40">SUM(IF(AZ3:AZ38="R",1,0))</f>
        <v>0</v>
      </c>
      <c r="BA40" s="11">
        <f t="array" ref="BA40">SUM(IF(BA3:BA38="R",1,0))</f>
        <v>0</v>
      </c>
    </row>
    <row r="41">
      <c r="A41" s="17" t="s">
        <v>70</v>
      </c>
      <c r="C41" s="10">
        <f t="shared" si="2"/>
        <v>41</v>
      </c>
      <c r="D41" s="11"/>
      <c r="E41" s="11"/>
      <c r="F41" s="11">
        <f t="array" ref="F41">SUM(IF(F3:F38="R2",1,0))</f>
        <v>1</v>
      </c>
      <c r="G41" s="11">
        <f t="array" ref="G41">SUM(IF(G3:G38="R2",1,0))</f>
        <v>1</v>
      </c>
      <c r="H41" s="11">
        <f t="array" ref="H41">SUM(IF(H3:H38="R2",1,0))</f>
        <v>1</v>
      </c>
      <c r="I41" s="11">
        <f t="array" ref="I41">SUM(IF(I3:I38="R2",1,0))</f>
        <v>1</v>
      </c>
      <c r="J41" s="11">
        <f t="array" ref="J41">SUM(IF(J3:J38="R2",1,0))</f>
        <v>1</v>
      </c>
      <c r="K41" s="11">
        <f t="array" ref="K41">SUM(IF(K3:K38="R2",1,0))</f>
        <v>1</v>
      </c>
      <c r="L41" s="11">
        <f t="array" ref="L41">SUM(IF(L3:L38="R2",1,0))</f>
        <v>1</v>
      </c>
      <c r="M41" s="11">
        <f t="array" ref="M41">SUM(IF(M3:M38="R2",1,0))</f>
        <v>1</v>
      </c>
      <c r="N41" s="11">
        <f t="array" ref="N41">SUM(IF(N3:N38="R2",1,0))</f>
        <v>1</v>
      </c>
      <c r="O41" s="11">
        <f t="array" ref="O41">SUM(IF(O3:O38="R2",1,0))</f>
        <v>1</v>
      </c>
      <c r="P41" s="11">
        <f t="array" ref="P41">SUM(IF(P3:P38="R2",1,0))</f>
        <v>1</v>
      </c>
      <c r="Q41" s="11">
        <f t="array" ref="Q41">SUM(IF(Q3:Q38="R2",1,0))</f>
        <v>1</v>
      </c>
      <c r="R41" s="11">
        <f t="array" ref="R41">SUM(IF(R3:R38="R2",1,0))</f>
        <v>1</v>
      </c>
      <c r="S41" s="11">
        <f t="array" ref="S41">SUM(IF(S3:S38="R2",1,0))</f>
        <v>1</v>
      </c>
      <c r="T41" s="11">
        <f t="array" ref="T41">SUM(IF(T3:T38="R2",1,0))</f>
        <v>1</v>
      </c>
      <c r="U41" s="11">
        <f t="array" ref="U41">SUM(IF(U3:U38="R2",1,0))</f>
        <v>1</v>
      </c>
      <c r="V41" s="11">
        <f t="array" ref="V41">SUM(IF(V3:V38="R2",1,0))</f>
        <v>1</v>
      </c>
      <c r="W41" s="11">
        <f t="array" ref="W41">SUM(IF(W3:W38="R2",1,0))</f>
        <v>1</v>
      </c>
      <c r="X41" s="11">
        <f t="array" ref="X41">SUM(IF(X3:X38="R2",1,0))</f>
        <v>1</v>
      </c>
      <c r="Y41" s="11">
        <f t="array" ref="Y41">SUM(IF(Y3:Y38="R2",1,0))</f>
        <v>1</v>
      </c>
      <c r="Z41" s="11">
        <f t="array" ref="Z41">SUM(IF(Z3:Z38="R2",1,0))</f>
        <v>1</v>
      </c>
      <c r="AA41" s="11">
        <f t="array" ref="AA41">SUM(IF(AA3:AA38="R2",1,0))</f>
        <v>1</v>
      </c>
      <c r="AB41" s="11">
        <f t="array" ref="AB41">SUM(IF(AB3:AB38="R2",1,0))</f>
        <v>1</v>
      </c>
      <c r="AC41" s="11">
        <f t="array" ref="AC41">SUM(IF(AC3:AC38="R2",1,0))</f>
        <v>1</v>
      </c>
      <c r="AD41" s="11">
        <f t="array" ref="AD41">SUM(IF(AD3:AD38="R2",1,0))</f>
        <v>1</v>
      </c>
      <c r="AE41" s="11">
        <f t="array" ref="AE41">SUM(IF(AE3:AE38="R2",1,0))</f>
        <v>1</v>
      </c>
      <c r="AF41" s="11">
        <f t="array" ref="AF41">SUM(IF(AF3:AF38="R2",1,0))</f>
        <v>1</v>
      </c>
      <c r="AG41" s="11">
        <f t="array" ref="AG41">SUM(IF(AG3:AG38="R2",1,0))</f>
        <v>1</v>
      </c>
      <c r="AH41" s="11">
        <f t="array" ref="AH41">SUM(IF(AH3:AH38="R2",1,0))</f>
        <v>1</v>
      </c>
      <c r="AI41" s="11">
        <f t="array" ref="AI41">SUM(IF(AI3:AI38="R2",1,0))</f>
        <v>1</v>
      </c>
      <c r="AJ41" s="11">
        <f t="array" ref="AJ41">SUM(IF(AJ3:AJ38="R2",1,0))</f>
        <v>1</v>
      </c>
      <c r="AK41" s="11">
        <f t="array" ref="AK41">SUM(IF(AK3:AK38="R2",1,0))</f>
        <v>1</v>
      </c>
      <c r="AL41" s="11">
        <f t="array" ref="AL41">SUM(IF(AL3:AL38="R2",1,0))</f>
        <v>1</v>
      </c>
      <c r="AM41" s="11">
        <f t="array" ref="AM41">SUM(IF(AM3:AM38="R2",1,0))</f>
        <v>1</v>
      </c>
      <c r="AN41" s="11">
        <f t="array" ref="AN41">SUM(IF(AN3:AN38="R2",1,0))</f>
        <v>1</v>
      </c>
      <c r="AO41" s="11">
        <f t="array" ref="AO41">SUM(IF(AO3:AO38="R2",1,0))</f>
        <v>1</v>
      </c>
      <c r="AP41" s="11">
        <f t="array" ref="AP41">SUM(IF(AP3:AP38="R2",1,0))</f>
        <v>1</v>
      </c>
      <c r="AQ41" s="11">
        <f t="array" ref="AQ41">SUM(IF(AQ3:AQ38="R2",1,0))</f>
        <v>1</v>
      </c>
      <c r="AR41" s="11">
        <f t="array" ref="AR41">SUM(IF(AR3:AR38="R2",1,0))</f>
        <v>1</v>
      </c>
      <c r="AS41" s="11">
        <f t="array" ref="AS41">SUM(IF(AS3:AS38="R2",1,0))</f>
        <v>1</v>
      </c>
      <c r="AT41" s="11">
        <f t="array" ref="AT41">SUM(IF(AT3:AT38="R2",1,0))</f>
        <v>1</v>
      </c>
      <c r="AU41" s="11">
        <f t="array" ref="AU41">SUM(IF(AU3:AU38="R2",1,0))</f>
        <v>0</v>
      </c>
      <c r="AV41" s="11">
        <f t="array" ref="AV41">SUM(IF(AV3:AV38="R2",1,0))</f>
        <v>0</v>
      </c>
      <c r="AW41" s="11">
        <f t="array" ref="AW41">SUM(IF(AW3:AW38="R2",1,0))</f>
        <v>0</v>
      </c>
      <c r="AX41" s="11">
        <f t="array" ref="AX41">SUM(IF(AX3:AX38="R2",1,0))</f>
        <v>0</v>
      </c>
      <c r="AY41" s="11">
        <f t="array" ref="AY41">SUM(IF(AY3:AY38="R2",1,0))</f>
        <v>0</v>
      </c>
      <c r="AZ41" s="11">
        <f t="array" ref="AZ41">SUM(IF(AZ3:AZ38="R2",1,0))</f>
        <v>0</v>
      </c>
      <c r="BA41" s="11">
        <f t="array" ref="BA41">SUM(IF(BA3:BA38="R2",1,0))</f>
        <v>0</v>
      </c>
    </row>
    <row r="42">
      <c r="E42" s="46" t="s">
        <v>71</v>
      </c>
      <c r="F42" s="29" t="str">
        <f t="shared" ref="F42:V42" si="7">IFERROR(INDEX($A$3:$A$38, MATCH(1, INDEX($F$3:$AW$38, 0, MATCH(F2, $F$2:$AW$2, 0)), 0)), INDEX($A$3:$A$38, MATCH(1, INDEX($F$3:$AW$38, 0, MATCH(F2&amp;" AM", $F$2:$AW$2, 0)), 0)))</f>
        <v>LCP NICO</v>
      </c>
      <c r="G42" s="29" t="str">
        <f t="shared" si="7"/>
        <v>CPL FIRMAN</v>
      </c>
      <c r="H42" s="29" t="str">
        <f t="shared" si="7"/>
        <v>LCP JERRYL</v>
      </c>
      <c r="I42" s="29" t="str">
        <f t="shared" si="7"/>
        <v>PTE SUSHIL</v>
      </c>
      <c r="J42" s="29" t="str">
        <f t="shared" si="7"/>
        <v>LCP ISAAC</v>
      </c>
      <c r="K42" s="29" t="str">
        <f t="shared" si="7"/>
        <v>PTE DARRYL</v>
      </c>
      <c r="L42" s="29" t="str">
        <f t="shared" si="7"/>
        <v>PTE BARATHAN</v>
      </c>
      <c r="M42" s="29" t="str">
        <f t="shared" si="7"/>
        <v>PTE CLARENCE</v>
      </c>
      <c r="N42" s="29" t="str">
        <f t="shared" si="7"/>
        <v>PTE ANISH</v>
      </c>
      <c r="O42" s="29" t="str">
        <f t="shared" si="7"/>
        <v>PTE SIDD</v>
      </c>
      <c r="P42" s="29" t="str">
        <f t="shared" si="7"/>
        <v>LCP EZRA</v>
      </c>
      <c r="Q42" s="29" t="str">
        <f t="shared" si="7"/>
        <v>PTE HARRY</v>
      </c>
      <c r="R42" s="29" t="str">
        <f t="shared" si="7"/>
        <v>PTE SUSHIL</v>
      </c>
      <c r="S42" s="29" t="str">
        <f t="shared" si="7"/>
        <v>LCP NICO</v>
      </c>
      <c r="T42" s="29" t="str">
        <f t="shared" si="7"/>
        <v>PTE DARRYL</v>
      </c>
      <c r="U42" s="29" t="str">
        <f t="shared" si="7"/>
        <v>PTE BARATHAN</v>
      </c>
      <c r="V42" s="29" t="str">
        <f t="shared" si="7"/>
        <v>CPL RYAN</v>
      </c>
      <c r="W42" s="29" t="str">
        <f t="shared" ref="W42:AC42" si="8">IFERROR(INDEX($A$3:$A$38, MATCH(1, INDEX($F$3:$AW$38, 0, MATCH(W2, $F$2:$AW$2, 0)), 0)), INDEX($A$3:$A$38, MATCH(1, INDEX($F$3:$AW$38, 0, MATCH(X2&amp;" AM", $F$2:$AW$2, 0)), 0)))</f>
        <v>LCP DYLAN</v>
      </c>
      <c r="X42" s="29" t="str">
        <f t="shared" si="8"/>
        <v>PTE SIDD</v>
      </c>
      <c r="Y42" s="29" t="str">
        <f t="shared" si="8"/>
        <v>PTE  HILAL</v>
      </c>
      <c r="Z42" s="29" t="str">
        <f t="shared" si="8"/>
        <v>CPL SURIA</v>
      </c>
      <c r="AA42" s="29" t="str">
        <f t="shared" si="8"/>
        <v>PTE  HILAL</v>
      </c>
      <c r="AB42" s="29" t="str">
        <f t="shared" si="8"/>
        <v>LCP JERRYL</v>
      </c>
      <c r="AC42" s="29" t="str">
        <f t="shared" si="8"/>
        <v>LCP DYLAN</v>
      </c>
      <c r="AD42" s="29" t="str">
        <f t="shared" ref="AD42:BA42" si="9">IFERROR(INDEX($A$3:$A$38, MATCH(1, INDEX($F$3:$AW$38, 0, MATCH(AD2, $F$2:$AW$2, 0)), 0)), INDEX($A$3:$A$38, MATCH(1, INDEX($F$3:$AW$38, 0, MATCH(AD2&amp;" AM", $F$2:$AW$2, 0)), 0)))</f>
        <v>REC ASH</v>
      </c>
      <c r="AE42" s="29" t="str">
        <f t="shared" si="9"/>
        <v>PTE NATHAN</v>
      </c>
      <c r="AF42" s="29" t="str">
        <f t="shared" si="9"/>
        <v>PTE ANISH</v>
      </c>
      <c r="AG42" s="29" t="str">
        <f t="shared" si="9"/>
        <v>PTE HARRY</v>
      </c>
      <c r="AH42" s="29" t="str">
        <f t="shared" si="9"/>
        <v>LCP EZRA</v>
      </c>
      <c r="AI42" s="29" t="str">
        <f t="shared" si="9"/>
        <v>PTE BRYAN</v>
      </c>
      <c r="AJ42" s="29" t="str">
        <f t="shared" si="9"/>
        <v>PTE PARAM</v>
      </c>
      <c r="AK42" s="29" t="str">
        <f t="shared" si="9"/>
        <v>PTE BRYAN</v>
      </c>
      <c r="AL42" s="29" t="str">
        <f t="shared" si="9"/>
        <v>PTE AFIF</v>
      </c>
      <c r="AM42" s="29" t="str">
        <f t="shared" si="9"/>
        <v>REC ASH</v>
      </c>
      <c r="AN42" s="29" t="str">
        <f t="shared" si="9"/>
        <v>PTE RYAN T</v>
      </c>
      <c r="AO42" s="29" t="str">
        <f t="shared" si="9"/>
        <v>PTE KAI JIE</v>
      </c>
      <c r="AP42" s="29" t="str">
        <f t="shared" si="9"/>
        <v>PTE BRYAN</v>
      </c>
      <c r="AQ42" s="29" t="str">
        <f t="shared" si="9"/>
        <v>PTE  HILAL</v>
      </c>
      <c r="AR42" s="29" t="str">
        <f t="shared" si="9"/>
        <v>PTE NATHAN</v>
      </c>
      <c r="AS42" s="29" t="str">
        <f t="shared" si="9"/>
        <v>PTE  HILAL</v>
      </c>
      <c r="AT42" s="29" t="str">
        <f t="shared" si="9"/>
        <v>CPL FIRMAN</v>
      </c>
      <c r="AU42" s="29" t="str">
        <f t="shared" si="9"/>
        <v>#N/A</v>
      </c>
      <c r="AV42" s="29" t="str">
        <f t="shared" si="9"/>
        <v>#N/A</v>
      </c>
      <c r="AW42" s="29" t="str">
        <f t="shared" si="9"/>
        <v>#N/A</v>
      </c>
      <c r="AX42" s="29" t="str">
        <f t="shared" si="9"/>
        <v>#N/A</v>
      </c>
      <c r="AY42" s="29" t="str">
        <f t="shared" si="9"/>
        <v>#N/A</v>
      </c>
      <c r="AZ42" s="29" t="str">
        <f t="shared" si="9"/>
        <v>#N/A</v>
      </c>
      <c r="BA42" s="29" t="str">
        <f t="shared" si="9"/>
        <v>#N/A</v>
      </c>
    </row>
    <row r="43">
      <c r="E43" s="46" t="s">
        <v>72</v>
      </c>
      <c r="F43" s="28" t="str">
        <f t="shared" ref="F43:BA43" si="10">INDEX($A$3:$A$38, MATCH("R", INDEX($F$3:$AW$38, 0, MATCH(F2, $F$2:$AW$2, 0)), 0))</f>
        <v>LCP JERRYL</v>
      </c>
      <c r="G43" s="28" t="str">
        <f t="shared" si="10"/>
        <v>PTE  HILAL</v>
      </c>
      <c r="H43" s="28" t="str">
        <f t="shared" si="10"/>
        <v>LCP NICO</v>
      </c>
      <c r="I43" s="28" t="str">
        <f t="shared" si="10"/>
        <v>PTE  HILAL</v>
      </c>
      <c r="J43" s="28" t="str">
        <f t="shared" si="10"/>
        <v>LCP MITCHELL</v>
      </c>
      <c r="K43" s="28" t="str">
        <f t="shared" si="10"/>
        <v>PTE SIDD</v>
      </c>
      <c r="L43" s="28" t="str">
        <f t="shared" si="10"/>
        <v>PTE KAI JIE</v>
      </c>
      <c r="M43" s="28" t="str">
        <f t="shared" si="10"/>
        <v>PTE DARRYL</v>
      </c>
      <c r="N43" s="28" t="str">
        <f t="shared" si="10"/>
        <v>PTE JEREMIAH</v>
      </c>
      <c r="O43" s="28" t="str">
        <f t="shared" si="10"/>
        <v>CPL FIRMAN</v>
      </c>
      <c r="P43" s="28" t="str">
        <f t="shared" si="10"/>
        <v>PTE PARAM</v>
      </c>
      <c r="Q43" s="28" t="str">
        <f t="shared" si="10"/>
        <v>LCP ISAAC</v>
      </c>
      <c r="R43" s="28" t="str">
        <f t="shared" si="10"/>
        <v>PTE NATHAN</v>
      </c>
      <c r="S43" s="28" t="str">
        <f t="shared" si="10"/>
        <v>PTE ANISH</v>
      </c>
      <c r="T43" s="28" t="str">
        <f t="shared" si="10"/>
        <v>LCP DYLAN</v>
      </c>
      <c r="U43" s="28" t="str">
        <f t="shared" si="10"/>
        <v>PTE RYAN T</v>
      </c>
      <c r="V43" s="28" t="str">
        <f t="shared" si="10"/>
        <v>LCP JERRYL</v>
      </c>
      <c r="W43" s="28" t="str">
        <f t="shared" si="10"/>
        <v>PTE DARRYL</v>
      </c>
      <c r="X43" s="28" t="str">
        <f t="shared" si="10"/>
        <v>PTE ANISH</v>
      </c>
      <c r="Y43" s="28" t="str">
        <f t="shared" si="10"/>
        <v>PTE BRYAN</v>
      </c>
      <c r="Z43" s="28" t="str">
        <f t="shared" si="10"/>
        <v>LCP NICO</v>
      </c>
      <c r="AA43" s="28" t="str">
        <f t="shared" si="10"/>
        <v>PTE BRYAN</v>
      </c>
      <c r="AB43" s="28" t="str">
        <f t="shared" si="10"/>
        <v>LCP ISAAC</v>
      </c>
      <c r="AC43" s="28" t="str">
        <f t="shared" si="10"/>
        <v>PTE JEREMIAH</v>
      </c>
      <c r="AD43" s="28" t="str">
        <f t="shared" si="10"/>
        <v>PTE KAI JIE</v>
      </c>
      <c r="AE43" s="28" t="str">
        <f t="shared" si="10"/>
        <v>CPL RYAN</v>
      </c>
      <c r="AF43" s="28" t="str">
        <f t="shared" si="10"/>
        <v>REC ASH</v>
      </c>
      <c r="AG43" s="28" t="str">
        <f t="shared" si="10"/>
        <v>PTE NATHAN</v>
      </c>
      <c r="AH43" s="28" t="str">
        <f t="shared" si="10"/>
        <v>PTE PARAM</v>
      </c>
      <c r="AI43" s="28" t="str">
        <f t="shared" si="10"/>
        <v>CPL SURIA</v>
      </c>
      <c r="AJ43" s="28" t="str">
        <f t="shared" si="10"/>
        <v>PTE HARRY</v>
      </c>
      <c r="AK43" s="28" t="str">
        <f t="shared" si="10"/>
        <v>LCP EZRA</v>
      </c>
      <c r="AL43" s="28" t="str">
        <f t="shared" si="10"/>
        <v>LCP DYLAN</v>
      </c>
      <c r="AM43" s="28" t="str">
        <f t="shared" si="10"/>
        <v>PTE BARATHAN</v>
      </c>
      <c r="AN43" s="28" t="str">
        <f t="shared" si="10"/>
        <v>CPL RYAN</v>
      </c>
      <c r="AO43" s="28" t="str">
        <f t="shared" si="10"/>
        <v>REC ASH</v>
      </c>
      <c r="AP43" s="28" t="str">
        <f t="shared" si="10"/>
        <v>PTE RYAN T</v>
      </c>
      <c r="AQ43" s="28" t="str">
        <f t="shared" si="10"/>
        <v>PTE HARRY</v>
      </c>
      <c r="AR43" s="28" t="str">
        <f t="shared" si="10"/>
        <v>CPL SURIA</v>
      </c>
      <c r="AS43" s="28" t="str">
        <f t="shared" si="10"/>
        <v>PTE AFIF</v>
      </c>
      <c r="AT43" s="28" t="str">
        <f t="shared" si="10"/>
        <v>PTE SUSHIL</v>
      </c>
      <c r="AU43" s="28" t="str">
        <f t="shared" si="10"/>
        <v>#N/A</v>
      </c>
      <c r="AV43" s="28" t="str">
        <f t="shared" si="10"/>
        <v>#N/A</v>
      </c>
      <c r="AW43" s="28" t="str">
        <f t="shared" si="10"/>
        <v>#N/A</v>
      </c>
      <c r="AX43" s="28" t="str">
        <f t="shared" si="10"/>
        <v>#N/A</v>
      </c>
      <c r="AY43" s="28" t="str">
        <f t="shared" si="10"/>
        <v>#N/A</v>
      </c>
      <c r="AZ43" s="28" t="str">
        <f t="shared" si="10"/>
        <v>#N/A</v>
      </c>
      <c r="BA43" s="28" t="str">
        <f t="shared" si="10"/>
        <v>#N/A</v>
      </c>
    </row>
    <row r="44">
      <c r="A44" s="17" t="s">
        <v>232</v>
      </c>
      <c r="C44" s="49">
        <f>COUNTA($F$1:$AT1)</f>
        <v>41</v>
      </c>
      <c r="E44" s="46" t="s">
        <v>70</v>
      </c>
      <c r="F44" s="30" t="str">
        <f t="shared" ref="F44:BA44" si="11">INDEX($A$3:$A$38, MATCH("R2", INDEX($F$3:$AW$38, 0, MATCH(F2, $F$2:$AW$2, 0)), 0))</f>
        <v>REC ASH</v>
      </c>
      <c r="G44" s="30" t="str">
        <f t="shared" si="11"/>
        <v>LCP EZRA</v>
      </c>
      <c r="H44" s="30" t="str">
        <f t="shared" si="11"/>
        <v>CPL SURIA</v>
      </c>
      <c r="I44" s="30" t="str">
        <f t="shared" si="11"/>
        <v>PTE CLARENCE</v>
      </c>
      <c r="J44" s="30" t="str">
        <f t="shared" si="11"/>
        <v>PTE NATHAN</v>
      </c>
      <c r="K44" s="30" t="str">
        <f t="shared" si="11"/>
        <v>CPL SURIA</v>
      </c>
      <c r="L44" s="30" t="str">
        <f t="shared" si="11"/>
        <v>PTE JEREMIAH</v>
      </c>
      <c r="M44" s="30" t="str">
        <f t="shared" si="11"/>
        <v>LCP NICO</v>
      </c>
      <c r="N44" s="30" t="str">
        <f t="shared" si="11"/>
        <v>REC ASH</v>
      </c>
      <c r="O44" s="30" t="str">
        <f t="shared" si="11"/>
        <v>LCP JERRYL</v>
      </c>
      <c r="P44" s="30" t="str">
        <f t="shared" si="11"/>
        <v>PTE  HILAL</v>
      </c>
      <c r="Q44" s="30" t="str">
        <f t="shared" si="11"/>
        <v>LCP NICO</v>
      </c>
      <c r="R44" s="30" t="str">
        <f t="shared" si="11"/>
        <v>PTE  HILAL</v>
      </c>
      <c r="S44" s="30" t="str">
        <f t="shared" si="11"/>
        <v>LCP JERRYL</v>
      </c>
      <c r="T44" s="30" t="str">
        <f t="shared" si="11"/>
        <v>LCP ISAAC</v>
      </c>
      <c r="U44" s="30" t="str">
        <f t="shared" si="11"/>
        <v>PTE NATHAN</v>
      </c>
      <c r="V44" s="30" t="str">
        <f t="shared" si="11"/>
        <v>PTE SIDD</v>
      </c>
      <c r="W44" s="30" t="str">
        <f t="shared" si="11"/>
        <v>PTE KAI JIE</v>
      </c>
      <c r="X44" s="30" t="str">
        <f t="shared" si="11"/>
        <v>LCP ISAAC</v>
      </c>
      <c r="Y44" s="30" t="str">
        <f t="shared" si="11"/>
        <v>PTE PARAM</v>
      </c>
      <c r="Z44" s="30" t="str">
        <f t="shared" si="11"/>
        <v>CPL FIRMAN</v>
      </c>
      <c r="AA44" s="30" t="str">
        <f t="shared" si="11"/>
        <v>PTE DARRYL</v>
      </c>
      <c r="AB44" s="30" t="str">
        <f t="shared" si="11"/>
        <v>PTE JEREMIAH</v>
      </c>
      <c r="AC44" s="30" t="str">
        <f t="shared" si="11"/>
        <v>PTE DARRYL</v>
      </c>
      <c r="AD44" s="30" t="str">
        <f t="shared" si="11"/>
        <v>PTE ANISH</v>
      </c>
      <c r="AE44" s="30" t="str">
        <f t="shared" si="11"/>
        <v>PTE SIDD</v>
      </c>
      <c r="AF44" s="30" t="str">
        <f t="shared" si="11"/>
        <v>LCP DYLAN</v>
      </c>
      <c r="AG44" s="30" t="str">
        <f t="shared" si="11"/>
        <v>CPL RYAN</v>
      </c>
      <c r="AH44" s="30" t="str">
        <f t="shared" si="11"/>
        <v>PTE RYAN T</v>
      </c>
      <c r="AI44" s="30" t="str">
        <f t="shared" si="11"/>
        <v>PTE SUSHIL</v>
      </c>
      <c r="AJ44" s="30" t="str">
        <f t="shared" si="11"/>
        <v>LCP MITCHELL</v>
      </c>
      <c r="AK44" s="30" t="str">
        <f t="shared" si="11"/>
        <v>PTE RYAN T</v>
      </c>
      <c r="AL44" s="30" t="str">
        <f t="shared" si="11"/>
        <v>PTE ANISH</v>
      </c>
      <c r="AM44" s="30" t="str">
        <f t="shared" si="11"/>
        <v>PTE HARRY</v>
      </c>
      <c r="AN44" s="30" t="str">
        <f t="shared" si="11"/>
        <v>PTE AFIF</v>
      </c>
      <c r="AO44" s="30" t="str">
        <f t="shared" si="11"/>
        <v>PTE HARRY</v>
      </c>
      <c r="AP44" s="30" t="str">
        <f t="shared" si="11"/>
        <v>CPL RYAN</v>
      </c>
      <c r="AQ44" s="30" t="str">
        <f t="shared" si="11"/>
        <v>PTE PARAM</v>
      </c>
      <c r="AR44" s="30" t="str">
        <f t="shared" si="11"/>
        <v>PTE BRYAN</v>
      </c>
      <c r="AS44" s="30" t="str">
        <f t="shared" si="11"/>
        <v>LCP DYLAN</v>
      </c>
      <c r="AT44" s="30" t="str">
        <f t="shared" si="11"/>
        <v>PTE BRYAN</v>
      </c>
      <c r="AU44" s="30" t="str">
        <f t="shared" si="11"/>
        <v>#N/A</v>
      </c>
      <c r="AV44" s="30" t="str">
        <f t="shared" si="11"/>
        <v>#N/A</v>
      </c>
      <c r="AW44" s="30" t="str">
        <f t="shared" si="11"/>
        <v>#N/A</v>
      </c>
      <c r="AX44" s="30" t="str">
        <f t="shared" si="11"/>
        <v>#N/A</v>
      </c>
      <c r="AY44" s="30" t="str">
        <f t="shared" si="11"/>
        <v>#N/A</v>
      </c>
      <c r="AZ44" s="30" t="str">
        <f t="shared" si="11"/>
        <v>#N/A</v>
      </c>
      <c r="BA44" s="30" t="str">
        <f t="shared" si="11"/>
        <v>#N/A</v>
      </c>
    </row>
    <row r="45">
      <c r="A45" s="17" t="s">
        <v>154</v>
      </c>
      <c r="C45" s="50">
        <f>SUBTOTAL(103, $A$3:$A$38)
</f>
        <v>28</v>
      </c>
      <c r="H45" s="31"/>
    </row>
    <row r="46">
      <c r="H46" s="31"/>
    </row>
    <row r="47">
      <c r="H47" s="31"/>
    </row>
    <row r="48">
      <c r="A48" s="26" t="s">
        <v>118</v>
      </c>
      <c r="H48" s="31"/>
    </row>
    <row r="49">
      <c r="A49" s="25" t="s">
        <v>119</v>
      </c>
      <c r="H49" s="31"/>
    </row>
    <row r="50">
      <c r="A50" s="22" t="s">
        <v>120</v>
      </c>
      <c r="H50" s="31"/>
    </row>
    <row r="51">
      <c r="A51" s="20" t="s">
        <v>121</v>
      </c>
      <c r="H51" s="31"/>
    </row>
    <row r="52">
      <c r="A52" s="23" t="s">
        <v>122</v>
      </c>
      <c r="H52" s="31"/>
    </row>
    <row r="53">
      <c r="A53" s="14" t="s">
        <v>123</v>
      </c>
      <c r="H53" s="31"/>
    </row>
    <row r="54">
      <c r="A54" s="9" t="s">
        <v>125</v>
      </c>
      <c r="H54" s="31"/>
    </row>
    <row r="55">
      <c r="A55" s="44" t="s">
        <v>126</v>
      </c>
      <c r="C55" s="31"/>
      <c r="H55" s="31"/>
    </row>
    <row r="56">
      <c r="A56" s="62" t="s">
        <v>203</v>
      </c>
      <c r="H56" s="31"/>
    </row>
    <row r="57">
      <c r="A57" s="70" t="s">
        <v>233</v>
      </c>
      <c r="H57" s="31"/>
    </row>
    <row r="58">
      <c r="A58" s="69" t="s">
        <v>234</v>
      </c>
      <c r="H58" s="31"/>
    </row>
    <row r="59">
      <c r="A59" s="27" t="s">
        <v>124</v>
      </c>
      <c r="H59" s="31"/>
    </row>
    <row r="60">
      <c r="H60" s="31"/>
    </row>
    <row r="61">
      <c r="H61" s="31"/>
    </row>
    <row r="62">
      <c r="H62" s="31"/>
    </row>
    <row r="63">
      <c r="H63" s="31"/>
    </row>
    <row r="64">
      <c r="H64" s="31"/>
    </row>
    <row r="65">
      <c r="H65" s="31"/>
    </row>
    <row r="66">
      <c r="H66" s="31"/>
    </row>
    <row r="67">
      <c r="H67" s="31"/>
    </row>
    <row r="68">
      <c r="H68" s="31"/>
    </row>
    <row r="69">
      <c r="H69" s="31"/>
    </row>
    <row r="70">
      <c r="H70" s="31"/>
    </row>
    <row r="71">
      <c r="H71" s="31"/>
    </row>
    <row r="72">
      <c r="H72" s="31"/>
    </row>
    <row r="73">
      <c r="H73" s="31"/>
    </row>
    <row r="74">
      <c r="H74" s="31"/>
    </row>
    <row r="75">
      <c r="H75" s="31"/>
    </row>
    <row r="76">
      <c r="H76" s="31"/>
    </row>
    <row r="77">
      <c r="H77" s="31"/>
    </row>
    <row r="78">
      <c r="H78" s="31"/>
    </row>
    <row r="79">
      <c r="H79" s="31"/>
    </row>
    <row r="80">
      <c r="H80" s="31"/>
    </row>
    <row r="81">
      <c r="H81" s="31"/>
    </row>
    <row r="82">
      <c r="H82" s="31"/>
    </row>
    <row r="83">
      <c r="H83" s="31"/>
    </row>
    <row r="84">
      <c r="H84" s="31"/>
    </row>
    <row r="85">
      <c r="H85" s="31"/>
    </row>
    <row r="86">
      <c r="H86" s="31"/>
    </row>
    <row r="87">
      <c r="H87" s="31"/>
    </row>
    <row r="88">
      <c r="H88" s="31"/>
    </row>
    <row r="89">
      <c r="H89" s="31"/>
    </row>
    <row r="90">
      <c r="H90" s="31"/>
    </row>
    <row r="91">
      <c r="H91" s="31"/>
    </row>
    <row r="92">
      <c r="H92" s="31"/>
    </row>
    <row r="93">
      <c r="H93" s="31"/>
    </row>
    <row r="94">
      <c r="H94" s="31"/>
    </row>
    <row r="95">
      <c r="H95" s="31"/>
    </row>
    <row r="96">
      <c r="H96" s="31"/>
    </row>
    <row r="97">
      <c r="H97" s="31"/>
    </row>
    <row r="98">
      <c r="H98" s="31"/>
    </row>
    <row r="99">
      <c r="H99" s="31"/>
    </row>
    <row r="100">
      <c r="H100" s="31"/>
    </row>
    <row r="101">
      <c r="H101" s="31"/>
    </row>
    <row r="102">
      <c r="H102" s="31"/>
    </row>
    <row r="103">
      <c r="H103" s="31"/>
    </row>
    <row r="104">
      <c r="H104" s="31"/>
    </row>
    <row r="105">
      <c r="H105" s="31"/>
    </row>
    <row r="106">
      <c r="H106" s="31"/>
    </row>
    <row r="107">
      <c r="H107" s="31"/>
    </row>
    <row r="108">
      <c r="H108" s="31"/>
    </row>
    <row r="109">
      <c r="H109" s="31"/>
    </row>
    <row r="110">
      <c r="H110" s="31"/>
    </row>
    <row r="111">
      <c r="H111" s="31"/>
    </row>
    <row r="112">
      <c r="H112" s="31"/>
    </row>
    <row r="113">
      <c r="H113" s="31"/>
    </row>
    <row r="114">
      <c r="H114" s="31"/>
    </row>
    <row r="115">
      <c r="H115" s="31"/>
    </row>
    <row r="116">
      <c r="H116" s="31"/>
    </row>
    <row r="117">
      <c r="H117" s="31"/>
    </row>
    <row r="118">
      <c r="H118" s="31"/>
    </row>
    <row r="119">
      <c r="H119" s="31"/>
    </row>
    <row r="120">
      <c r="H120" s="31"/>
    </row>
    <row r="121">
      <c r="H121" s="31"/>
    </row>
    <row r="122">
      <c r="H122" s="31"/>
    </row>
    <row r="123">
      <c r="H123" s="31"/>
    </row>
    <row r="124">
      <c r="H124" s="31"/>
    </row>
    <row r="125">
      <c r="H125" s="31"/>
    </row>
    <row r="126">
      <c r="H126" s="31"/>
    </row>
    <row r="127">
      <c r="H127" s="31"/>
    </row>
    <row r="128">
      <c r="H128" s="31"/>
    </row>
    <row r="129">
      <c r="H129" s="31"/>
    </row>
    <row r="130">
      <c r="H130" s="31"/>
    </row>
    <row r="131">
      <c r="H131" s="31"/>
    </row>
    <row r="132">
      <c r="H132" s="31"/>
    </row>
    <row r="133">
      <c r="H133" s="31"/>
    </row>
    <row r="134">
      <c r="H134" s="31"/>
    </row>
    <row r="135">
      <c r="H135" s="31"/>
    </row>
    <row r="136">
      <c r="H136" s="31"/>
    </row>
    <row r="137">
      <c r="H137" s="31"/>
    </row>
    <row r="138">
      <c r="H138" s="31"/>
    </row>
    <row r="139">
      <c r="H139" s="31"/>
    </row>
    <row r="140">
      <c r="H140" s="31"/>
    </row>
    <row r="141">
      <c r="H141" s="31"/>
    </row>
    <row r="142">
      <c r="H142" s="31"/>
    </row>
    <row r="143">
      <c r="H143" s="31"/>
    </row>
    <row r="144">
      <c r="H144" s="31"/>
    </row>
    <row r="145">
      <c r="H145" s="31"/>
    </row>
    <row r="146">
      <c r="H146" s="31"/>
    </row>
    <row r="147">
      <c r="H147" s="31"/>
    </row>
    <row r="148">
      <c r="H148" s="31"/>
    </row>
    <row r="149">
      <c r="H149" s="31"/>
    </row>
    <row r="150">
      <c r="H150" s="31"/>
    </row>
    <row r="151">
      <c r="H151" s="31"/>
    </row>
    <row r="152">
      <c r="H152" s="31"/>
    </row>
    <row r="153">
      <c r="H153" s="31"/>
    </row>
    <row r="154">
      <c r="H154" s="31"/>
    </row>
    <row r="155">
      <c r="H155" s="31"/>
    </row>
    <row r="156">
      <c r="H156" s="31"/>
    </row>
    <row r="157">
      <c r="H157" s="31"/>
    </row>
    <row r="158">
      <c r="H158" s="31"/>
    </row>
    <row r="159">
      <c r="H159" s="31"/>
    </row>
    <row r="160">
      <c r="H160" s="31"/>
    </row>
    <row r="161">
      <c r="H161" s="31"/>
    </row>
    <row r="162">
      <c r="H162" s="31"/>
    </row>
    <row r="163">
      <c r="H163" s="31"/>
    </row>
    <row r="164">
      <c r="H164" s="31"/>
    </row>
    <row r="165">
      <c r="H165" s="31"/>
    </row>
    <row r="166">
      <c r="H166" s="31"/>
    </row>
    <row r="167">
      <c r="H167" s="31"/>
    </row>
    <row r="168">
      <c r="H168" s="31"/>
    </row>
    <row r="169">
      <c r="H169" s="31"/>
    </row>
    <row r="170">
      <c r="H170" s="31"/>
    </row>
    <row r="171">
      <c r="H171" s="31"/>
    </row>
    <row r="172">
      <c r="H172" s="31"/>
    </row>
    <row r="173">
      <c r="H173" s="31"/>
    </row>
    <row r="174">
      <c r="H174" s="31"/>
    </row>
    <row r="175">
      <c r="H175" s="31"/>
    </row>
    <row r="176">
      <c r="H176" s="31"/>
    </row>
    <row r="177">
      <c r="H177" s="31"/>
    </row>
    <row r="178">
      <c r="H178" s="31"/>
    </row>
    <row r="179">
      <c r="H179" s="31"/>
    </row>
    <row r="180">
      <c r="H180" s="31"/>
    </row>
    <row r="181">
      <c r="H181" s="31"/>
    </row>
    <row r="182">
      <c r="H182" s="31"/>
    </row>
    <row r="183">
      <c r="H183" s="31"/>
    </row>
    <row r="184">
      <c r="H184" s="31"/>
    </row>
    <row r="185">
      <c r="H185" s="31"/>
    </row>
    <row r="186">
      <c r="H186" s="31"/>
    </row>
    <row r="187">
      <c r="H187" s="31"/>
    </row>
    <row r="188">
      <c r="H188" s="31"/>
    </row>
    <row r="189">
      <c r="H189" s="31"/>
    </row>
    <row r="190">
      <c r="H190" s="31"/>
    </row>
    <row r="191">
      <c r="H191" s="31"/>
    </row>
    <row r="192">
      <c r="H192" s="31"/>
    </row>
    <row r="193">
      <c r="H193" s="31"/>
    </row>
    <row r="194">
      <c r="H194" s="31"/>
    </row>
    <row r="195">
      <c r="H195" s="31"/>
    </row>
    <row r="196">
      <c r="H196" s="31"/>
    </row>
    <row r="197">
      <c r="H197" s="31"/>
    </row>
    <row r="198">
      <c r="H198" s="31"/>
    </row>
    <row r="199">
      <c r="H199" s="31"/>
    </row>
    <row r="200">
      <c r="H200" s="31"/>
    </row>
    <row r="201">
      <c r="H201" s="31"/>
    </row>
    <row r="202">
      <c r="H202" s="31"/>
    </row>
    <row r="203">
      <c r="H203" s="31"/>
    </row>
    <row r="204">
      <c r="H204" s="31"/>
    </row>
    <row r="205">
      <c r="H205" s="31"/>
    </row>
    <row r="206">
      <c r="H206" s="31"/>
    </row>
    <row r="207">
      <c r="H207" s="31"/>
    </row>
    <row r="208">
      <c r="H208" s="31"/>
    </row>
    <row r="209">
      <c r="H209" s="31"/>
    </row>
    <row r="210">
      <c r="H210" s="31"/>
    </row>
    <row r="211">
      <c r="H211" s="31"/>
    </row>
    <row r="212">
      <c r="H212" s="31"/>
    </row>
    <row r="213">
      <c r="H213" s="31"/>
    </row>
    <row r="214">
      <c r="H214" s="31"/>
    </row>
    <row r="215">
      <c r="H215" s="31"/>
    </row>
    <row r="216">
      <c r="H216" s="31"/>
    </row>
    <row r="217">
      <c r="H217" s="31"/>
    </row>
    <row r="218">
      <c r="H218" s="31"/>
    </row>
    <row r="219">
      <c r="H219" s="31"/>
    </row>
    <row r="220">
      <c r="H220" s="31"/>
    </row>
    <row r="221">
      <c r="H221" s="31"/>
    </row>
    <row r="222">
      <c r="H222" s="31"/>
    </row>
    <row r="223">
      <c r="H223" s="31"/>
    </row>
    <row r="224">
      <c r="H224" s="31"/>
    </row>
    <row r="225">
      <c r="H225" s="31"/>
    </row>
    <row r="226">
      <c r="H226" s="31"/>
    </row>
    <row r="227">
      <c r="H227" s="31"/>
    </row>
    <row r="228">
      <c r="H228" s="31"/>
    </row>
    <row r="229">
      <c r="H229" s="31"/>
    </row>
    <row r="230">
      <c r="H230" s="31"/>
    </row>
    <row r="231">
      <c r="H231" s="31"/>
    </row>
    <row r="232">
      <c r="H232" s="31"/>
    </row>
    <row r="233">
      <c r="H233" s="31"/>
    </row>
    <row r="234">
      <c r="H234" s="31"/>
    </row>
    <row r="235">
      <c r="H235" s="31"/>
    </row>
    <row r="236">
      <c r="H236" s="31"/>
    </row>
    <row r="237">
      <c r="H237" s="31"/>
    </row>
    <row r="238">
      <c r="H238" s="31"/>
    </row>
    <row r="239">
      <c r="H239" s="31"/>
    </row>
    <row r="240">
      <c r="H240" s="31"/>
    </row>
    <row r="241">
      <c r="H241" s="31"/>
    </row>
    <row r="242">
      <c r="H242" s="31"/>
    </row>
    <row r="243">
      <c r="H243" s="31"/>
    </row>
    <row r="244">
      <c r="H244" s="31"/>
    </row>
    <row r="245">
      <c r="H245" s="31"/>
    </row>
    <row r="246">
      <c r="H246" s="31"/>
    </row>
    <row r="247">
      <c r="H247" s="31"/>
    </row>
    <row r="248">
      <c r="H248" s="31"/>
    </row>
    <row r="249">
      <c r="H249" s="31"/>
    </row>
    <row r="250">
      <c r="H250" s="31"/>
    </row>
    <row r="251">
      <c r="H251" s="31"/>
    </row>
    <row r="252">
      <c r="H252" s="31"/>
    </row>
    <row r="253">
      <c r="H253" s="31"/>
    </row>
    <row r="254">
      <c r="H254" s="31"/>
    </row>
    <row r="255">
      <c r="H255" s="31"/>
    </row>
    <row r="256">
      <c r="H256" s="31"/>
    </row>
    <row r="257">
      <c r="H257" s="31"/>
    </row>
    <row r="258">
      <c r="H258" s="31"/>
    </row>
    <row r="259">
      <c r="H259" s="31"/>
    </row>
    <row r="260">
      <c r="H260" s="31"/>
    </row>
    <row r="261">
      <c r="H261" s="31"/>
    </row>
    <row r="262">
      <c r="H262" s="31"/>
    </row>
    <row r="263">
      <c r="H263" s="31"/>
    </row>
    <row r="264">
      <c r="H264" s="31"/>
    </row>
    <row r="265">
      <c r="H265" s="31"/>
    </row>
    <row r="266">
      <c r="H266" s="31"/>
    </row>
    <row r="267">
      <c r="H267" s="31"/>
    </row>
    <row r="268">
      <c r="H268" s="31"/>
    </row>
    <row r="269">
      <c r="H269" s="31"/>
    </row>
    <row r="270">
      <c r="H270" s="31"/>
    </row>
    <row r="271">
      <c r="H271" s="31"/>
    </row>
    <row r="272">
      <c r="H272" s="31"/>
    </row>
    <row r="273">
      <c r="H273" s="31"/>
    </row>
    <row r="274">
      <c r="H274" s="31"/>
    </row>
    <row r="275">
      <c r="H275" s="31"/>
    </row>
    <row r="276">
      <c r="H276" s="31"/>
    </row>
    <row r="277">
      <c r="H277" s="31"/>
    </row>
    <row r="278">
      <c r="H278" s="31"/>
    </row>
    <row r="279">
      <c r="H279" s="31"/>
    </row>
    <row r="280">
      <c r="H280" s="31"/>
    </row>
    <row r="281">
      <c r="H281" s="31"/>
    </row>
    <row r="282">
      <c r="H282" s="31"/>
    </row>
    <row r="283">
      <c r="H283" s="31"/>
    </row>
    <row r="284">
      <c r="H284" s="31"/>
    </row>
    <row r="285">
      <c r="H285" s="31"/>
    </row>
    <row r="286">
      <c r="H286" s="31"/>
    </row>
    <row r="287">
      <c r="H287" s="31"/>
    </row>
    <row r="288">
      <c r="H288" s="31"/>
    </row>
    <row r="289">
      <c r="H289" s="31"/>
    </row>
    <row r="290">
      <c r="H290" s="31"/>
    </row>
    <row r="291">
      <c r="H291" s="31"/>
    </row>
    <row r="292">
      <c r="H292" s="31"/>
    </row>
    <row r="293">
      <c r="H293" s="31"/>
    </row>
    <row r="294">
      <c r="H294" s="31"/>
    </row>
    <row r="295">
      <c r="H295" s="31"/>
    </row>
    <row r="296">
      <c r="H296" s="31"/>
    </row>
    <row r="297">
      <c r="H297" s="31"/>
    </row>
    <row r="298">
      <c r="H298" s="31"/>
    </row>
    <row r="299">
      <c r="H299" s="31"/>
    </row>
    <row r="300">
      <c r="H300" s="31"/>
    </row>
    <row r="301">
      <c r="H301" s="31"/>
    </row>
    <row r="302">
      <c r="H302" s="31"/>
    </row>
    <row r="303">
      <c r="H303" s="31"/>
    </row>
    <row r="304">
      <c r="H304" s="31"/>
    </row>
    <row r="305">
      <c r="H305" s="31"/>
    </row>
    <row r="306">
      <c r="H306" s="31"/>
    </row>
    <row r="307">
      <c r="H307" s="31"/>
    </row>
    <row r="308">
      <c r="H308" s="31"/>
    </row>
    <row r="309">
      <c r="H309" s="31"/>
    </row>
    <row r="310">
      <c r="H310" s="31"/>
    </row>
    <row r="311">
      <c r="H311" s="31"/>
    </row>
    <row r="312">
      <c r="H312" s="31"/>
    </row>
    <row r="313">
      <c r="H313" s="31"/>
    </row>
    <row r="314">
      <c r="H314" s="31"/>
    </row>
    <row r="315">
      <c r="H315" s="31"/>
    </row>
    <row r="316">
      <c r="H316" s="31"/>
    </row>
    <row r="317">
      <c r="H317" s="31"/>
    </row>
    <row r="318">
      <c r="H318" s="31"/>
    </row>
    <row r="319">
      <c r="H319" s="31"/>
    </row>
    <row r="320">
      <c r="H320" s="31"/>
    </row>
    <row r="321">
      <c r="H321" s="31"/>
    </row>
    <row r="322">
      <c r="H322" s="31"/>
    </row>
    <row r="323">
      <c r="H323" s="31"/>
    </row>
    <row r="324">
      <c r="H324" s="31"/>
    </row>
    <row r="325">
      <c r="H325" s="31"/>
    </row>
    <row r="326">
      <c r="H326" s="31"/>
    </row>
    <row r="327">
      <c r="H327" s="31"/>
    </row>
    <row r="328">
      <c r="H328" s="31"/>
    </row>
    <row r="329">
      <c r="H329" s="31"/>
    </row>
    <row r="330">
      <c r="H330" s="31"/>
    </row>
    <row r="331">
      <c r="H331" s="31"/>
    </row>
    <row r="332">
      <c r="H332" s="31"/>
    </row>
    <row r="333">
      <c r="H333" s="31"/>
    </row>
    <row r="334">
      <c r="H334" s="31"/>
    </row>
    <row r="335">
      <c r="H335" s="31"/>
    </row>
    <row r="336">
      <c r="H336" s="31"/>
    </row>
    <row r="337">
      <c r="H337" s="31"/>
    </row>
    <row r="338">
      <c r="H338" s="31"/>
    </row>
    <row r="339">
      <c r="H339" s="31"/>
    </row>
    <row r="340">
      <c r="H340" s="31"/>
    </row>
    <row r="341">
      <c r="H341" s="31"/>
    </row>
    <row r="342">
      <c r="H342" s="31"/>
    </row>
    <row r="343">
      <c r="H343" s="31"/>
    </row>
    <row r="344">
      <c r="H344" s="31"/>
    </row>
    <row r="345">
      <c r="H345" s="31"/>
    </row>
    <row r="346">
      <c r="H346" s="31"/>
    </row>
    <row r="347">
      <c r="H347" s="31"/>
    </row>
    <row r="348">
      <c r="H348" s="31"/>
    </row>
    <row r="349">
      <c r="H349" s="31"/>
    </row>
    <row r="350">
      <c r="H350" s="31"/>
    </row>
    <row r="351">
      <c r="H351" s="31"/>
    </row>
    <row r="352">
      <c r="H352" s="31"/>
    </row>
    <row r="353">
      <c r="H353" s="31"/>
    </row>
    <row r="354">
      <c r="H354" s="31"/>
    </row>
    <row r="355">
      <c r="H355" s="31"/>
    </row>
    <row r="356">
      <c r="H356" s="31"/>
    </row>
    <row r="357">
      <c r="H357" s="31"/>
    </row>
    <row r="358">
      <c r="H358" s="31"/>
    </row>
    <row r="359">
      <c r="H359" s="31"/>
    </row>
    <row r="360">
      <c r="H360" s="31"/>
    </row>
    <row r="361">
      <c r="H361" s="31"/>
    </row>
    <row r="362">
      <c r="H362" s="31"/>
    </row>
    <row r="363">
      <c r="H363" s="31"/>
    </row>
    <row r="364">
      <c r="H364" s="31"/>
    </row>
    <row r="365">
      <c r="H365" s="31"/>
    </row>
    <row r="366">
      <c r="H366" s="31"/>
    </row>
    <row r="367">
      <c r="H367" s="31"/>
    </row>
    <row r="368">
      <c r="H368" s="31"/>
    </row>
    <row r="369">
      <c r="H369" s="31"/>
    </row>
    <row r="370">
      <c r="H370" s="31"/>
    </row>
    <row r="371">
      <c r="H371" s="31"/>
    </row>
    <row r="372">
      <c r="H372" s="31"/>
    </row>
    <row r="373">
      <c r="H373" s="31"/>
    </row>
    <row r="374">
      <c r="H374" s="31"/>
    </row>
    <row r="375">
      <c r="H375" s="31"/>
    </row>
    <row r="376">
      <c r="H376" s="31"/>
    </row>
    <row r="377">
      <c r="H377" s="31"/>
    </row>
    <row r="378">
      <c r="H378" s="31"/>
    </row>
    <row r="379">
      <c r="H379" s="31"/>
    </row>
    <row r="380">
      <c r="H380" s="31"/>
    </row>
    <row r="381">
      <c r="H381" s="31"/>
    </row>
    <row r="382">
      <c r="H382" s="31"/>
    </row>
    <row r="383">
      <c r="H383" s="31"/>
    </row>
    <row r="384">
      <c r="H384" s="31"/>
    </row>
    <row r="385">
      <c r="H385" s="31"/>
    </row>
    <row r="386">
      <c r="H386" s="31"/>
    </row>
    <row r="387">
      <c r="H387" s="31"/>
    </row>
    <row r="388">
      <c r="H388" s="31"/>
    </row>
    <row r="389">
      <c r="H389" s="31"/>
    </row>
    <row r="390">
      <c r="H390" s="31"/>
    </row>
    <row r="391">
      <c r="H391" s="31"/>
    </row>
    <row r="392">
      <c r="H392" s="31"/>
    </row>
    <row r="393">
      <c r="H393" s="31"/>
    </row>
    <row r="394">
      <c r="H394" s="31"/>
    </row>
    <row r="395">
      <c r="H395" s="31"/>
    </row>
    <row r="396">
      <c r="H396" s="31"/>
    </row>
    <row r="397">
      <c r="H397" s="31"/>
    </row>
    <row r="398">
      <c r="H398" s="31"/>
    </row>
    <row r="399">
      <c r="H399" s="31"/>
    </row>
    <row r="400">
      <c r="H400" s="31"/>
    </row>
    <row r="401">
      <c r="H401" s="31"/>
    </row>
    <row r="402">
      <c r="H402" s="31"/>
    </row>
    <row r="403">
      <c r="H403" s="31"/>
    </row>
    <row r="404">
      <c r="H404" s="31"/>
    </row>
    <row r="405">
      <c r="H405" s="31"/>
    </row>
    <row r="406">
      <c r="H406" s="31"/>
    </row>
    <row r="407">
      <c r="H407" s="31"/>
    </row>
    <row r="408">
      <c r="H408" s="31"/>
    </row>
    <row r="409">
      <c r="H409" s="31"/>
    </row>
    <row r="410">
      <c r="H410" s="31"/>
    </row>
    <row r="411">
      <c r="H411" s="31"/>
    </row>
    <row r="412">
      <c r="H412" s="31"/>
    </row>
    <row r="413">
      <c r="H413" s="31"/>
    </row>
    <row r="414">
      <c r="H414" s="31"/>
    </row>
    <row r="415">
      <c r="H415" s="31"/>
    </row>
    <row r="416">
      <c r="H416" s="31"/>
    </row>
    <row r="417">
      <c r="H417" s="31"/>
    </row>
    <row r="418">
      <c r="H418" s="31"/>
    </row>
    <row r="419">
      <c r="H419" s="31"/>
    </row>
    <row r="420">
      <c r="H420" s="31"/>
    </row>
    <row r="421">
      <c r="H421" s="31"/>
    </row>
    <row r="422">
      <c r="H422" s="31"/>
    </row>
    <row r="423">
      <c r="H423" s="31"/>
    </row>
    <row r="424">
      <c r="H424" s="31"/>
    </row>
    <row r="425">
      <c r="H425" s="31"/>
    </row>
    <row r="426">
      <c r="H426" s="31"/>
    </row>
    <row r="427">
      <c r="H427" s="31"/>
    </row>
    <row r="428">
      <c r="H428" s="31"/>
    </row>
    <row r="429">
      <c r="H429" s="31"/>
    </row>
    <row r="430">
      <c r="H430" s="31"/>
    </row>
    <row r="431">
      <c r="H431" s="31"/>
    </row>
    <row r="432">
      <c r="H432" s="31"/>
    </row>
    <row r="433">
      <c r="H433" s="31"/>
    </row>
    <row r="434">
      <c r="H434" s="31"/>
    </row>
    <row r="435">
      <c r="H435" s="31"/>
    </row>
    <row r="436">
      <c r="H436" s="31"/>
    </row>
    <row r="437">
      <c r="H437" s="31"/>
    </row>
    <row r="438">
      <c r="H438" s="31"/>
    </row>
    <row r="439">
      <c r="H439" s="31"/>
    </row>
    <row r="440">
      <c r="H440" s="31"/>
    </row>
    <row r="441">
      <c r="H441" s="31"/>
    </row>
    <row r="442">
      <c r="H442" s="31"/>
    </row>
    <row r="443">
      <c r="H443" s="31"/>
    </row>
    <row r="444">
      <c r="H444" s="31"/>
    </row>
    <row r="445">
      <c r="H445" s="31"/>
    </row>
    <row r="446">
      <c r="H446" s="31"/>
    </row>
    <row r="447">
      <c r="H447" s="31"/>
    </row>
    <row r="448">
      <c r="H448" s="31"/>
    </row>
    <row r="449">
      <c r="H449" s="31"/>
    </row>
    <row r="450">
      <c r="H450" s="31"/>
    </row>
    <row r="451">
      <c r="H451" s="31"/>
    </row>
    <row r="452">
      <c r="H452" s="31"/>
    </row>
    <row r="453">
      <c r="H453" s="31"/>
    </row>
    <row r="454">
      <c r="H454" s="31"/>
    </row>
    <row r="455">
      <c r="H455" s="31"/>
    </row>
    <row r="456">
      <c r="H456" s="31"/>
    </row>
    <row r="457">
      <c r="H457" s="31"/>
    </row>
    <row r="458">
      <c r="H458" s="31"/>
    </row>
    <row r="459">
      <c r="H459" s="31"/>
    </row>
    <row r="460">
      <c r="H460" s="31"/>
    </row>
    <row r="461">
      <c r="H461" s="31"/>
    </row>
    <row r="462">
      <c r="H462" s="31"/>
    </row>
    <row r="463">
      <c r="H463" s="31"/>
    </row>
    <row r="464">
      <c r="H464" s="31"/>
    </row>
    <row r="465">
      <c r="H465" s="31"/>
    </row>
    <row r="466">
      <c r="H466" s="31"/>
    </row>
    <row r="467">
      <c r="H467" s="31"/>
    </row>
    <row r="468">
      <c r="H468" s="31"/>
    </row>
    <row r="469">
      <c r="H469" s="31"/>
    </row>
    <row r="470">
      <c r="H470" s="31"/>
    </row>
    <row r="471">
      <c r="H471" s="31"/>
    </row>
    <row r="472">
      <c r="H472" s="31"/>
    </row>
    <row r="473">
      <c r="H473" s="31"/>
    </row>
    <row r="474">
      <c r="H474" s="31"/>
    </row>
    <row r="475">
      <c r="H475" s="31"/>
    </row>
    <row r="476">
      <c r="H476" s="31"/>
    </row>
    <row r="477">
      <c r="H477" s="31"/>
    </row>
    <row r="478">
      <c r="H478" s="31"/>
    </row>
    <row r="479">
      <c r="H479" s="31"/>
    </row>
    <row r="480">
      <c r="H480" s="31"/>
    </row>
    <row r="481">
      <c r="H481" s="31"/>
    </row>
    <row r="482">
      <c r="H482" s="31"/>
    </row>
    <row r="483">
      <c r="H483" s="31"/>
    </row>
    <row r="484">
      <c r="H484" s="31"/>
    </row>
    <row r="485">
      <c r="H485" s="31"/>
    </row>
    <row r="486">
      <c r="H486" s="31"/>
    </row>
    <row r="487">
      <c r="H487" s="31"/>
    </row>
    <row r="488">
      <c r="H488" s="31"/>
    </row>
    <row r="489">
      <c r="H489" s="31"/>
    </row>
    <row r="490">
      <c r="H490" s="31"/>
    </row>
    <row r="491">
      <c r="H491" s="31"/>
    </row>
    <row r="492">
      <c r="H492" s="31"/>
    </row>
    <row r="493">
      <c r="H493" s="31"/>
    </row>
    <row r="494">
      <c r="H494" s="31"/>
    </row>
    <row r="495">
      <c r="H495" s="31"/>
    </row>
    <row r="496">
      <c r="H496" s="31"/>
    </row>
    <row r="497">
      <c r="H497" s="31"/>
    </row>
    <row r="498">
      <c r="H498" s="31"/>
    </row>
    <row r="499">
      <c r="H499" s="31"/>
    </row>
    <row r="500">
      <c r="H500" s="31"/>
    </row>
    <row r="501">
      <c r="H501" s="31"/>
    </row>
    <row r="502">
      <c r="H502" s="31"/>
    </row>
    <row r="503">
      <c r="H503" s="31"/>
    </row>
    <row r="504">
      <c r="H504" s="31"/>
    </row>
    <row r="505">
      <c r="H505" s="31"/>
    </row>
    <row r="506">
      <c r="H506" s="31"/>
    </row>
    <row r="507">
      <c r="H507" s="31"/>
    </row>
    <row r="508">
      <c r="H508" s="31"/>
    </row>
    <row r="509">
      <c r="H509" s="31"/>
    </row>
    <row r="510">
      <c r="H510" s="31"/>
    </row>
    <row r="511">
      <c r="H511" s="31"/>
    </row>
    <row r="512">
      <c r="H512" s="31"/>
    </row>
    <row r="513">
      <c r="H513" s="31"/>
    </row>
    <row r="514">
      <c r="H514" s="31"/>
    </row>
    <row r="515">
      <c r="H515" s="31"/>
    </row>
    <row r="516">
      <c r="H516" s="31"/>
    </row>
    <row r="517">
      <c r="H517" s="31"/>
    </row>
    <row r="518">
      <c r="H518" s="31"/>
    </row>
    <row r="519">
      <c r="H519" s="31"/>
    </row>
    <row r="520">
      <c r="H520" s="31"/>
    </row>
    <row r="521">
      <c r="H521" s="31"/>
    </row>
    <row r="522">
      <c r="H522" s="31"/>
    </row>
    <row r="523">
      <c r="H523" s="31"/>
    </row>
    <row r="524">
      <c r="H524" s="31"/>
    </row>
    <row r="525">
      <c r="H525" s="31"/>
    </row>
    <row r="526">
      <c r="H526" s="31"/>
    </row>
    <row r="527">
      <c r="H527" s="31"/>
    </row>
    <row r="528">
      <c r="H528" s="31"/>
    </row>
    <row r="529">
      <c r="H529" s="31"/>
    </row>
    <row r="530">
      <c r="H530" s="31"/>
    </row>
    <row r="531">
      <c r="H531" s="31"/>
    </row>
    <row r="532">
      <c r="H532" s="31"/>
    </row>
    <row r="533">
      <c r="H533" s="31"/>
    </row>
    <row r="534">
      <c r="H534" s="31"/>
    </row>
    <row r="535">
      <c r="H535" s="31"/>
    </row>
    <row r="536">
      <c r="H536" s="31"/>
    </row>
    <row r="537">
      <c r="H537" s="31"/>
    </row>
    <row r="538">
      <c r="H538" s="31"/>
    </row>
    <row r="539">
      <c r="H539" s="31"/>
    </row>
    <row r="540">
      <c r="H540" s="31"/>
    </row>
    <row r="541">
      <c r="H541" s="31"/>
    </row>
    <row r="542">
      <c r="H542" s="31"/>
    </row>
    <row r="543">
      <c r="H543" s="31"/>
    </row>
    <row r="544">
      <c r="H544" s="31"/>
    </row>
    <row r="545">
      <c r="H545" s="31"/>
    </row>
    <row r="546">
      <c r="H546" s="31"/>
    </row>
    <row r="547">
      <c r="H547" s="31"/>
    </row>
    <row r="548">
      <c r="H548" s="31"/>
    </row>
    <row r="549">
      <c r="H549" s="31"/>
    </row>
    <row r="550">
      <c r="H550" s="31"/>
    </row>
    <row r="551">
      <c r="H551" s="31"/>
    </row>
    <row r="552">
      <c r="H552" s="31"/>
    </row>
    <row r="553">
      <c r="H553" s="31"/>
    </row>
    <row r="554">
      <c r="H554" s="31"/>
    </row>
    <row r="555">
      <c r="H555" s="31"/>
    </row>
    <row r="556">
      <c r="H556" s="31"/>
    </row>
    <row r="557">
      <c r="H557" s="31"/>
    </row>
    <row r="558">
      <c r="H558" s="31"/>
    </row>
    <row r="559">
      <c r="H559" s="31"/>
    </row>
    <row r="560">
      <c r="H560" s="31"/>
    </row>
    <row r="561">
      <c r="H561" s="31"/>
    </row>
    <row r="562">
      <c r="H562" s="31"/>
    </row>
    <row r="563">
      <c r="H563" s="31"/>
    </row>
    <row r="564">
      <c r="H564" s="31"/>
    </row>
    <row r="565">
      <c r="H565" s="31"/>
    </row>
    <row r="566">
      <c r="H566" s="31"/>
    </row>
    <row r="567">
      <c r="H567" s="31"/>
    </row>
    <row r="568">
      <c r="H568" s="31"/>
    </row>
    <row r="569">
      <c r="H569" s="31"/>
    </row>
    <row r="570">
      <c r="H570" s="31"/>
    </row>
    <row r="571">
      <c r="H571" s="31"/>
    </row>
    <row r="572">
      <c r="H572" s="31"/>
    </row>
    <row r="573">
      <c r="H573" s="31"/>
    </row>
    <row r="574">
      <c r="H574" s="31"/>
    </row>
    <row r="575">
      <c r="H575" s="31"/>
    </row>
    <row r="576">
      <c r="H576" s="31"/>
    </row>
    <row r="577">
      <c r="H577" s="31"/>
    </row>
    <row r="578">
      <c r="H578" s="31"/>
    </row>
    <row r="579">
      <c r="H579" s="31"/>
    </row>
    <row r="580">
      <c r="H580" s="31"/>
    </row>
    <row r="581">
      <c r="H581" s="31"/>
    </row>
    <row r="582">
      <c r="H582" s="31"/>
    </row>
    <row r="583">
      <c r="H583" s="31"/>
    </row>
    <row r="584">
      <c r="H584" s="31"/>
    </row>
    <row r="585">
      <c r="H585" s="31"/>
    </row>
    <row r="586">
      <c r="H586" s="31"/>
    </row>
    <row r="587">
      <c r="H587" s="31"/>
    </row>
    <row r="588">
      <c r="H588" s="31"/>
    </row>
    <row r="589">
      <c r="H589" s="31"/>
    </row>
    <row r="590">
      <c r="H590" s="31"/>
    </row>
    <row r="591">
      <c r="H591" s="31"/>
    </row>
    <row r="592">
      <c r="H592" s="31"/>
    </row>
    <row r="593">
      <c r="H593" s="31"/>
    </row>
    <row r="594">
      <c r="H594" s="31"/>
    </row>
    <row r="595">
      <c r="H595" s="31"/>
    </row>
    <row r="596">
      <c r="H596" s="31"/>
    </row>
    <row r="597">
      <c r="H597" s="31"/>
    </row>
    <row r="598">
      <c r="H598" s="31"/>
    </row>
    <row r="599">
      <c r="H599" s="31"/>
    </row>
    <row r="600">
      <c r="H600" s="31"/>
    </row>
    <row r="601">
      <c r="H601" s="31"/>
    </row>
    <row r="602">
      <c r="H602" s="31"/>
    </row>
    <row r="603">
      <c r="H603" s="31"/>
    </row>
    <row r="604">
      <c r="H604" s="31"/>
    </row>
    <row r="605">
      <c r="H605" s="31"/>
    </row>
    <row r="606">
      <c r="H606" s="31"/>
    </row>
    <row r="607">
      <c r="H607" s="31"/>
    </row>
    <row r="608">
      <c r="H608" s="31"/>
    </row>
    <row r="609">
      <c r="H609" s="31"/>
    </row>
    <row r="610">
      <c r="H610" s="31"/>
    </row>
    <row r="611">
      <c r="H611" s="31"/>
    </row>
    <row r="612">
      <c r="H612" s="31"/>
    </row>
    <row r="613">
      <c r="H613" s="31"/>
    </row>
    <row r="614">
      <c r="H614" s="31"/>
    </row>
    <row r="615">
      <c r="H615" s="31"/>
    </row>
    <row r="616">
      <c r="H616" s="31"/>
    </row>
    <row r="617">
      <c r="H617" s="31"/>
    </row>
    <row r="618">
      <c r="H618" s="31"/>
    </row>
    <row r="619">
      <c r="H619" s="31"/>
    </row>
    <row r="620">
      <c r="H620" s="31"/>
    </row>
    <row r="621">
      <c r="H621" s="31"/>
    </row>
    <row r="622">
      <c r="H622" s="31"/>
    </row>
    <row r="623">
      <c r="H623" s="31"/>
    </row>
    <row r="624">
      <c r="H624" s="31"/>
    </row>
    <row r="625">
      <c r="H625" s="31"/>
    </row>
    <row r="626">
      <c r="H626" s="31"/>
    </row>
    <row r="627">
      <c r="H627" s="31"/>
    </row>
    <row r="628">
      <c r="H628" s="31"/>
    </row>
    <row r="629">
      <c r="H629" s="31"/>
    </row>
    <row r="630">
      <c r="H630" s="31"/>
    </row>
    <row r="631">
      <c r="H631" s="31"/>
    </row>
    <row r="632">
      <c r="H632" s="31"/>
    </row>
    <row r="633">
      <c r="H633" s="31"/>
    </row>
    <row r="634">
      <c r="H634" s="31"/>
    </row>
    <row r="635">
      <c r="H635" s="31"/>
    </row>
    <row r="636">
      <c r="H636" s="31"/>
    </row>
    <row r="637">
      <c r="H637" s="31"/>
    </row>
    <row r="638">
      <c r="H638" s="31"/>
    </row>
    <row r="639">
      <c r="H639" s="31"/>
    </row>
    <row r="640">
      <c r="H640" s="31"/>
    </row>
    <row r="641">
      <c r="H641" s="31"/>
    </row>
    <row r="642">
      <c r="H642" s="31"/>
    </row>
    <row r="643">
      <c r="H643" s="31"/>
    </row>
    <row r="644">
      <c r="H644" s="31"/>
    </row>
    <row r="645">
      <c r="H645" s="31"/>
    </row>
    <row r="646">
      <c r="H646" s="31"/>
    </row>
    <row r="647">
      <c r="H647" s="31"/>
    </row>
    <row r="648">
      <c r="H648" s="31"/>
    </row>
    <row r="649">
      <c r="H649" s="31"/>
    </row>
    <row r="650">
      <c r="H650" s="31"/>
    </row>
    <row r="651">
      <c r="H651" s="31"/>
    </row>
    <row r="652">
      <c r="H652" s="31"/>
    </row>
    <row r="653">
      <c r="H653" s="31"/>
    </row>
    <row r="654">
      <c r="H654" s="31"/>
    </row>
    <row r="655">
      <c r="H655" s="31"/>
    </row>
    <row r="656">
      <c r="H656" s="31"/>
    </row>
    <row r="657">
      <c r="H657" s="31"/>
    </row>
    <row r="658">
      <c r="H658" s="31"/>
    </row>
    <row r="659">
      <c r="H659" s="31"/>
    </row>
    <row r="660">
      <c r="H660" s="31"/>
    </row>
    <row r="661">
      <c r="H661" s="31"/>
    </row>
    <row r="662">
      <c r="H662" s="31"/>
    </row>
    <row r="663">
      <c r="H663" s="31"/>
    </row>
    <row r="664">
      <c r="H664" s="31"/>
    </row>
    <row r="665">
      <c r="H665" s="31"/>
    </row>
    <row r="666">
      <c r="H666" s="31"/>
    </row>
    <row r="667">
      <c r="H667" s="31"/>
    </row>
    <row r="668">
      <c r="H668" s="31"/>
    </row>
    <row r="669">
      <c r="H669" s="31"/>
    </row>
    <row r="670">
      <c r="H670" s="31"/>
    </row>
    <row r="671">
      <c r="H671" s="31"/>
    </row>
    <row r="672">
      <c r="H672" s="31"/>
    </row>
    <row r="673">
      <c r="H673" s="31"/>
    </row>
    <row r="674">
      <c r="H674" s="31"/>
    </row>
    <row r="675">
      <c r="H675" s="31"/>
    </row>
    <row r="676">
      <c r="H676" s="31"/>
    </row>
    <row r="677">
      <c r="H677" s="31"/>
    </row>
    <row r="678">
      <c r="H678" s="31"/>
    </row>
    <row r="679">
      <c r="H679" s="31"/>
    </row>
    <row r="680">
      <c r="H680" s="31"/>
    </row>
    <row r="681">
      <c r="H681" s="31"/>
    </row>
    <row r="682">
      <c r="H682" s="31"/>
    </row>
    <row r="683">
      <c r="H683" s="31"/>
    </row>
    <row r="684">
      <c r="H684" s="31"/>
    </row>
    <row r="685">
      <c r="H685" s="31"/>
    </row>
    <row r="686">
      <c r="H686" s="31"/>
    </row>
    <row r="687">
      <c r="H687" s="31"/>
    </row>
    <row r="688">
      <c r="H688" s="31"/>
    </row>
    <row r="689">
      <c r="H689" s="31"/>
    </row>
    <row r="690">
      <c r="H690" s="31"/>
    </row>
    <row r="691">
      <c r="H691" s="31"/>
    </row>
    <row r="692">
      <c r="H692" s="31"/>
    </row>
    <row r="693">
      <c r="H693" s="31"/>
    </row>
    <row r="694">
      <c r="H694" s="31"/>
    </row>
    <row r="695">
      <c r="H695" s="31"/>
    </row>
    <row r="696">
      <c r="H696" s="31"/>
    </row>
    <row r="697">
      <c r="H697" s="31"/>
    </row>
    <row r="698">
      <c r="H698" s="31"/>
    </row>
    <row r="699">
      <c r="H699" s="31"/>
    </row>
    <row r="700">
      <c r="H700" s="31"/>
    </row>
    <row r="701">
      <c r="H701" s="31"/>
    </row>
    <row r="702">
      <c r="H702" s="31"/>
    </row>
    <row r="703">
      <c r="H703" s="31"/>
    </row>
    <row r="704">
      <c r="H704" s="31"/>
    </row>
    <row r="705">
      <c r="H705" s="31"/>
    </row>
    <row r="706">
      <c r="H706" s="31"/>
    </row>
    <row r="707">
      <c r="H707" s="31"/>
    </row>
    <row r="708">
      <c r="H708" s="31"/>
    </row>
    <row r="709">
      <c r="H709" s="31"/>
    </row>
    <row r="710">
      <c r="H710" s="31"/>
    </row>
    <row r="711">
      <c r="H711" s="31"/>
    </row>
    <row r="712">
      <c r="H712" s="31"/>
    </row>
    <row r="713">
      <c r="H713" s="31"/>
    </row>
    <row r="714">
      <c r="H714" s="31"/>
    </row>
    <row r="715">
      <c r="H715" s="31"/>
    </row>
    <row r="716">
      <c r="H716" s="31"/>
    </row>
    <row r="717">
      <c r="H717" s="31"/>
    </row>
    <row r="718">
      <c r="H718" s="31"/>
    </row>
    <row r="719">
      <c r="H719" s="31"/>
    </row>
    <row r="720">
      <c r="H720" s="31"/>
    </row>
    <row r="721">
      <c r="H721" s="31"/>
    </row>
    <row r="722">
      <c r="H722" s="31"/>
    </row>
    <row r="723">
      <c r="H723" s="31"/>
    </row>
    <row r="724">
      <c r="H724" s="31"/>
    </row>
    <row r="725">
      <c r="H725" s="31"/>
    </row>
    <row r="726">
      <c r="H726" s="31"/>
    </row>
    <row r="727">
      <c r="H727" s="31"/>
    </row>
    <row r="728">
      <c r="H728" s="31"/>
    </row>
    <row r="729">
      <c r="H729" s="31"/>
    </row>
    <row r="730">
      <c r="H730" s="31"/>
    </row>
    <row r="731">
      <c r="H731" s="31"/>
    </row>
    <row r="732">
      <c r="H732" s="31"/>
    </row>
    <row r="733">
      <c r="H733" s="31"/>
    </row>
    <row r="734">
      <c r="H734" s="31"/>
    </row>
    <row r="735">
      <c r="H735" s="31"/>
    </row>
    <row r="736">
      <c r="H736" s="31"/>
    </row>
    <row r="737">
      <c r="H737" s="31"/>
    </row>
    <row r="738">
      <c r="H738" s="31"/>
    </row>
    <row r="739">
      <c r="H739" s="31"/>
    </row>
    <row r="740">
      <c r="H740" s="31"/>
    </row>
    <row r="741">
      <c r="H741" s="31"/>
    </row>
    <row r="742">
      <c r="H742" s="31"/>
    </row>
    <row r="743">
      <c r="H743" s="31"/>
    </row>
    <row r="744">
      <c r="H744" s="31"/>
    </row>
    <row r="745">
      <c r="H745" s="31"/>
    </row>
    <row r="746">
      <c r="H746" s="31"/>
    </row>
    <row r="747">
      <c r="H747" s="31"/>
    </row>
    <row r="748">
      <c r="H748" s="31"/>
    </row>
    <row r="749">
      <c r="H749" s="31"/>
    </row>
    <row r="750">
      <c r="H750" s="31"/>
    </row>
    <row r="751">
      <c r="H751" s="31"/>
    </row>
    <row r="752">
      <c r="H752" s="31"/>
    </row>
    <row r="753">
      <c r="H753" s="31"/>
    </row>
    <row r="754">
      <c r="H754" s="31"/>
    </row>
    <row r="755">
      <c r="H755" s="31"/>
    </row>
    <row r="756">
      <c r="H756" s="31"/>
    </row>
    <row r="757">
      <c r="H757" s="31"/>
    </row>
    <row r="758">
      <c r="H758" s="31"/>
    </row>
    <row r="759">
      <c r="H759" s="31"/>
    </row>
    <row r="760">
      <c r="H760" s="31"/>
    </row>
    <row r="761">
      <c r="H761" s="31"/>
    </row>
    <row r="762">
      <c r="H762" s="31"/>
    </row>
    <row r="763">
      <c r="H763" s="31"/>
    </row>
    <row r="764">
      <c r="H764" s="31"/>
    </row>
    <row r="765">
      <c r="H765" s="31"/>
    </row>
    <row r="766">
      <c r="H766" s="31"/>
    </row>
    <row r="767">
      <c r="H767" s="31"/>
    </row>
    <row r="768">
      <c r="H768" s="31"/>
    </row>
    <row r="769">
      <c r="H769" s="31"/>
    </row>
    <row r="770">
      <c r="H770" s="31"/>
    </row>
    <row r="771">
      <c r="H771" s="31"/>
    </row>
    <row r="772">
      <c r="H772" s="31"/>
    </row>
    <row r="773">
      <c r="H773" s="31"/>
    </row>
    <row r="774">
      <c r="H774" s="31"/>
    </row>
    <row r="775">
      <c r="H775" s="31"/>
    </row>
    <row r="776">
      <c r="H776" s="31"/>
    </row>
    <row r="777">
      <c r="H777" s="31"/>
    </row>
    <row r="778">
      <c r="H778" s="31"/>
    </row>
    <row r="779">
      <c r="H779" s="31"/>
    </row>
    <row r="780">
      <c r="H780" s="31"/>
    </row>
    <row r="781">
      <c r="H781" s="31"/>
    </row>
    <row r="782">
      <c r="H782" s="31"/>
    </row>
    <row r="783">
      <c r="H783" s="31"/>
    </row>
    <row r="784">
      <c r="H784" s="31"/>
    </row>
    <row r="785">
      <c r="H785" s="31"/>
    </row>
    <row r="786">
      <c r="H786" s="31"/>
    </row>
    <row r="787">
      <c r="H787" s="31"/>
    </row>
    <row r="788">
      <c r="H788" s="31"/>
    </row>
    <row r="789">
      <c r="H789" s="31"/>
    </row>
    <row r="790">
      <c r="H790" s="31"/>
    </row>
    <row r="791">
      <c r="H791" s="31"/>
    </row>
    <row r="792">
      <c r="H792" s="31"/>
    </row>
    <row r="793">
      <c r="H793" s="31"/>
    </row>
    <row r="794">
      <c r="H794" s="31"/>
    </row>
    <row r="795">
      <c r="H795" s="31"/>
    </row>
    <row r="796">
      <c r="H796" s="31"/>
    </row>
    <row r="797">
      <c r="H797" s="31"/>
    </row>
    <row r="798">
      <c r="H798" s="31"/>
    </row>
    <row r="799">
      <c r="H799" s="31"/>
    </row>
    <row r="800">
      <c r="H800" s="31"/>
    </row>
    <row r="801">
      <c r="H801" s="31"/>
    </row>
    <row r="802">
      <c r="H802" s="31"/>
    </row>
    <row r="803">
      <c r="H803" s="31"/>
    </row>
    <row r="804">
      <c r="H804" s="31"/>
    </row>
    <row r="805">
      <c r="H805" s="31"/>
    </row>
    <row r="806">
      <c r="H806" s="31"/>
    </row>
    <row r="807">
      <c r="H807" s="31"/>
    </row>
    <row r="808">
      <c r="H808" s="31"/>
    </row>
    <row r="809">
      <c r="H809" s="31"/>
    </row>
    <row r="810">
      <c r="H810" s="31"/>
    </row>
    <row r="811">
      <c r="H811" s="31"/>
    </row>
    <row r="812">
      <c r="H812" s="31"/>
    </row>
    <row r="813">
      <c r="H813" s="31"/>
    </row>
    <row r="814">
      <c r="H814" s="31"/>
    </row>
    <row r="815">
      <c r="H815" s="31"/>
    </row>
    <row r="816">
      <c r="H816" s="31"/>
    </row>
    <row r="817">
      <c r="H817" s="31"/>
    </row>
    <row r="818">
      <c r="H818" s="31"/>
    </row>
    <row r="819">
      <c r="H819" s="31"/>
    </row>
    <row r="820">
      <c r="H820" s="31"/>
    </row>
    <row r="821">
      <c r="H821" s="31"/>
    </row>
    <row r="822">
      <c r="H822" s="31"/>
    </row>
    <row r="823">
      <c r="H823" s="31"/>
    </row>
    <row r="824">
      <c r="H824" s="31"/>
    </row>
    <row r="825">
      <c r="H825" s="31"/>
    </row>
    <row r="826">
      <c r="H826" s="31"/>
    </row>
    <row r="827">
      <c r="H827" s="31"/>
    </row>
    <row r="828">
      <c r="H828" s="31"/>
    </row>
    <row r="829">
      <c r="H829" s="31"/>
    </row>
    <row r="830">
      <c r="H830" s="31"/>
    </row>
    <row r="831">
      <c r="H831" s="31"/>
    </row>
    <row r="832">
      <c r="H832" s="31"/>
    </row>
    <row r="833">
      <c r="H833" s="31"/>
    </row>
    <row r="834">
      <c r="H834" s="31"/>
    </row>
    <row r="835">
      <c r="H835" s="31"/>
    </row>
    <row r="836">
      <c r="H836" s="31"/>
    </row>
    <row r="837">
      <c r="H837" s="31"/>
    </row>
    <row r="838">
      <c r="H838" s="31"/>
    </row>
    <row r="839">
      <c r="H839" s="31"/>
    </row>
    <row r="840">
      <c r="H840" s="31"/>
    </row>
    <row r="841">
      <c r="H841" s="31"/>
    </row>
    <row r="842">
      <c r="H842" s="31"/>
    </row>
    <row r="843">
      <c r="H843" s="31"/>
    </row>
    <row r="844">
      <c r="H844" s="31"/>
    </row>
    <row r="845">
      <c r="H845" s="31"/>
    </row>
    <row r="846">
      <c r="H846" s="31"/>
    </row>
    <row r="847">
      <c r="H847" s="31"/>
    </row>
    <row r="848">
      <c r="H848" s="31"/>
    </row>
    <row r="849">
      <c r="H849" s="31"/>
    </row>
    <row r="850">
      <c r="H850" s="31"/>
    </row>
    <row r="851">
      <c r="H851" s="31"/>
    </row>
    <row r="852">
      <c r="H852" s="31"/>
    </row>
    <row r="853">
      <c r="H853" s="31"/>
    </row>
    <row r="854">
      <c r="H854" s="31"/>
    </row>
    <row r="855">
      <c r="H855" s="31"/>
    </row>
    <row r="856">
      <c r="H856" s="31"/>
    </row>
    <row r="857">
      <c r="H857" s="31"/>
    </row>
    <row r="858">
      <c r="H858" s="31"/>
    </row>
    <row r="859">
      <c r="H859" s="31"/>
    </row>
    <row r="860">
      <c r="H860" s="31"/>
    </row>
    <row r="861">
      <c r="H861" s="31"/>
    </row>
    <row r="862">
      <c r="H862" s="31"/>
    </row>
    <row r="863">
      <c r="H863" s="31"/>
    </row>
    <row r="864">
      <c r="H864" s="31"/>
    </row>
    <row r="865">
      <c r="H865" s="31"/>
    </row>
    <row r="866">
      <c r="H866" s="31"/>
    </row>
    <row r="867">
      <c r="H867" s="31"/>
    </row>
    <row r="868">
      <c r="H868" s="31"/>
    </row>
    <row r="869">
      <c r="H869" s="31"/>
    </row>
    <row r="870">
      <c r="H870" s="31"/>
    </row>
    <row r="871">
      <c r="H871" s="31"/>
    </row>
    <row r="872">
      <c r="H872" s="31"/>
    </row>
    <row r="873">
      <c r="H873" s="31"/>
    </row>
    <row r="874">
      <c r="H874" s="31"/>
    </row>
    <row r="875">
      <c r="H875" s="31"/>
    </row>
    <row r="876">
      <c r="H876" s="31"/>
    </row>
    <row r="877">
      <c r="H877" s="31"/>
    </row>
    <row r="878">
      <c r="H878" s="31"/>
    </row>
    <row r="879">
      <c r="H879" s="31"/>
    </row>
    <row r="880">
      <c r="H880" s="31"/>
    </row>
    <row r="881">
      <c r="H881" s="31"/>
    </row>
    <row r="882">
      <c r="H882" s="31"/>
    </row>
    <row r="883">
      <c r="H883" s="31"/>
    </row>
    <row r="884">
      <c r="H884" s="31"/>
    </row>
    <row r="885">
      <c r="H885" s="31"/>
    </row>
    <row r="886">
      <c r="H886" s="31"/>
    </row>
    <row r="887">
      <c r="H887" s="31"/>
    </row>
    <row r="888">
      <c r="H888" s="31"/>
    </row>
    <row r="889">
      <c r="H889" s="31"/>
    </row>
    <row r="890">
      <c r="H890" s="31"/>
    </row>
    <row r="891">
      <c r="H891" s="31"/>
    </row>
    <row r="892">
      <c r="H892" s="31"/>
    </row>
    <row r="893">
      <c r="H893" s="31"/>
    </row>
    <row r="894">
      <c r="H894" s="31"/>
    </row>
    <row r="895">
      <c r="H895" s="31"/>
    </row>
    <row r="896">
      <c r="H896" s="31"/>
    </row>
    <row r="897">
      <c r="H897" s="31"/>
    </row>
    <row r="898">
      <c r="H898" s="31"/>
    </row>
    <row r="899">
      <c r="H899" s="31"/>
    </row>
    <row r="900">
      <c r="H900" s="31"/>
    </row>
    <row r="901">
      <c r="H901" s="31"/>
    </row>
    <row r="902">
      <c r="H902" s="31"/>
    </row>
    <row r="903">
      <c r="H903" s="31"/>
    </row>
    <row r="904">
      <c r="H904" s="31"/>
    </row>
    <row r="905">
      <c r="H905" s="31"/>
    </row>
    <row r="906">
      <c r="H906" s="31"/>
    </row>
    <row r="907">
      <c r="H907" s="31"/>
    </row>
    <row r="908">
      <c r="H908" s="31"/>
    </row>
    <row r="909">
      <c r="H909" s="31"/>
    </row>
    <row r="910">
      <c r="H910" s="31"/>
    </row>
    <row r="911">
      <c r="H911" s="31"/>
    </row>
    <row r="912">
      <c r="H912" s="31"/>
    </row>
    <row r="913">
      <c r="H913" s="31"/>
    </row>
    <row r="914">
      <c r="H914" s="31"/>
    </row>
    <row r="915">
      <c r="H915" s="31"/>
    </row>
    <row r="916">
      <c r="H916" s="31"/>
    </row>
    <row r="917">
      <c r="H917" s="31"/>
    </row>
    <row r="918">
      <c r="H918" s="31"/>
    </row>
    <row r="919">
      <c r="H919" s="31"/>
    </row>
    <row r="920">
      <c r="H920" s="31"/>
    </row>
    <row r="921">
      <c r="H921" s="31"/>
    </row>
    <row r="922">
      <c r="H922" s="31"/>
    </row>
    <row r="923">
      <c r="H923" s="31"/>
    </row>
    <row r="924">
      <c r="H924" s="31"/>
    </row>
    <row r="925">
      <c r="H925" s="31"/>
    </row>
    <row r="926">
      <c r="H926" s="31"/>
    </row>
    <row r="927">
      <c r="H927" s="31"/>
    </row>
    <row r="928">
      <c r="H928" s="31"/>
    </row>
    <row r="929">
      <c r="H929" s="31"/>
    </row>
    <row r="930">
      <c r="H930" s="31"/>
    </row>
    <row r="931">
      <c r="H931" s="31"/>
    </row>
    <row r="932">
      <c r="H932" s="31"/>
    </row>
    <row r="933">
      <c r="H933" s="31"/>
    </row>
    <row r="934">
      <c r="H934" s="31"/>
    </row>
    <row r="935">
      <c r="H935" s="31"/>
    </row>
    <row r="936">
      <c r="H936" s="31"/>
    </row>
    <row r="937">
      <c r="H937" s="31"/>
    </row>
    <row r="938">
      <c r="H938" s="31"/>
    </row>
    <row r="939">
      <c r="H939" s="31"/>
    </row>
    <row r="940">
      <c r="H940" s="31"/>
    </row>
    <row r="941">
      <c r="H941" s="31"/>
    </row>
    <row r="942">
      <c r="H942" s="31"/>
    </row>
    <row r="943">
      <c r="H943" s="31"/>
    </row>
    <row r="944">
      <c r="H944" s="31"/>
    </row>
    <row r="945">
      <c r="H945" s="31"/>
    </row>
    <row r="946">
      <c r="H946" s="31"/>
    </row>
    <row r="947">
      <c r="H947" s="31"/>
    </row>
    <row r="948">
      <c r="H948" s="31"/>
    </row>
    <row r="949">
      <c r="H949" s="31"/>
    </row>
    <row r="950">
      <c r="H950" s="31"/>
    </row>
    <row r="951">
      <c r="H951" s="31"/>
    </row>
    <row r="952">
      <c r="H952" s="31"/>
    </row>
    <row r="953">
      <c r="H953" s="31"/>
    </row>
    <row r="954">
      <c r="H954" s="31"/>
    </row>
    <row r="955">
      <c r="H955" s="31"/>
    </row>
    <row r="956">
      <c r="H956" s="31"/>
    </row>
    <row r="957">
      <c r="H957" s="31"/>
    </row>
    <row r="958">
      <c r="H958" s="31"/>
    </row>
    <row r="959">
      <c r="H959" s="31"/>
    </row>
    <row r="960">
      <c r="H960" s="31"/>
    </row>
    <row r="961">
      <c r="H961" s="31"/>
    </row>
    <row r="962">
      <c r="H962" s="31"/>
    </row>
    <row r="963">
      <c r="H963" s="31"/>
    </row>
    <row r="964">
      <c r="H964" s="31"/>
    </row>
    <row r="965">
      <c r="H965" s="31"/>
    </row>
    <row r="966">
      <c r="H966" s="31"/>
    </row>
    <row r="967">
      <c r="H967" s="31"/>
    </row>
    <row r="968">
      <c r="H968" s="31"/>
    </row>
    <row r="969">
      <c r="H969" s="31"/>
    </row>
    <row r="970">
      <c r="H970" s="31"/>
    </row>
    <row r="971">
      <c r="H971" s="31"/>
    </row>
    <row r="972">
      <c r="H972" s="31"/>
    </row>
    <row r="973">
      <c r="H973" s="31"/>
    </row>
    <row r="974">
      <c r="H974" s="31"/>
    </row>
    <row r="975">
      <c r="H975" s="31"/>
    </row>
    <row r="976">
      <c r="H976" s="31"/>
    </row>
    <row r="977">
      <c r="H977" s="31"/>
    </row>
    <row r="978">
      <c r="H978" s="31"/>
    </row>
    <row r="979">
      <c r="H979" s="31"/>
    </row>
    <row r="980">
      <c r="H980" s="31"/>
    </row>
    <row r="981">
      <c r="H981" s="31"/>
    </row>
    <row r="982">
      <c r="H982" s="31"/>
    </row>
    <row r="983">
      <c r="H983" s="31"/>
    </row>
    <row r="984">
      <c r="H984" s="31"/>
    </row>
    <row r="985">
      <c r="H985" s="31"/>
    </row>
    <row r="986">
      <c r="H986" s="31"/>
    </row>
    <row r="987">
      <c r="H987" s="31"/>
    </row>
    <row r="988">
      <c r="H988" s="31"/>
    </row>
    <row r="989">
      <c r="H989" s="31"/>
    </row>
    <row r="990">
      <c r="H990" s="31"/>
    </row>
    <row r="991">
      <c r="H991" s="31"/>
    </row>
    <row r="992">
      <c r="H992" s="31"/>
    </row>
    <row r="993">
      <c r="H993" s="31"/>
    </row>
    <row r="994">
      <c r="H994" s="31"/>
    </row>
    <row r="995">
      <c r="H995" s="31"/>
    </row>
    <row r="996">
      <c r="H996" s="31"/>
    </row>
    <row r="997">
      <c r="H997" s="31"/>
    </row>
    <row r="998">
      <c r="H998" s="31"/>
    </row>
    <row r="999">
      <c r="H999" s="31"/>
    </row>
  </sheetData>
  <mergeCells count="5">
    <mergeCell ref="A1:A2"/>
    <mergeCell ref="B1:B2"/>
    <mergeCell ref="C1:C2"/>
    <mergeCell ref="D1:D2"/>
    <mergeCell ref="E1:E2"/>
  </mergeCells>
  <conditionalFormatting sqref="F3:AW38 AX3:BA31">
    <cfRule type="cellIs" dxfId="3" priority="1" operator="equal">
      <formula>1</formula>
    </cfRule>
  </conditionalFormatting>
  <conditionalFormatting sqref="F3:AW38 AX8:AY8 AX37:BA37">
    <cfRule type="cellIs" dxfId="4" priority="2" operator="equal">
      <formula>"R"</formula>
    </cfRule>
  </conditionalFormatting>
  <conditionalFormatting sqref="B3:B31 C3:C38 B37">
    <cfRule type="cellIs" dxfId="5" priority="3" operator="greaterThanOrEqual">
      <formula>3</formula>
    </cfRule>
  </conditionalFormatting>
  <conditionalFormatting sqref="B3:B24 B26:B31 B37">
    <cfRule type="cellIs" dxfId="6" priority="4" operator="lessThan">
      <formula>1</formula>
    </cfRule>
  </conditionalFormatting>
  <conditionalFormatting sqref="B3:B32 C3:C41 B37">
    <cfRule type="cellIs" dxfId="7" priority="5" operator="equal">
      <formula>0</formula>
    </cfRule>
  </conditionalFormatting>
  <conditionalFormatting sqref="B3:B31 C3:C38 B37">
    <cfRule type="cellIs" dxfId="8" priority="6" operator="lessThan">
      <formula>2</formula>
    </cfRule>
  </conditionalFormatting>
  <conditionalFormatting sqref="B3:B31 C3:C38 B37">
    <cfRule type="cellIs" dxfId="9" priority="7" operator="lessThan">
      <formula>3</formula>
    </cfRule>
  </conditionalFormatting>
  <conditionalFormatting sqref="B3:B32 C3:C41 B37">
    <cfRule type="containsBlanks" dxfId="6" priority="8">
      <formula>LEN(TRIM(B3))=0</formula>
    </cfRule>
  </conditionalFormatting>
  <conditionalFormatting sqref="F3:AW38 AX8:AY8 AX37:BA37">
    <cfRule type="cellIs" dxfId="10" priority="9" operator="equal">
      <formula>"R2"</formula>
    </cfRule>
  </conditionalFormatting>
  <conditionalFormatting sqref="AQ32:BA32 F39:BA39">
    <cfRule type="cellIs" dxfId="7" priority="10" operator="lessThan">
      <formula>1</formula>
    </cfRule>
  </conditionalFormatting>
  <conditionalFormatting sqref="AQ32:BA32 F39:BA39">
    <cfRule type="cellIs" dxfId="3" priority="11" operator="equal">
      <formula>1</formula>
    </cfRule>
  </conditionalFormatting>
  <conditionalFormatting sqref="AQ32:BA32 F39:BA39">
    <cfRule type="cellIs" dxfId="11" priority="12" operator="greaterThan">
      <formula>1</formula>
    </cfRule>
  </conditionalFormatting>
  <conditionalFormatting sqref="D3:E41">
    <cfRule type="cellIs" dxfId="9" priority="13" operator="equal">
      <formula>1</formula>
    </cfRule>
  </conditionalFormatting>
  <conditionalFormatting sqref="F25:BA25 Z31:Z36 F33:Y36 AA33:BA36 F38:BA41">
    <cfRule type="cellIs" dxfId="7" priority="14" operator="lessThan">
      <formula>1</formula>
    </cfRule>
  </conditionalFormatting>
  <conditionalFormatting sqref="F25:BA25 Z31:Z36 F33:Y36 AA33:BA36 F38:BA41">
    <cfRule type="cellIs" dxfId="12" priority="15" operator="equal">
      <formula>1</formula>
    </cfRule>
  </conditionalFormatting>
  <conditionalFormatting sqref="F25:BA25 Z31:Z36 F33:Y36 AA33:BA36 F38:BA41">
    <cfRule type="cellIs" dxfId="11" priority="16" operator="greaterThan">
      <formula>1</formula>
    </cfRule>
  </conditionalFormatting>
  <conditionalFormatting sqref="D3:D41 E3:E38">
    <cfRule type="cellIs" dxfId="7" priority="17" operator="equal">
      <formula>0</formula>
    </cfRule>
  </conditionalFormatting>
  <conditionalFormatting sqref="D3:D41 E3:E38">
    <cfRule type="cellIs" dxfId="4" priority="18" operator="equal">
      <formula>2</formula>
    </cfRule>
  </conditionalFormatting>
  <conditionalFormatting sqref="E3:E41">
    <cfRule type="cellIs" dxfId="7" priority="19" operator="equal">
      <formula>0</formula>
    </cfRule>
  </conditionalFormatting>
  <conditionalFormatting sqref="E3:E41">
    <cfRule type="cellIs" dxfId="4" priority="20" operator="greaterThanOrEqual">
      <formula>2</formula>
    </cfRule>
  </conditionalFormatting>
  <conditionalFormatting sqref="C44">
    <cfRule type="notContainsBlanks" dxfId="3" priority="21">
      <formula>LEN(TRIM(C44))&gt;0</formula>
    </cfRule>
  </conditionalFormatting>
  <conditionalFormatting sqref="AU2:BA2">
    <cfRule type="containsText" dxfId="13" priority="22" operator="containsText" text="(PAM)">
      <formula>NOT(ISERROR(SEARCH(("(PAM)"),(AU2))))</formula>
    </cfRule>
  </conditionalFormatting>
  <conditionalFormatting sqref="AU2:BA2">
    <cfRule type="containsText" dxfId="13" priority="23" operator="containsText" text="(PPM)">
      <formula>NOT(ISERROR(SEARCH(("(PPM)"),(AU2))))</formula>
    </cfRule>
  </conditionalFormatting>
  <conditionalFormatting sqref="F2:BA2">
    <cfRule type="containsText" dxfId="13" priority="24" operator="containsText" text="PAM">
      <formula>NOT(ISERROR(SEARCH(("PAM"),(F2))))</formula>
    </cfRule>
  </conditionalFormatting>
  <conditionalFormatting sqref="F2:BA2">
    <cfRule type="containsText" dxfId="13" priority="25" operator="containsText" text="PPM">
      <formula>NOT(ISERROR(SEARCH(("PPM"),(F2))))</formula>
    </cfRule>
  </conditionalFormatting>
  <conditionalFormatting sqref="F2:BA2">
    <cfRule type="containsText" dxfId="11" priority="26" operator="containsText" text="(AM)">
      <formula>NOT(ISERROR(SEARCH(("(AM)"),(F2))))</formula>
    </cfRule>
  </conditionalFormatting>
  <conditionalFormatting sqref="F2:BA2">
    <cfRule type="containsText" dxfId="7" priority="27" operator="containsText" text="(PM)">
      <formula>NOT(ISERROR(SEARCH(("(PM)"),(F2))))</formula>
    </cfRule>
  </conditionalFormatting>
  <conditionalFormatting sqref="F2:BA2">
    <cfRule type="notContainsText" dxfId="15" priority="28" operator="notContains" text="(AM)">
      <formula>ISERROR(SEARCH(("(AM)"),(F2)))</formula>
    </cfRule>
  </conditionalFormatting>
  <conditionalFormatting sqref="F2:BA2">
    <cfRule type="notContainsText" dxfId="15" priority="29" operator="notContains" text="(PM)">
      <formula>ISERROR(SEARCH(("(PM)"),(F2)))</formula>
    </cfRule>
  </conditionalFormatting>
  <conditionalFormatting sqref="F2:BA2">
    <cfRule type="notContainsText" dxfId="15" priority="30" operator="notContains" text="(PM)">
      <formula>ISERROR(SEARCH(("(PM)"),(F2)))</formula>
    </cfRule>
  </conditionalFormatting>
  <dataValidations>
    <dataValidation type="list" allowBlank="1" showErrorMessage="1" sqref="A3:A39">
      <formula1>'Personnel List'!$D$2:$D$45</formula1>
    </dataValidation>
  </dataValidations>
  <drawing r:id="rId2"/>
  <legacyDrawing r:id="rId3"/>
  <tableParts count="2">
    <tablePart r:id="rId6"/>
    <tablePart r:id="rId7"/>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26.75"/>
    <col customWidth="1" hidden="1" min="2" max="2" width="11.38"/>
    <col customWidth="1" min="4" max="4" width="14.13"/>
    <col customWidth="1" min="6" max="11" width="8.63"/>
    <col customWidth="1" min="12" max="12" width="8.38"/>
    <col customWidth="1" min="13" max="13" width="8.25"/>
    <col customWidth="1" min="14" max="43" width="8.63"/>
    <col customWidth="1" hidden="1" min="44" max="50" width="9.5"/>
  </cols>
  <sheetData>
    <row r="1">
      <c r="A1" s="1" t="s">
        <v>0</v>
      </c>
      <c r="B1" s="1" t="s">
        <v>1</v>
      </c>
      <c r="C1" s="1" t="s">
        <v>2</v>
      </c>
      <c r="D1" s="1" t="s">
        <v>3</v>
      </c>
      <c r="E1" s="1" t="s">
        <v>4</v>
      </c>
      <c r="F1" s="2" t="s">
        <v>424</v>
      </c>
      <c r="G1" s="2" t="s">
        <v>425</v>
      </c>
      <c r="H1" s="2" t="s">
        <v>426</v>
      </c>
      <c r="I1" s="2" t="s">
        <v>427</v>
      </c>
      <c r="J1" s="2" t="s">
        <v>420</v>
      </c>
      <c r="K1" s="2" t="s">
        <v>422</v>
      </c>
      <c r="L1" s="2" t="s">
        <v>422</v>
      </c>
      <c r="M1" s="2" t="s">
        <v>423</v>
      </c>
      <c r="N1" s="2" t="s">
        <v>423</v>
      </c>
      <c r="O1" s="2" t="s">
        <v>424</v>
      </c>
      <c r="P1" s="2" t="s">
        <v>425</v>
      </c>
      <c r="Q1" s="54" t="s">
        <v>426</v>
      </c>
      <c r="R1" s="54" t="s">
        <v>427</v>
      </c>
      <c r="S1" s="54" t="s">
        <v>420</v>
      </c>
      <c r="T1" s="54" t="s">
        <v>422</v>
      </c>
      <c r="U1" s="54" t="s">
        <v>422</v>
      </c>
      <c r="V1" s="54" t="s">
        <v>423</v>
      </c>
      <c r="W1" s="54" t="s">
        <v>423</v>
      </c>
      <c r="X1" s="54" t="s">
        <v>424</v>
      </c>
      <c r="Y1" s="54" t="s">
        <v>425</v>
      </c>
      <c r="Z1" s="54" t="s">
        <v>426</v>
      </c>
      <c r="AA1" s="54" t="s">
        <v>427</v>
      </c>
      <c r="AB1" s="54" t="s">
        <v>420</v>
      </c>
      <c r="AC1" s="54" t="s">
        <v>422</v>
      </c>
      <c r="AD1" s="54" t="s">
        <v>422</v>
      </c>
      <c r="AE1" s="54" t="s">
        <v>423</v>
      </c>
      <c r="AF1" s="54" t="s">
        <v>423</v>
      </c>
      <c r="AG1" s="54" t="s">
        <v>424</v>
      </c>
      <c r="AH1" s="54" t="s">
        <v>425</v>
      </c>
      <c r="AI1" s="54" t="s">
        <v>426</v>
      </c>
      <c r="AJ1" s="54" t="s">
        <v>427</v>
      </c>
      <c r="AK1" s="54" t="s">
        <v>420</v>
      </c>
      <c r="AL1" s="54" t="s">
        <v>422</v>
      </c>
      <c r="AM1" s="54" t="s">
        <v>422</v>
      </c>
      <c r="AN1" s="54" t="s">
        <v>423</v>
      </c>
      <c r="AO1" s="54" t="s">
        <v>423</v>
      </c>
      <c r="AP1" s="54" t="s">
        <v>424</v>
      </c>
      <c r="AQ1" s="54" t="s">
        <v>425</v>
      </c>
      <c r="AR1" s="54" t="s">
        <v>423</v>
      </c>
      <c r="AS1" s="54" t="s">
        <v>423</v>
      </c>
      <c r="AT1" s="54" t="s">
        <v>424</v>
      </c>
      <c r="AU1" s="54" t="s">
        <v>425</v>
      </c>
      <c r="AV1" s="55" t="s">
        <v>8</v>
      </c>
      <c r="AW1" s="55" t="s">
        <v>7</v>
      </c>
      <c r="AX1" s="55" t="s">
        <v>8</v>
      </c>
    </row>
    <row r="2">
      <c r="F2" s="87">
        <v>45901.0</v>
      </c>
      <c r="G2" s="87">
        <v>45902.0</v>
      </c>
      <c r="H2" s="87">
        <v>45903.0</v>
      </c>
      <c r="I2" s="87">
        <v>45904.0</v>
      </c>
      <c r="J2" s="87">
        <v>45905.0</v>
      </c>
      <c r="K2" s="88" t="s">
        <v>452</v>
      </c>
      <c r="L2" s="88" t="s">
        <v>453</v>
      </c>
      <c r="M2" s="88" t="s">
        <v>454</v>
      </c>
      <c r="N2" s="88" t="s">
        <v>455</v>
      </c>
      <c r="O2" s="87">
        <v>45908.0</v>
      </c>
      <c r="P2" s="87">
        <v>45909.0</v>
      </c>
      <c r="Q2" s="87">
        <v>45910.0</v>
      </c>
      <c r="R2" s="87">
        <v>45911.0</v>
      </c>
      <c r="S2" s="87">
        <v>45912.0</v>
      </c>
      <c r="T2" s="88" t="s">
        <v>456</v>
      </c>
      <c r="U2" s="88" t="s">
        <v>457</v>
      </c>
      <c r="V2" s="88" t="s">
        <v>458</v>
      </c>
      <c r="W2" s="88" t="s">
        <v>459</v>
      </c>
      <c r="X2" s="87">
        <v>45915.0</v>
      </c>
      <c r="Y2" s="87">
        <v>45916.0</v>
      </c>
      <c r="Z2" s="87">
        <v>45917.0</v>
      </c>
      <c r="AA2" s="87">
        <v>45918.0</v>
      </c>
      <c r="AB2" s="87">
        <v>45919.0</v>
      </c>
      <c r="AC2" s="88" t="s">
        <v>460</v>
      </c>
      <c r="AD2" s="88" t="s">
        <v>461</v>
      </c>
      <c r="AE2" s="88" t="s">
        <v>462</v>
      </c>
      <c r="AF2" s="88" t="s">
        <v>463</v>
      </c>
      <c r="AG2" s="87">
        <v>45922.0</v>
      </c>
      <c r="AH2" s="87">
        <v>11955.0</v>
      </c>
      <c r="AI2" s="87">
        <v>45924.0</v>
      </c>
      <c r="AJ2" s="87">
        <v>45925.0</v>
      </c>
      <c r="AK2" s="87">
        <v>45926.0</v>
      </c>
      <c r="AL2" s="88" t="s">
        <v>464</v>
      </c>
      <c r="AM2" s="88" t="s">
        <v>465</v>
      </c>
      <c r="AN2" s="88" t="s">
        <v>466</v>
      </c>
      <c r="AO2" s="88" t="s">
        <v>467</v>
      </c>
      <c r="AP2" s="87">
        <v>45929.0</v>
      </c>
      <c r="AQ2" s="87">
        <v>45930.0</v>
      </c>
      <c r="AR2" s="87"/>
      <c r="AS2" s="51"/>
      <c r="AT2" s="51"/>
      <c r="AU2" s="51" t="s">
        <v>252</v>
      </c>
      <c r="AV2" s="51" t="s">
        <v>253</v>
      </c>
      <c r="AW2" s="51" t="s">
        <v>252</v>
      </c>
      <c r="AX2" s="51" t="s">
        <v>253</v>
      </c>
    </row>
    <row r="3">
      <c r="A3" s="39" t="s">
        <v>226</v>
      </c>
      <c r="B3" s="40">
        <f t="shared" ref="B3:B8" si="1">SUM(C3:D3)</f>
        <v>0</v>
      </c>
      <c r="C3" s="10">
        <f>SUM(F3:AQ3)</f>
        <v>0</v>
      </c>
      <c r="D3" s="11">
        <f t="array" ref="D3">SUM(IF(F3:AQ3="R",1,0))</f>
        <v>0</v>
      </c>
      <c r="E3" s="11">
        <f t="array" ref="E3">SUM(IF(F3:AQ3="R2",1,0))</f>
        <v>0</v>
      </c>
      <c r="F3" s="90"/>
      <c r="G3" s="90"/>
      <c r="H3" s="90"/>
      <c r="I3" s="91"/>
      <c r="J3" s="91"/>
      <c r="K3" s="91"/>
      <c r="L3" s="91"/>
      <c r="M3" s="91"/>
      <c r="N3" s="91"/>
    </row>
    <row r="4">
      <c r="A4" s="25" t="s">
        <v>419</v>
      </c>
      <c r="B4" s="10">
        <f t="shared" si="1"/>
        <v>2</v>
      </c>
      <c r="C4" s="10">
        <f>SUM(H4:AQ4)</f>
        <v>1</v>
      </c>
      <c r="D4" s="11">
        <f t="array" ref="D4">SUM(IF(H4:AQ4="R",1,0))</f>
        <v>1</v>
      </c>
      <c r="E4" s="11">
        <f t="array" ref="E4">SUM(IF(H4:AQ4="R2",1,0))</f>
        <v>2</v>
      </c>
      <c r="F4" s="98"/>
      <c r="G4" s="98"/>
      <c r="H4" s="98"/>
      <c r="I4" s="98"/>
      <c r="J4" s="98"/>
      <c r="K4" s="79"/>
      <c r="L4" s="79"/>
      <c r="M4" s="11"/>
      <c r="N4" s="11"/>
      <c r="T4" s="17" t="s">
        <v>40</v>
      </c>
      <c r="V4" s="17" t="s">
        <v>62</v>
      </c>
      <c r="AL4" s="17" t="s">
        <v>39</v>
      </c>
      <c r="AN4" s="24">
        <v>1.0</v>
      </c>
    </row>
    <row r="5">
      <c r="A5" s="25" t="s">
        <v>468</v>
      </c>
      <c r="B5" s="10">
        <f t="shared" si="1"/>
        <v>3</v>
      </c>
      <c r="C5" s="10">
        <f t="shared" ref="C5:C11" si="2">SUM(F5:AQ5)</f>
        <v>1</v>
      </c>
      <c r="D5" s="11">
        <f t="array" ref="D5">SUM(IF(F5:AQ5="R",1,0))</f>
        <v>2</v>
      </c>
      <c r="E5" s="11">
        <f t="array" ref="E5">SUM(IF(F5:AQ5="R2",1,0))</f>
        <v>1</v>
      </c>
      <c r="F5" s="98"/>
      <c r="G5" s="98"/>
      <c r="H5" s="98" t="s">
        <v>63</v>
      </c>
      <c r="I5" s="98"/>
      <c r="J5" s="98"/>
      <c r="K5" s="79"/>
      <c r="L5" s="79"/>
      <c r="M5" s="11"/>
      <c r="N5" s="11"/>
      <c r="P5" s="17" t="s">
        <v>40</v>
      </c>
      <c r="AA5" s="17" t="s">
        <v>63</v>
      </c>
      <c r="AI5" s="17">
        <v>1.0</v>
      </c>
    </row>
    <row r="6">
      <c r="A6" s="14" t="s">
        <v>413</v>
      </c>
      <c r="B6" s="10">
        <f t="shared" si="1"/>
        <v>1</v>
      </c>
      <c r="C6" s="10">
        <f t="shared" si="2"/>
        <v>1</v>
      </c>
      <c r="D6" s="11">
        <f t="array" ref="D6">SUM(IF(F6:AQ6="R",1,0))</f>
        <v>0</v>
      </c>
      <c r="E6" s="11">
        <f t="array" ref="E6">SUM(IF(H6:AQ6="R2",1,0))</f>
        <v>2</v>
      </c>
      <c r="F6" s="95"/>
      <c r="G6" s="43"/>
      <c r="H6" s="43"/>
      <c r="I6" s="43"/>
      <c r="J6" s="43"/>
      <c r="K6" s="43"/>
      <c r="L6" s="43"/>
      <c r="M6" s="91"/>
      <c r="N6" s="91"/>
      <c r="O6" s="121"/>
      <c r="P6" s="121"/>
      <c r="Q6" s="16"/>
      <c r="R6" s="16"/>
      <c r="S6" s="24">
        <v>1.0</v>
      </c>
      <c r="X6" s="121"/>
      <c r="Y6" s="24" t="s">
        <v>62</v>
      </c>
      <c r="Z6" s="16"/>
      <c r="AA6" s="16"/>
      <c r="AB6" s="24"/>
      <c r="AG6" s="24"/>
      <c r="AH6" s="121"/>
      <c r="AI6" s="16"/>
      <c r="AJ6" s="16"/>
      <c r="AK6" s="24"/>
      <c r="AP6" s="24" t="s">
        <v>62</v>
      </c>
      <c r="AQ6" s="121"/>
    </row>
    <row r="7">
      <c r="A7" s="14" t="s">
        <v>414</v>
      </c>
      <c r="B7" s="10">
        <f t="shared" si="1"/>
        <v>3</v>
      </c>
      <c r="C7" s="10">
        <f t="shared" si="2"/>
        <v>2</v>
      </c>
      <c r="D7" s="11">
        <f t="array" ref="D7">SUM(IF(F7:AQ7="R",1,0))</f>
        <v>1</v>
      </c>
      <c r="E7" s="11">
        <f t="array" ref="E7">SUM(IF(F7:AQ7="R2",1,0))</f>
        <v>2</v>
      </c>
      <c r="F7" s="16"/>
      <c r="G7" s="21"/>
      <c r="H7" s="16"/>
      <c r="I7" s="16"/>
      <c r="J7" s="16"/>
      <c r="K7" s="16"/>
      <c r="L7" s="16"/>
      <c r="M7" s="16"/>
      <c r="N7" s="16"/>
      <c r="O7" s="121"/>
      <c r="P7" s="121"/>
      <c r="Q7" s="16"/>
      <c r="R7" s="16"/>
      <c r="S7" s="17" t="s">
        <v>62</v>
      </c>
      <c r="T7" s="16"/>
      <c r="U7" s="16"/>
      <c r="V7" s="16"/>
      <c r="W7" s="16"/>
      <c r="X7" s="24"/>
      <c r="Y7" s="24">
        <v>1.0</v>
      </c>
      <c r="Z7" s="16"/>
      <c r="AA7" s="16"/>
      <c r="AB7" s="17" t="s">
        <v>63</v>
      </c>
      <c r="AC7" s="16"/>
      <c r="AD7" s="16"/>
      <c r="AE7" s="16"/>
      <c r="AF7" s="16"/>
      <c r="AG7" s="16"/>
      <c r="AH7" s="16"/>
      <c r="AI7" s="16"/>
      <c r="AJ7" s="16"/>
      <c r="AK7" s="16"/>
      <c r="AL7" s="16"/>
      <c r="AM7" s="16"/>
      <c r="AN7" s="17" t="s">
        <v>62</v>
      </c>
      <c r="AP7" s="24"/>
      <c r="AQ7" s="24">
        <v>1.0</v>
      </c>
    </row>
    <row r="8">
      <c r="A8" s="122" t="s">
        <v>284</v>
      </c>
      <c r="B8" s="10">
        <f t="shared" si="1"/>
        <v>3</v>
      </c>
      <c r="C8" s="10">
        <f t="shared" si="2"/>
        <v>1</v>
      </c>
      <c r="D8" s="11">
        <f t="array" ref="D8">SUM(IF(F8:AQ8="R",1,0))</f>
        <v>2</v>
      </c>
      <c r="E8" s="11">
        <f t="array" ref="E8">SUM(IF(F8:AQ8="R2",1,0))</f>
        <v>1</v>
      </c>
      <c r="F8" s="90"/>
      <c r="G8" s="90"/>
      <c r="H8" s="90"/>
      <c r="I8" s="90" t="s">
        <v>40</v>
      </c>
      <c r="J8" s="90"/>
      <c r="K8" s="90"/>
      <c r="L8" s="90" t="s">
        <v>39</v>
      </c>
      <c r="M8" s="90"/>
      <c r="N8" s="90">
        <v>1.0</v>
      </c>
      <c r="O8" s="90"/>
      <c r="P8" s="90"/>
      <c r="Q8" s="90"/>
      <c r="R8" s="90"/>
      <c r="S8" s="90" t="s">
        <v>63</v>
      </c>
    </row>
    <row r="9">
      <c r="A9" s="22" t="s">
        <v>469</v>
      </c>
      <c r="B9" s="10"/>
      <c r="C9" s="10">
        <f t="shared" si="2"/>
        <v>2</v>
      </c>
      <c r="D9" s="11">
        <f t="array" ref="D9">SUM(IF(F9:AQ9="R",1,0))</f>
        <v>2</v>
      </c>
      <c r="E9" s="11">
        <f t="array" ref="E9">SUM(IF(F9:AQ9="R2",1,0))</f>
        <v>1</v>
      </c>
      <c r="F9" s="73"/>
      <c r="G9" s="24">
        <v>1.0</v>
      </c>
      <c r="H9" s="24"/>
      <c r="I9" s="16"/>
      <c r="J9" s="16"/>
      <c r="K9" s="16"/>
      <c r="L9" s="16"/>
      <c r="M9" s="91"/>
      <c r="N9" s="91"/>
      <c r="O9" s="121"/>
      <c r="P9" s="121"/>
      <c r="Q9" s="24" t="s">
        <v>39</v>
      </c>
      <c r="R9" s="121"/>
      <c r="X9" s="121"/>
      <c r="Y9" s="24" t="s">
        <v>63</v>
      </c>
      <c r="Z9" s="121"/>
      <c r="AA9" s="24"/>
      <c r="AG9" s="24" t="s">
        <v>127</v>
      </c>
      <c r="AH9" s="24">
        <v>1.0</v>
      </c>
      <c r="AI9" s="24" t="s">
        <v>127</v>
      </c>
      <c r="AJ9" s="24" t="s">
        <v>62</v>
      </c>
      <c r="AP9" s="121"/>
      <c r="AQ9" s="121"/>
    </row>
    <row r="10">
      <c r="A10" s="22" t="s">
        <v>362</v>
      </c>
      <c r="B10" s="10">
        <f>SUM(C10:D10)</f>
        <v>3</v>
      </c>
      <c r="C10" s="10">
        <f t="shared" si="2"/>
        <v>1</v>
      </c>
      <c r="D10" s="11">
        <f t="array" ref="D10">SUM(IF(F10:AQ10="R",1,0))</f>
        <v>2</v>
      </c>
      <c r="E10" s="11">
        <f t="array" ref="E10">SUM(IF(F10:AQ10="R2",1,0))</f>
        <v>1</v>
      </c>
      <c r="F10" s="91"/>
      <c r="G10" s="91"/>
      <c r="H10" s="90" t="s">
        <v>40</v>
      </c>
      <c r="I10" s="91"/>
      <c r="J10" s="91"/>
      <c r="K10" s="91"/>
      <c r="L10" s="91"/>
      <c r="M10" s="91"/>
      <c r="N10" s="91"/>
      <c r="O10" s="24">
        <v>1.0</v>
      </c>
      <c r="Z10" s="17" t="s">
        <v>63</v>
      </c>
      <c r="AH10" s="17" t="s">
        <v>39</v>
      </c>
    </row>
    <row r="11">
      <c r="A11" s="22" t="s">
        <v>470</v>
      </c>
      <c r="B11" s="10"/>
      <c r="C11" s="10">
        <f t="shared" si="2"/>
        <v>1</v>
      </c>
      <c r="D11" s="11">
        <f t="array" ref="D11">SUM(IF(F11:AQ11="R",1,0))</f>
        <v>1</v>
      </c>
      <c r="E11" s="11">
        <f t="array" ref="E11">SUM(IF(F11:AQ11="R2",1,0))</f>
        <v>2</v>
      </c>
      <c r="F11" s="91"/>
      <c r="G11" s="90" t="s">
        <v>40</v>
      </c>
      <c r="H11" s="91"/>
      <c r="I11" s="91"/>
      <c r="J11" s="16"/>
      <c r="K11" s="91"/>
      <c r="L11" s="91"/>
      <c r="M11" s="91"/>
      <c r="N11" s="90"/>
      <c r="P11" s="17">
        <v>1.0</v>
      </c>
      <c r="U11" s="17" t="s">
        <v>63</v>
      </c>
      <c r="AC11" s="43"/>
      <c r="AD11" s="17" t="s">
        <v>62</v>
      </c>
    </row>
    <row r="12" hidden="1">
      <c r="A12" s="20" t="s">
        <v>231</v>
      </c>
      <c r="B12" s="10"/>
      <c r="C12" s="10">
        <f t="shared" ref="C12:C14" si="3">SUM(H12:AQ12)</f>
        <v>0</v>
      </c>
      <c r="D12" s="11">
        <f t="array" ref="D12">SUM(IF(H12:AQ12="R",1,0))</f>
        <v>0</v>
      </c>
      <c r="E12" s="11">
        <f t="array" ref="E12">SUM(IF(H12:AQ12="R2",1,0))</f>
        <v>0</v>
      </c>
      <c r="F12" s="91"/>
      <c r="G12" s="91"/>
      <c r="H12" s="91"/>
      <c r="I12" s="91"/>
      <c r="J12" s="91"/>
      <c r="K12" s="91"/>
      <c r="L12" s="91"/>
      <c r="M12" s="91"/>
      <c r="N12" s="91"/>
    </row>
    <row r="13" hidden="1">
      <c r="A13" s="20" t="s">
        <v>416</v>
      </c>
      <c r="B13" s="10"/>
      <c r="C13" s="10">
        <f t="shared" si="3"/>
        <v>0</v>
      </c>
      <c r="D13" s="11">
        <f t="array" ref="D13">SUM(IF(H13:AQ13="R",1,0))</f>
        <v>0</v>
      </c>
      <c r="E13" s="11">
        <f t="array" ref="E13">SUM(IF(H13:AQ13="R2",1,0))</f>
        <v>0</v>
      </c>
      <c r="F13" s="91"/>
      <c r="G13" s="91"/>
      <c r="H13" s="91"/>
      <c r="I13" s="91"/>
      <c r="J13" s="91"/>
      <c r="K13" s="91"/>
      <c r="L13" s="91"/>
      <c r="M13" s="91"/>
      <c r="N13" s="91"/>
    </row>
    <row r="14" hidden="1">
      <c r="A14" s="20" t="s">
        <v>365</v>
      </c>
      <c r="B14" s="10">
        <f>SUM(C14:D14)</f>
        <v>0</v>
      </c>
      <c r="C14" s="10">
        <f t="shared" si="3"/>
        <v>0</v>
      </c>
      <c r="D14" s="11">
        <f t="array" ref="D14">SUM(IF(H14:AQ14="R",1,0))</f>
        <v>0</v>
      </c>
      <c r="E14" s="11">
        <f t="array" ref="E14">SUM(IF(H14:AQ14="R2",1,0))</f>
        <v>0</v>
      </c>
      <c r="F14" s="91"/>
      <c r="G14" s="91"/>
      <c r="H14" s="91"/>
      <c r="I14" s="91"/>
      <c r="J14" s="91"/>
      <c r="K14" s="91"/>
      <c r="L14" s="91"/>
      <c r="M14" s="91"/>
      <c r="N14" s="91"/>
    </row>
    <row r="15">
      <c r="A15" s="20" t="s">
        <v>471</v>
      </c>
      <c r="B15" s="10"/>
      <c r="C15" s="10">
        <f>SUM(F15:AQ15)</f>
        <v>1</v>
      </c>
      <c r="D15" s="11">
        <f t="array" ref="D15">SUM(IF(F15:AQ15="R",1,0))</f>
        <v>1</v>
      </c>
      <c r="E15" s="11">
        <f t="array" ref="E15">SUM(IF(F15:AQ15="R2",1,0))</f>
        <v>2</v>
      </c>
      <c r="F15" s="90">
        <v>1.0</v>
      </c>
      <c r="G15" s="91"/>
      <c r="H15" s="91"/>
      <c r="I15" s="16"/>
      <c r="J15" s="16"/>
      <c r="K15" s="16"/>
      <c r="L15" s="16"/>
      <c r="M15" s="91"/>
      <c r="N15" s="91"/>
      <c r="O15" s="16"/>
      <c r="P15" s="16"/>
      <c r="Q15" s="16"/>
      <c r="R15" s="16"/>
      <c r="S15" s="16"/>
      <c r="T15" s="16"/>
      <c r="U15" s="16"/>
      <c r="V15" s="16"/>
      <c r="W15" s="16"/>
      <c r="X15" s="16"/>
      <c r="Y15" s="16"/>
      <c r="Z15" s="16"/>
      <c r="AA15" s="16"/>
      <c r="AB15" s="16"/>
      <c r="AC15" s="16"/>
      <c r="AD15" s="16"/>
      <c r="AE15" s="16"/>
      <c r="AF15" s="16"/>
      <c r="AG15" s="24"/>
      <c r="AH15" s="121"/>
      <c r="AI15" s="24" t="s">
        <v>62</v>
      </c>
      <c r="AJ15" s="24"/>
      <c r="AK15" s="24" t="s">
        <v>63</v>
      </c>
      <c r="AO15" s="17" t="s">
        <v>62</v>
      </c>
      <c r="AP15" s="16"/>
      <c r="AQ15" s="16"/>
    </row>
    <row r="16" ht="15.0" hidden="1" customHeight="1">
      <c r="A16" s="23" t="s">
        <v>366</v>
      </c>
      <c r="B16" s="10">
        <f>SUM(C16:D16)</f>
        <v>0</v>
      </c>
      <c r="C16" s="10">
        <f t="shared" ref="C16:C18" si="4">SUM(H16:AQ16)</f>
        <v>0</v>
      </c>
      <c r="D16" s="11">
        <f t="array" ref="D16">SUM(IF(H16:AQ16="R",1,0))</f>
        <v>0</v>
      </c>
      <c r="E16" s="11">
        <f t="array" ref="E16">SUM(IF(H16:AQ16="R2",1,0))</f>
        <v>0</v>
      </c>
      <c r="F16" s="91"/>
      <c r="G16" s="91"/>
      <c r="H16" s="91"/>
      <c r="I16" s="91"/>
      <c r="J16" s="91"/>
      <c r="K16" s="91"/>
      <c r="L16" s="91"/>
      <c r="M16" s="91"/>
      <c r="N16" s="91"/>
    </row>
    <row r="17" hidden="1">
      <c r="A17" s="23" t="s">
        <v>53</v>
      </c>
      <c r="B17" s="10"/>
      <c r="C17" s="10">
        <f t="shared" si="4"/>
        <v>0</v>
      </c>
      <c r="D17" s="11">
        <f t="array" ref="D17">SUM(IF(H17:AQ17="R",1,0))</f>
        <v>0</v>
      </c>
      <c r="E17" s="11">
        <f t="array" ref="E17">SUM(IF(H17:AQ17="R2",1,0))</f>
        <v>0</v>
      </c>
      <c r="F17" s="91"/>
      <c r="G17" s="91"/>
      <c r="H17" s="91"/>
      <c r="I17" s="91"/>
      <c r="J17" s="91"/>
      <c r="K17" s="91"/>
      <c r="L17" s="91"/>
      <c r="M17" s="91"/>
      <c r="N17" s="91"/>
    </row>
    <row r="18" hidden="1">
      <c r="A18" s="23" t="s">
        <v>258</v>
      </c>
      <c r="B18" s="10">
        <f t="shared" ref="B18:B20" si="5">SUM(C18:D18)</f>
        <v>0</v>
      </c>
      <c r="C18" s="10">
        <f t="shared" si="4"/>
        <v>0</v>
      </c>
      <c r="D18" s="11">
        <f t="array" ref="D18">SUM(IF(H18:AQ18="R",1,0))</f>
        <v>0</v>
      </c>
      <c r="E18" s="11">
        <f t="array" ref="E18">SUM(IF(H18:AQ18="R2",1,0))</f>
        <v>0</v>
      </c>
      <c r="F18" s="91"/>
      <c r="G18" s="91"/>
      <c r="H18" s="91"/>
      <c r="I18" s="91"/>
      <c r="J18" s="91"/>
      <c r="K18" s="91"/>
      <c r="L18" s="91"/>
      <c r="M18" s="91"/>
      <c r="N18" s="91"/>
    </row>
    <row r="19">
      <c r="A19" s="20" t="s">
        <v>472</v>
      </c>
      <c r="B19" s="10">
        <f t="shared" si="5"/>
        <v>2</v>
      </c>
      <c r="C19" s="10">
        <f t="shared" ref="C19:C20" si="6">SUM(F19:AQ19)</f>
        <v>1</v>
      </c>
      <c r="D19" s="11">
        <f t="array" ref="D19">SUM(IF(F19:AQ19="R",1,0))</f>
        <v>1</v>
      </c>
      <c r="E19" s="11">
        <f t="array" ref="E19">SUM(IF(F19:AQ19="R2",1,0))</f>
        <v>2</v>
      </c>
      <c r="F19" s="91"/>
      <c r="G19" s="90" t="s">
        <v>39</v>
      </c>
      <c r="H19" s="91"/>
      <c r="I19" s="90">
        <v>1.0</v>
      </c>
      <c r="J19" s="90" t="s">
        <v>40</v>
      </c>
      <c r="K19" s="90"/>
      <c r="L19" s="91"/>
      <c r="M19" s="91"/>
      <c r="N19" s="91"/>
      <c r="AK19" s="17" t="s">
        <v>62</v>
      </c>
    </row>
    <row r="20">
      <c r="A20" s="26" t="s">
        <v>367</v>
      </c>
      <c r="B20" s="10">
        <f t="shared" si="5"/>
        <v>2</v>
      </c>
      <c r="C20" s="10">
        <f t="shared" si="6"/>
        <v>1</v>
      </c>
      <c r="D20" s="11">
        <f t="array" ref="D20">SUM(IF(F20:AQ20="R",1,0))</f>
        <v>1</v>
      </c>
      <c r="E20" s="11">
        <f t="array" ref="E20">SUM(IF(F20:AQ20="R2",1,0))</f>
        <v>2</v>
      </c>
      <c r="F20" s="16"/>
      <c r="G20" s="16"/>
      <c r="H20" s="16"/>
      <c r="I20" s="16"/>
      <c r="J20" s="16"/>
      <c r="K20" s="16"/>
      <c r="L20" s="16"/>
      <c r="M20" s="90" t="s">
        <v>40</v>
      </c>
      <c r="N20" s="16"/>
      <c r="O20" s="16"/>
      <c r="P20" s="16"/>
      <c r="Q20" s="16"/>
      <c r="R20" s="16"/>
      <c r="S20" s="16"/>
      <c r="U20" s="16"/>
      <c r="V20" s="24" t="s">
        <v>39</v>
      </c>
      <c r="W20" s="16"/>
      <c r="X20" s="16"/>
      <c r="Y20" s="16"/>
      <c r="Z20" s="16"/>
      <c r="AA20" s="16"/>
      <c r="AB20" s="16"/>
      <c r="AC20" s="17" t="s">
        <v>62</v>
      </c>
      <c r="AD20" s="16"/>
      <c r="AE20" s="24">
        <v>1.0</v>
      </c>
      <c r="AF20" s="16"/>
      <c r="AG20" s="16"/>
      <c r="AH20" s="16"/>
      <c r="AI20" s="16"/>
      <c r="AJ20" s="16"/>
      <c r="AK20" s="16"/>
      <c r="AM20" s="16"/>
      <c r="AN20" s="16"/>
      <c r="AO20" s="16"/>
      <c r="AP20" s="16"/>
      <c r="AQ20" s="16"/>
    </row>
    <row r="21" hidden="1">
      <c r="A21" s="9" t="s">
        <v>56</v>
      </c>
      <c r="B21" s="10"/>
      <c r="C21" s="10">
        <f>SUM(H21:AQ21)</f>
        <v>0</v>
      </c>
      <c r="D21" s="11">
        <f t="array" ref="D21">SUM(IF(H21:AQ21="R",1,0))</f>
        <v>0</v>
      </c>
      <c r="E21" s="11">
        <f t="array" ref="E21">SUM(IF(H21:AQ21="R2",1,0))</f>
        <v>0</v>
      </c>
      <c r="F21" s="91"/>
      <c r="G21" s="91"/>
      <c r="H21" s="91"/>
      <c r="I21" s="91"/>
      <c r="J21" s="91"/>
      <c r="K21" s="91"/>
      <c r="L21" s="91"/>
      <c r="M21" s="91"/>
      <c r="N21" s="91"/>
    </row>
    <row r="22">
      <c r="A22" s="25" t="s">
        <v>389</v>
      </c>
      <c r="B22" s="10">
        <f>SUM(C22:D22)</f>
        <v>3</v>
      </c>
      <c r="C22" s="10">
        <f t="shared" ref="C22:C28" si="7">SUM(F22:AQ22)</f>
        <v>1</v>
      </c>
      <c r="D22" s="11">
        <f t="array" ref="D22">SUM(IF(F22:AQ22="R",1,0))</f>
        <v>2</v>
      </c>
      <c r="E22" s="11">
        <f t="array" ref="E22">SUM(IF(F22:AQ22="R2",1,0))</f>
        <v>1</v>
      </c>
      <c r="F22" s="16"/>
      <c r="G22" s="16"/>
      <c r="H22" s="16"/>
      <c r="I22" s="16"/>
      <c r="J22" s="16"/>
      <c r="K22" s="16"/>
      <c r="L22" s="16"/>
      <c r="M22" s="91"/>
      <c r="N22" s="91"/>
      <c r="P22" s="17" t="s">
        <v>39</v>
      </c>
      <c r="X22" s="17" t="s">
        <v>63</v>
      </c>
      <c r="Z22" s="17">
        <v>1.0</v>
      </c>
      <c r="AH22" s="17" t="s">
        <v>62</v>
      </c>
      <c r="AJ22" s="16"/>
      <c r="AK22" s="16"/>
      <c r="AL22" s="16"/>
      <c r="AM22" s="16"/>
      <c r="AN22" s="16"/>
      <c r="AO22" s="16"/>
    </row>
    <row r="23">
      <c r="A23" s="25" t="s">
        <v>417</v>
      </c>
      <c r="B23" s="10"/>
      <c r="C23" s="10">
        <f t="shared" si="7"/>
        <v>1</v>
      </c>
      <c r="D23" s="11">
        <f t="array" ref="D23">SUM(IF(F23:AQ23="R",1,0))</f>
        <v>2</v>
      </c>
      <c r="E23" s="11">
        <f t="array" ref="E23">SUM(IF(F23:AQ23="R2",1,0))</f>
        <v>2</v>
      </c>
      <c r="F23" s="16"/>
      <c r="G23" s="16"/>
      <c r="H23" s="16"/>
      <c r="I23" s="16"/>
      <c r="J23" s="16"/>
      <c r="K23" s="16"/>
      <c r="L23" s="16"/>
      <c r="M23" s="91"/>
      <c r="N23" s="91"/>
      <c r="O23" s="17" t="s">
        <v>39</v>
      </c>
      <c r="R23" s="17" t="s">
        <v>63</v>
      </c>
      <c r="W23" s="17" t="s">
        <v>62</v>
      </c>
      <c r="AA23" s="17">
        <v>1.0</v>
      </c>
      <c r="AG23" s="17" t="s">
        <v>62</v>
      </c>
    </row>
    <row r="24">
      <c r="A24" s="9" t="s">
        <v>473</v>
      </c>
      <c r="B24" s="10">
        <f>SUM(C24:D24)</f>
        <v>3</v>
      </c>
      <c r="C24" s="10">
        <f t="shared" si="7"/>
        <v>1</v>
      </c>
      <c r="D24" s="11">
        <f t="array" ref="D24">SUM(IF(F24:AQ24="R",1,0))</f>
        <v>2</v>
      </c>
      <c r="E24" s="11">
        <f t="array" ref="E24">SUM(IF(F24:AQ24="R2",1,0))</f>
        <v>1</v>
      </c>
      <c r="F24" s="91"/>
      <c r="G24" s="90"/>
      <c r="H24" s="90">
        <v>1.0</v>
      </c>
      <c r="I24" s="91"/>
      <c r="J24" s="91"/>
      <c r="K24" s="90"/>
      <c r="L24" s="91"/>
      <c r="M24" s="91"/>
      <c r="N24" s="90" t="s">
        <v>39</v>
      </c>
      <c r="AB24" s="17" t="s">
        <v>62</v>
      </c>
      <c r="AJ24" s="17" t="s">
        <v>63</v>
      </c>
    </row>
    <row r="25">
      <c r="A25" s="9" t="s">
        <v>448</v>
      </c>
      <c r="B25" s="28"/>
      <c r="C25" s="10">
        <f t="shared" si="7"/>
        <v>2</v>
      </c>
      <c r="D25" s="11">
        <f t="array" ref="D25">SUM(IF(F25:AQ25="R",1,0))</f>
        <v>1</v>
      </c>
      <c r="E25" s="11">
        <f t="array" ref="E25">SUM(IF(F25:AQ25="R2",1,0))</f>
        <v>1</v>
      </c>
      <c r="F25" s="123"/>
      <c r="G25" s="97"/>
      <c r="H25" s="97"/>
      <c r="I25" s="96"/>
      <c r="J25" s="97"/>
      <c r="K25" s="97" t="s">
        <v>39</v>
      </c>
      <c r="L25" s="96"/>
      <c r="M25" s="96"/>
      <c r="N25" s="97"/>
      <c r="O25" s="24"/>
      <c r="X25" s="24">
        <v>1.0</v>
      </c>
      <c r="AG25" s="24"/>
      <c r="AM25" s="17" t="s">
        <v>62</v>
      </c>
      <c r="AP25" s="24">
        <v>1.0</v>
      </c>
    </row>
    <row r="26">
      <c r="A26" s="62" t="s">
        <v>449</v>
      </c>
      <c r="B26" s="10"/>
      <c r="C26" s="10">
        <f t="shared" si="7"/>
        <v>2</v>
      </c>
      <c r="D26" s="11">
        <f t="array" ref="D26">SUM(IF(F26:AQ26="R",1,0))</f>
        <v>2</v>
      </c>
      <c r="E26" s="11">
        <f t="array" ref="E26">SUM(IF(F26:AQ26="R2",1,0))</f>
        <v>1</v>
      </c>
      <c r="F26" s="91"/>
      <c r="G26" s="91"/>
      <c r="H26" s="91"/>
      <c r="I26" s="90"/>
      <c r="J26" s="90" t="s">
        <v>39</v>
      </c>
      <c r="K26" s="91"/>
      <c r="L26" s="91"/>
      <c r="M26" s="91"/>
      <c r="N26" s="90"/>
      <c r="W26" s="24" t="s">
        <v>63</v>
      </c>
      <c r="AF26" s="24" t="s">
        <v>40</v>
      </c>
      <c r="AM26" s="17">
        <v>1.0</v>
      </c>
      <c r="AO26" s="24">
        <v>1.0</v>
      </c>
    </row>
    <row r="27">
      <c r="A27" s="62" t="s">
        <v>391</v>
      </c>
      <c r="B27" s="10">
        <f>SUM(C27:D27)</f>
        <v>3</v>
      </c>
      <c r="C27" s="10">
        <f t="shared" si="7"/>
        <v>1</v>
      </c>
      <c r="D27" s="11">
        <f t="array" ref="D27">SUM(IF(F27:AQ27="R",1,0))</f>
        <v>2</v>
      </c>
      <c r="E27" s="11">
        <f t="array" ref="E27">SUM(IF(F27:AQ27="R2",1,0))</f>
        <v>1</v>
      </c>
      <c r="F27" s="16"/>
      <c r="G27" s="16"/>
      <c r="H27" s="16"/>
      <c r="I27" s="16"/>
      <c r="J27" s="16"/>
      <c r="K27" s="16"/>
      <c r="L27" s="16"/>
      <c r="M27" s="24">
        <v>1.0</v>
      </c>
      <c r="N27" s="90"/>
      <c r="T27" s="24" t="s">
        <v>63</v>
      </c>
      <c r="V27" s="24"/>
      <c r="AC27" s="24" t="s">
        <v>63</v>
      </c>
      <c r="AE27" s="24" t="s">
        <v>40</v>
      </c>
      <c r="AL27" s="24"/>
      <c r="AN27" s="121"/>
    </row>
    <row r="28">
      <c r="A28" s="62" t="s">
        <v>418</v>
      </c>
      <c r="B28" s="10"/>
      <c r="C28" s="10">
        <f t="shared" si="7"/>
        <v>1</v>
      </c>
      <c r="D28" s="11">
        <f t="array" ref="D28">SUM(IF(F28:AQ28="R",1,0))</f>
        <v>2</v>
      </c>
      <c r="E28" s="11">
        <f t="array" ref="E28">SUM(IF(F28:AQ28="R2",1,0))</f>
        <v>1</v>
      </c>
      <c r="F28" s="16"/>
      <c r="G28" s="16"/>
      <c r="H28" s="16"/>
      <c r="I28" s="16"/>
      <c r="J28" s="16"/>
      <c r="K28" s="21"/>
      <c r="L28" s="16"/>
      <c r="M28" s="91"/>
      <c r="N28" s="90" t="s">
        <v>40</v>
      </c>
      <c r="U28" s="24">
        <v>1.0</v>
      </c>
      <c r="AF28" s="24" t="s">
        <v>39</v>
      </c>
      <c r="AM28" s="24" t="s">
        <v>63</v>
      </c>
      <c r="AO28" s="121"/>
    </row>
    <row r="29">
      <c r="A29" s="62" t="s">
        <v>369</v>
      </c>
      <c r="B29" s="10">
        <f t="shared" ref="B29:B30" si="8">SUM(C29:D29)</f>
        <v>3</v>
      </c>
      <c r="C29" s="10">
        <f>SUM(H29:AQ29)</f>
        <v>1</v>
      </c>
      <c r="D29" s="11">
        <f t="array" ref="D29">SUM(IF(F29:AQ29="R",1,0))</f>
        <v>2</v>
      </c>
      <c r="E29" s="11">
        <f t="array" ref="E29">SUM(IF(F29:AQ29="R2",1,0))</f>
        <v>1</v>
      </c>
      <c r="F29" s="90" t="s">
        <v>39</v>
      </c>
      <c r="G29" s="91"/>
      <c r="H29" s="91"/>
      <c r="I29" s="91"/>
      <c r="J29" s="91"/>
      <c r="K29" s="90"/>
      <c r="L29" s="90">
        <v>1.0</v>
      </c>
      <c r="M29" s="91"/>
      <c r="N29" s="91"/>
      <c r="Q29" s="17" t="s">
        <v>40</v>
      </c>
      <c r="AD29" s="17" t="s">
        <v>63</v>
      </c>
    </row>
    <row r="30">
      <c r="A30" s="27" t="s">
        <v>474</v>
      </c>
      <c r="B30" s="10">
        <f t="shared" si="8"/>
        <v>3</v>
      </c>
      <c r="C30" s="10">
        <f t="shared" ref="C30:C38" si="9">SUM(F30:AQ30)</f>
        <v>2</v>
      </c>
      <c r="D30" s="11">
        <f t="array" ref="D30">SUM(IF(F30:AQ30="R",1,0))</f>
        <v>1</v>
      </c>
      <c r="E30" s="11">
        <f t="array" ref="E30">SUM(IF(F30:AQ30="R2",1,0))</f>
        <v>1</v>
      </c>
      <c r="F30" s="16"/>
      <c r="G30" s="16"/>
      <c r="H30" s="16"/>
      <c r="I30" s="16"/>
      <c r="J30" s="16"/>
      <c r="K30" s="16"/>
      <c r="L30" s="16"/>
      <c r="M30" s="91"/>
      <c r="N30" s="91"/>
      <c r="O30" s="121"/>
      <c r="P30" s="121"/>
      <c r="Q30" s="24">
        <v>1.0</v>
      </c>
      <c r="R30" s="121"/>
      <c r="U30" s="17" t="s">
        <v>62</v>
      </c>
      <c r="X30" s="24"/>
      <c r="Y30" s="121"/>
      <c r="Z30" s="121"/>
      <c r="AA30" s="121"/>
      <c r="AB30" s="24">
        <v>1.0</v>
      </c>
      <c r="AE30" s="16"/>
      <c r="AF30" s="16"/>
      <c r="AG30" s="16"/>
      <c r="AH30" s="16"/>
      <c r="AI30" s="16"/>
      <c r="AJ30" s="16"/>
      <c r="AK30" s="16"/>
      <c r="AO30" s="17" t="s">
        <v>63</v>
      </c>
      <c r="AP30" s="16"/>
      <c r="AQ30" s="16"/>
    </row>
    <row r="31">
      <c r="A31" s="26" t="s">
        <v>475</v>
      </c>
      <c r="B31" s="10"/>
      <c r="C31" s="10">
        <f t="shared" si="9"/>
        <v>4</v>
      </c>
      <c r="D31" s="11">
        <f t="array" ref="D31">SUM(IF(F31:AQ31="R",1,0))</f>
        <v>2</v>
      </c>
      <c r="E31" s="11">
        <f t="array" ref="E31">SUM(IF(F31:AQ31="R2",1,0))</f>
        <v>0</v>
      </c>
      <c r="F31" s="16"/>
      <c r="G31" s="16"/>
      <c r="H31" s="16"/>
      <c r="I31" s="16"/>
      <c r="J31" s="16"/>
      <c r="K31" s="90">
        <v>1.0</v>
      </c>
      <c r="L31" s="16"/>
      <c r="M31" s="90" t="s">
        <v>39</v>
      </c>
      <c r="N31" s="16"/>
      <c r="O31" s="16"/>
      <c r="P31" s="16"/>
      <c r="Q31" s="16"/>
      <c r="R31" s="16"/>
      <c r="S31" s="16"/>
      <c r="T31" s="17">
        <v>1.0</v>
      </c>
      <c r="U31" s="16"/>
      <c r="W31" s="16"/>
      <c r="X31" s="16"/>
      <c r="Y31" s="16"/>
      <c r="Z31" s="16"/>
      <c r="AA31" s="16"/>
      <c r="AB31" s="16"/>
      <c r="AC31" s="17">
        <v>1.0</v>
      </c>
      <c r="AD31" s="16"/>
      <c r="AF31" s="16"/>
      <c r="AG31" s="16"/>
      <c r="AH31" s="16"/>
      <c r="AI31" s="16"/>
      <c r="AJ31" s="16"/>
      <c r="AK31" s="16"/>
      <c r="AL31" s="17">
        <v>1.0</v>
      </c>
      <c r="AM31" s="16"/>
      <c r="AN31" s="17" t="s">
        <v>63</v>
      </c>
      <c r="AO31" s="16"/>
      <c r="AP31" s="16"/>
      <c r="AQ31" s="16"/>
    </row>
    <row r="32">
      <c r="A32" s="27" t="s">
        <v>476</v>
      </c>
      <c r="B32" s="10" t="str">
        <f>SUM(B4:B37)</f>
        <v>#REF!</v>
      </c>
      <c r="C32" s="10">
        <f t="shared" si="9"/>
        <v>2</v>
      </c>
      <c r="D32" s="11">
        <f t="array" ref="D32">SUM(IF(F32:AQ32="R",1,0))</f>
        <v>1</v>
      </c>
      <c r="E32" s="11">
        <f t="array" ref="E32">SUM(IF(F32:AQ32="R2",1,0))</f>
        <v>1</v>
      </c>
      <c r="F32" s="100"/>
      <c r="G32" s="100"/>
      <c r="H32" s="101"/>
      <c r="I32" s="101"/>
      <c r="J32" s="101">
        <v>1.0</v>
      </c>
      <c r="K32" s="100"/>
      <c r="L32" s="101" t="s">
        <v>40</v>
      </c>
      <c r="M32" s="100"/>
      <c r="N32" s="101"/>
      <c r="AD32" s="17">
        <v>1.0</v>
      </c>
      <c r="AP32" s="17" t="s">
        <v>63</v>
      </c>
    </row>
    <row r="33">
      <c r="A33" s="27" t="s">
        <v>477</v>
      </c>
      <c r="B33" s="28">
        <f t="shared" ref="B33:B34" si="10">SUM(H33:AQ33)</f>
        <v>2</v>
      </c>
      <c r="C33" s="10">
        <f t="shared" si="9"/>
        <v>2</v>
      </c>
      <c r="D33" s="11">
        <f t="array" ref="D33">SUM(IF(F33:AQ33="R",1,0))</f>
        <v>1</v>
      </c>
      <c r="E33" s="11">
        <f t="array" ref="E33">SUM(IF(F33:AQ33="R2",1,0))</f>
        <v>1</v>
      </c>
      <c r="F33" s="16"/>
      <c r="G33" s="16"/>
      <c r="H33" s="16"/>
      <c r="I33" s="16"/>
      <c r="J33" s="16"/>
      <c r="K33" s="79"/>
      <c r="L33" s="79"/>
      <c r="M33" s="79"/>
      <c r="N33" s="79"/>
      <c r="O33" s="16"/>
      <c r="R33" s="24">
        <v>1.0</v>
      </c>
      <c r="T33" s="16"/>
      <c r="U33" s="16"/>
      <c r="V33" s="16"/>
      <c r="W33" s="16"/>
      <c r="AA33" s="24" t="s">
        <v>62</v>
      </c>
      <c r="AC33" s="16"/>
      <c r="AD33" s="16"/>
      <c r="AE33" s="16"/>
      <c r="AF33" s="16"/>
      <c r="AG33" s="17" t="s">
        <v>63</v>
      </c>
      <c r="AJ33" s="24">
        <v>1.0</v>
      </c>
      <c r="AL33" s="16"/>
      <c r="AM33" s="16"/>
      <c r="AN33" s="16"/>
      <c r="AO33" s="16"/>
      <c r="AP33" s="16"/>
      <c r="AQ33" s="16"/>
    </row>
    <row r="34">
      <c r="A34" s="27" t="s">
        <v>478</v>
      </c>
      <c r="B34" s="28">
        <f t="shared" si="10"/>
        <v>1</v>
      </c>
      <c r="C34" s="10">
        <f t="shared" si="9"/>
        <v>1</v>
      </c>
      <c r="D34" s="11">
        <f t="array" ref="D34">SUM(IF(F34:AQ34="R",1,0))</f>
        <v>1</v>
      </c>
      <c r="E34" s="11">
        <f t="array" ref="E34">SUM(IF(F34:AQ34="R2",1,0))</f>
        <v>2</v>
      </c>
      <c r="F34" s="16"/>
      <c r="G34" s="16"/>
      <c r="H34" s="16"/>
      <c r="I34" s="16"/>
      <c r="J34" s="16"/>
      <c r="K34" s="79"/>
      <c r="L34" s="79"/>
      <c r="M34" s="104"/>
      <c r="N34" s="104"/>
      <c r="O34" s="121"/>
      <c r="P34" s="121"/>
      <c r="Q34" s="24"/>
      <c r="R34" s="24" t="s">
        <v>62</v>
      </c>
      <c r="X34" s="24" t="s">
        <v>62</v>
      </c>
      <c r="Y34" s="121"/>
      <c r="Z34" s="121"/>
      <c r="AA34" s="121"/>
      <c r="AG34" s="24"/>
      <c r="AH34" s="121"/>
      <c r="AI34" s="121"/>
      <c r="AJ34" s="24"/>
      <c r="AK34" s="24">
        <v>1.0</v>
      </c>
      <c r="AP34" s="121"/>
      <c r="AQ34" s="24" t="s">
        <v>63</v>
      </c>
    </row>
    <row r="35">
      <c r="A35" s="44" t="s">
        <v>337</v>
      </c>
      <c r="C35" s="10">
        <f t="shared" si="9"/>
        <v>2</v>
      </c>
      <c r="D35" s="11">
        <f t="array" ref="D35">SUM(IF(F35:AQ35="R",1,0))</f>
        <v>1</v>
      </c>
      <c r="E35" s="11">
        <f t="array" ref="E35">SUM(IF(F35:AQ35="R2",1,0))</f>
        <v>2</v>
      </c>
      <c r="F35" s="104"/>
      <c r="G35" s="79"/>
      <c r="H35" s="79"/>
      <c r="I35" s="98"/>
      <c r="J35" s="98"/>
      <c r="K35" s="79"/>
      <c r="L35" s="79"/>
      <c r="M35" s="79"/>
      <c r="N35" s="79"/>
      <c r="O35" s="121"/>
      <c r="P35" s="121"/>
      <c r="Q35" s="121"/>
      <c r="R35" s="16"/>
      <c r="T35" s="16"/>
      <c r="U35" s="16"/>
      <c r="W35" s="24">
        <v>1.0</v>
      </c>
      <c r="X35" s="121"/>
      <c r="Y35" s="121"/>
      <c r="Z35" s="24" t="s">
        <v>62</v>
      </c>
      <c r="AA35" s="121"/>
      <c r="AF35" s="24">
        <v>1.0</v>
      </c>
      <c r="AG35" s="121"/>
      <c r="AH35" s="121"/>
      <c r="AI35" s="24" t="s">
        <v>39</v>
      </c>
      <c r="AJ35" s="121"/>
      <c r="AO35" s="121"/>
      <c r="AP35" s="121"/>
      <c r="AQ35" s="24" t="s">
        <v>62</v>
      </c>
    </row>
    <row r="36">
      <c r="A36" s="44" t="s">
        <v>479</v>
      </c>
      <c r="C36" s="10">
        <f t="shared" si="9"/>
        <v>0</v>
      </c>
      <c r="D36" s="11">
        <f t="array" ref="D36">SUM(IF(F36:AQ36="R",1,0))</f>
        <v>0</v>
      </c>
      <c r="E36" s="11">
        <f t="array" ref="E36">SUM(IF(F36:AQ36="R2",1,0))</f>
        <v>0</v>
      </c>
      <c r="F36" s="79"/>
      <c r="G36" s="79"/>
      <c r="H36" s="79"/>
      <c r="I36" s="124"/>
      <c r="J36" s="98"/>
      <c r="K36" s="79"/>
      <c r="L36" s="79"/>
      <c r="M36" s="79"/>
      <c r="N36" s="79"/>
      <c r="AQ36" s="16"/>
    </row>
    <row r="37">
      <c r="A37" s="26" t="s">
        <v>480</v>
      </c>
      <c r="B37" s="10">
        <f>SUM(C37:D37)</f>
        <v>2</v>
      </c>
      <c r="C37" s="10">
        <f t="shared" si="9"/>
        <v>1</v>
      </c>
      <c r="D37" s="11">
        <f t="array" ref="D37">SUM(IF(F37:AQ37="R",1,0))</f>
        <v>1</v>
      </c>
      <c r="E37" s="11">
        <f t="array" ref="E37">SUM(IF(F37:AQ37="R2",1,0))</f>
        <v>2</v>
      </c>
      <c r="F37" s="16"/>
      <c r="G37" s="16"/>
      <c r="H37" s="16"/>
      <c r="I37" s="16"/>
      <c r="J37" s="16"/>
      <c r="K37" s="90" t="s">
        <v>62</v>
      </c>
      <c r="L37" s="16"/>
      <c r="M37" s="90"/>
      <c r="N37" s="16"/>
      <c r="O37" s="16"/>
      <c r="P37" s="16"/>
      <c r="Q37" s="16"/>
      <c r="R37" s="16"/>
      <c r="S37" s="16"/>
      <c r="U37" s="16"/>
      <c r="V37" s="17">
        <v>1.0</v>
      </c>
      <c r="W37" s="16"/>
      <c r="X37" s="16"/>
      <c r="Y37" s="16"/>
      <c r="Z37" s="16"/>
      <c r="AA37" s="16"/>
      <c r="AB37" s="16"/>
      <c r="AD37" s="16"/>
      <c r="AE37" s="17" t="s">
        <v>63</v>
      </c>
      <c r="AF37" s="16"/>
      <c r="AG37" s="16"/>
      <c r="AH37" s="16"/>
      <c r="AI37" s="16"/>
      <c r="AJ37" s="16"/>
      <c r="AK37" s="16"/>
      <c r="AL37" s="17" t="s">
        <v>62</v>
      </c>
      <c r="AM37" s="16"/>
      <c r="AO37" s="16"/>
      <c r="AP37" s="16"/>
      <c r="AQ37" s="16"/>
    </row>
    <row r="38">
      <c r="A38" s="25" t="s">
        <v>481</v>
      </c>
      <c r="C38" s="10">
        <f t="shared" si="9"/>
        <v>1</v>
      </c>
      <c r="D38" s="11">
        <f t="array" ref="D38">SUM(IF(F38:AQ38="R",1,0))</f>
        <v>1</v>
      </c>
      <c r="E38" s="11">
        <f t="array" ref="E38">SUM(IF(F38:AQ38="R2",1,0))</f>
        <v>2</v>
      </c>
      <c r="F38" s="80" t="s">
        <v>40</v>
      </c>
      <c r="G38" s="11"/>
      <c r="H38" s="11"/>
      <c r="I38" s="80" t="s">
        <v>39</v>
      </c>
      <c r="J38" s="11"/>
      <c r="K38" s="11"/>
      <c r="L38" s="11"/>
      <c r="M38" s="11"/>
      <c r="N38" s="11"/>
      <c r="O38" s="17" t="s">
        <v>62</v>
      </c>
      <c r="AG38" s="17">
        <v>1.0</v>
      </c>
    </row>
    <row r="39">
      <c r="A39" s="17" t="s">
        <v>68</v>
      </c>
      <c r="C39" s="10">
        <f t="shared" ref="C39:C41" si="14">SUM(F39:AT39)</f>
        <v>38</v>
      </c>
      <c r="D39" s="11"/>
      <c r="E39" s="11"/>
      <c r="F39" s="28">
        <f>SUM(F4:F38)</f>
        <v>1</v>
      </c>
      <c r="G39" s="28">
        <f t="shared" ref="G39:N39" si="11">SUM(G4:G37)</f>
        <v>1</v>
      </c>
      <c r="H39" s="28">
        <f t="shared" si="11"/>
        <v>1</v>
      </c>
      <c r="I39" s="28">
        <f t="shared" si="11"/>
        <v>1</v>
      </c>
      <c r="J39" s="28">
        <f t="shared" si="11"/>
        <v>1</v>
      </c>
      <c r="K39" s="28">
        <f t="shared" si="11"/>
        <v>1</v>
      </c>
      <c r="L39" s="28">
        <f t="shared" si="11"/>
        <v>1</v>
      </c>
      <c r="M39" s="28">
        <f t="shared" si="11"/>
        <v>1</v>
      </c>
      <c r="N39" s="28">
        <f t="shared" si="11"/>
        <v>1</v>
      </c>
      <c r="O39" s="28">
        <f>SUM(O4:O38)</f>
        <v>1</v>
      </c>
      <c r="P39" s="28">
        <f t="shared" ref="P39:AF39" si="12">SUM(P4:P37)</f>
        <v>1</v>
      </c>
      <c r="Q39" s="28">
        <f t="shared" si="12"/>
        <v>1</v>
      </c>
      <c r="R39" s="28">
        <f t="shared" si="12"/>
        <v>1</v>
      </c>
      <c r="S39" s="28">
        <f t="shared" si="12"/>
        <v>1</v>
      </c>
      <c r="T39" s="28">
        <f t="shared" si="12"/>
        <v>1</v>
      </c>
      <c r="U39" s="28">
        <f t="shared" si="12"/>
        <v>1</v>
      </c>
      <c r="V39" s="28">
        <f t="shared" si="12"/>
        <v>1</v>
      </c>
      <c r="W39" s="28">
        <f t="shared" si="12"/>
        <v>1</v>
      </c>
      <c r="X39" s="28">
        <f t="shared" si="12"/>
        <v>1</v>
      </c>
      <c r="Y39" s="28">
        <f t="shared" si="12"/>
        <v>1</v>
      </c>
      <c r="Z39" s="28">
        <f t="shared" si="12"/>
        <v>1</v>
      </c>
      <c r="AA39" s="28">
        <f t="shared" si="12"/>
        <v>1</v>
      </c>
      <c r="AB39" s="28">
        <f t="shared" si="12"/>
        <v>1</v>
      </c>
      <c r="AC39" s="28">
        <f t="shared" si="12"/>
        <v>1</v>
      </c>
      <c r="AD39" s="28">
        <f t="shared" si="12"/>
        <v>1</v>
      </c>
      <c r="AE39" s="28">
        <f t="shared" si="12"/>
        <v>1</v>
      </c>
      <c r="AF39" s="28">
        <f t="shared" si="12"/>
        <v>1</v>
      </c>
      <c r="AG39" s="28">
        <f>SUM(AG4:AG38)</f>
        <v>1</v>
      </c>
      <c r="AH39" s="28">
        <f t="shared" ref="AH39:AX39" si="13">SUM(AH4:AH37)</f>
        <v>1</v>
      </c>
      <c r="AI39" s="28">
        <f t="shared" si="13"/>
        <v>1</v>
      </c>
      <c r="AJ39" s="28">
        <f t="shared" si="13"/>
        <v>1</v>
      </c>
      <c r="AK39" s="28">
        <f t="shared" si="13"/>
        <v>1</v>
      </c>
      <c r="AL39" s="28">
        <f t="shared" si="13"/>
        <v>1</v>
      </c>
      <c r="AM39" s="28">
        <f t="shared" si="13"/>
        <v>1</v>
      </c>
      <c r="AN39" s="28">
        <f t="shared" si="13"/>
        <v>1</v>
      </c>
      <c r="AO39" s="28">
        <f t="shared" si="13"/>
        <v>1</v>
      </c>
      <c r="AP39" s="28">
        <f t="shared" si="13"/>
        <v>1</v>
      </c>
      <c r="AQ39" s="28">
        <f t="shared" si="13"/>
        <v>1</v>
      </c>
      <c r="AR39" s="28">
        <f t="shared" si="13"/>
        <v>0</v>
      </c>
      <c r="AS39" s="28">
        <f t="shared" si="13"/>
        <v>0</v>
      </c>
      <c r="AT39" s="28">
        <f t="shared" si="13"/>
        <v>0</v>
      </c>
      <c r="AU39" s="28">
        <f t="shared" si="13"/>
        <v>0</v>
      </c>
      <c r="AV39" s="28">
        <f t="shared" si="13"/>
        <v>0</v>
      </c>
      <c r="AW39" s="28">
        <f t="shared" si="13"/>
        <v>0</v>
      </c>
      <c r="AX39" s="28">
        <f t="shared" si="13"/>
        <v>0</v>
      </c>
    </row>
    <row r="40">
      <c r="A40" s="17" t="s">
        <v>69</v>
      </c>
      <c r="C40" s="10">
        <f t="shared" si="14"/>
        <v>38</v>
      </c>
      <c r="D40" s="11"/>
      <c r="E40" s="11"/>
      <c r="F40" s="11">
        <f t="array" ref="F40">SUM(IF(F4:F37="R",1,0))</f>
        <v>1</v>
      </c>
      <c r="G40" s="11">
        <f t="array" ref="G40">SUM(IF(G4:G37="R",1,0))</f>
        <v>1</v>
      </c>
      <c r="H40" s="11">
        <f t="array" ref="H40">SUM(IF(H4:H37="R",1,0))</f>
        <v>1</v>
      </c>
      <c r="I40" s="80">
        <v>1.0</v>
      </c>
      <c r="J40" s="11">
        <f t="array" ref="J40">SUM(IF(J4:J37="R",1,0))</f>
        <v>1</v>
      </c>
      <c r="K40" s="11">
        <f t="array" ref="K40">SUM(IF(K4:K37="R",1,0))</f>
        <v>1</v>
      </c>
      <c r="L40" s="11">
        <f t="array" ref="L40">SUM(IF(L4:L37="R",1,0))</f>
        <v>1</v>
      </c>
      <c r="M40" s="11">
        <f t="array" ref="M40">SUM(IF(M4:M37="R",1,0))</f>
        <v>1</v>
      </c>
      <c r="N40" s="11">
        <f t="array" ref="N40">SUM(IF(N4:N37="R",1,0))</f>
        <v>1</v>
      </c>
      <c r="O40" s="11">
        <f t="array" ref="O40">SUM(IF(O4:O37="R",1,0))</f>
        <v>1</v>
      </c>
      <c r="P40" s="11">
        <f t="array" ref="P40">SUM(IF(P4:P37="R",1,0))</f>
        <v>1</v>
      </c>
      <c r="Q40" s="11">
        <f t="array" ref="Q40">SUM(IF(Q4:Q37="R",1,0))</f>
        <v>1</v>
      </c>
      <c r="R40" s="11">
        <f t="array" ref="R40">SUM(IF(R4:R37="R",1,0))</f>
        <v>1</v>
      </c>
      <c r="S40" s="11">
        <f t="array" ref="S40">SUM(IF(S4:S37="R",1,0))</f>
        <v>1</v>
      </c>
      <c r="T40" s="11">
        <f t="array" ref="T40">SUM(IF(T4:T37="R",1,0))</f>
        <v>1</v>
      </c>
      <c r="U40" s="11">
        <f t="array" ref="U40">SUM(IF(U4:U37="R",1,0))</f>
        <v>1</v>
      </c>
      <c r="V40" s="11">
        <f t="array" ref="V40">SUM(IF(V4:V37="R",1,0))</f>
        <v>1</v>
      </c>
      <c r="W40" s="11">
        <f t="array" ref="W40">SUM(IF(W4:W37="R",1,0))</f>
        <v>1</v>
      </c>
      <c r="X40" s="11">
        <f t="array" ref="X40">SUM(IF(X4:X37="R",1,0))</f>
        <v>1</v>
      </c>
      <c r="Y40" s="11">
        <f t="array" ref="Y40">SUM(IF(Y4:Y37="R",1,0))</f>
        <v>1</v>
      </c>
      <c r="Z40" s="11">
        <f t="array" ref="Z40">SUM(IF(Z4:Z37="R",1,0))</f>
        <v>1</v>
      </c>
      <c r="AA40" s="11">
        <f t="array" ref="AA40">SUM(IF(AA4:AA37="R",1,0))</f>
        <v>1</v>
      </c>
      <c r="AB40" s="11">
        <f t="array" ref="AB40">SUM(IF(AB4:AB37="R",1,0))</f>
        <v>1</v>
      </c>
      <c r="AC40" s="11">
        <f t="array" ref="AC40">SUM(IF(AC4:AC37="R",1,0))</f>
        <v>1</v>
      </c>
      <c r="AD40" s="11">
        <f t="array" ref="AD40">SUM(IF(AD4:AD37="R",1,0))</f>
        <v>1</v>
      </c>
      <c r="AE40" s="11">
        <f t="array" ref="AE40">SUM(IF(AE4:AE37="R",1,0))</f>
        <v>1</v>
      </c>
      <c r="AF40" s="11">
        <f t="array" ref="AF40">SUM(IF(AF4:AF37="R",1,0))</f>
        <v>1</v>
      </c>
      <c r="AG40" s="11">
        <f t="array" ref="AG40">SUM(IF(AG4:AG37="R",1,0))</f>
        <v>1</v>
      </c>
      <c r="AH40" s="11">
        <f t="array" ref="AH40">SUM(IF(AH4:AH37="R",1,0))</f>
        <v>1</v>
      </c>
      <c r="AI40" s="11">
        <f t="array" ref="AI40">SUM(IF(AI4:AI37="R",1,0))</f>
        <v>1</v>
      </c>
      <c r="AJ40" s="11">
        <f t="array" ref="AJ40">SUM(IF(AJ4:AJ37="R",1,0))</f>
        <v>1</v>
      </c>
      <c r="AK40" s="11">
        <f t="array" ref="AK40">SUM(IF(AK4:AK37="R",1,0))</f>
        <v>1</v>
      </c>
      <c r="AL40" s="11">
        <f t="array" ref="AL40">SUM(IF(AL4:AL37="R",1,0))</f>
        <v>1</v>
      </c>
      <c r="AM40" s="11">
        <f t="array" ref="AM40">SUM(IF(AM4:AM37="R",1,0))</f>
        <v>1</v>
      </c>
      <c r="AN40" s="11">
        <f t="array" ref="AN40">SUM(IF(AN4:AN37="R",1,0))</f>
        <v>1</v>
      </c>
      <c r="AO40" s="11">
        <f t="array" ref="AO40">SUM(IF(AO4:AO37="R",1,0))</f>
        <v>1</v>
      </c>
      <c r="AP40" s="11">
        <f t="array" ref="AP40">SUM(IF(AP4:AP37="R",1,0))</f>
        <v>1</v>
      </c>
      <c r="AQ40" s="11">
        <f t="array" ref="AQ40">SUM(IF(AQ4:AQ37="R",1,0))</f>
        <v>1</v>
      </c>
      <c r="AR40" s="11">
        <f t="array" ref="AR40">SUM(IF(AR4:AR37="R",1,0))</f>
        <v>0</v>
      </c>
      <c r="AS40" s="11">
        <f t="array" ref="AS40">SUM(IF(AS4:AS37="R",1,0))</f>
        <v>0</v>
      </c>
      <c r="AT40" s="11">
        <f t="array" ref="AT40">SUM(IF(AT4:AT37="R",1,0))</f>
        <v>0</v>
      </c>
      <c r="AU40" s="11">
        <f t="array" ref="AU40">SUM(IF(AU4:AU37="R",1,0))</f>
        <v>0</v>
      </c>
      <c r="AV40" s="11">
        <f t="array" ref="AV40">SUM(IF(AV4:AV37="R",1,0))</f>
        <v>0</v>
      </c>
      <c r="AW40" s="11">
        <f t="array" ref="AW40">SUM(IF(AW4:AW37="R",1,0))</f>
        <v>0</v>
      </c>
      <c r="AX40" s="11">
        <f t="array" ref="AX40">SUM(IF(AX4:AX37="R",1,0))</f>
        <v>0</v>
      </c>
    </row>
    <row r="41">
      <c r="A41" s="17" t="s">
        <v>70</v>
      </c>
      <c r="C41" s="10">
        <f t="shared" si="14"/>
        <v>38</v>
      </c>
      <c r="D41" s="11"/>
      <c r="E41" s="11"/>
      <c r="F41" s="80">
        <v>1.0</v>
      </c>
      <c r="G41" s="11">
        <f t="array" ref="G41">SUM(IF(G4:G37="R2",1,0))</f>
        <v>1</v>
      </c>
      <c r="H41" s="11">
        <f t="array" ref="H41">SUM(IF(H4:H37="R2",1,0))</f>
        <v>1</v>
      </c>
      <c r="I41" s="11">
        <f t="array" ref="I41">SUM(IF(I4:I37="R2",1,0))</f>
        <v>1</v>
      </c>
      <c r="J41" s="11">
        <f t="array" ref="J41">SUM(IF(J4:J37="R2",1,0))</f>
        <v>1</v>
      </c>
      <c r="K41" s="11">
        <f t="array" ref="K41">SUM(IF(K4:K37="R2",1,0))</f>
        <v>1</v>
      </c>
      <c r="L41" s="11">
        <f t="array" ref="L41">SUM(IF(L4:L37="R2",1,0))</f>
        <v>1</v>
      </c>
      <c r="M41" s="11">
        <f t="array" ref="M41">SUM(IF(M4:M37="R2",1,0))</f>
        <v>1</v>
      </c>
      <c r="N41" s="11">
        <f t="array" ref="N41">SUM(IF(N4:N37="R2",1,0))</f>
        <v>1</v>
      </c>
      <c r="O41" s="80">
        <v>1.0</v>
      </c>
      <c r="P41" s="11">
        <f t="array" ref="P41">SUM(IF(P4:P37="R2",1,0))</f>
        <v>1</v>
      </c>
      <c r="Q41" s="11">
        <f t="array" ref="Q41">SUM(IF(Q4:Q37="R2",1,0))</f>
        <v>1</v>
      </c>
      <c r="R41" s="11">
        <f t="array" ref="R41">SUM(IF(R4:R37="R2",1,0))</f>
        <v>1</v>
      </c>
      <c r="S41" s="11">
        <f t="array" ref="S41">SUM(IF(S4:S37="R2",1,0))</f>
        <v>1</v>
      </c>
      <c r="T41" s="11">
        <f t="array" ref="T41">SUM(IF(T4:T37="R2",1,0))</f>
        <v>1</v>
      </c>
      <c r="U41" s="11">
        <f t="array" ref="U41">SUM(IF(U4:U37="R2",1,0))</f>
        <v>1</v>
      </c>
      <c r="V41" s="11">
        <f t="array" ref="V41">SUM(IF(V4:V37="R2",1,0))</f>
        <v>1</v>
      </c>
      <c r="W41" s="11">
        <f t="array" ref="W41">SUM(IF(W4:W37="R2",1,0))</f>
        <v>1</v>
      </c>
      <c r="X41" s="11">
        <f t="array" ref="X41">SUM(IF(X4:X37="R2",1,0))</f>
        <v>1</v>
      </c>
      <c r="Y41" s="11">
        <f t="array" ref="Y41">SUM(IF(Y4:Y37="R2",1,0))</f>
        <v>1</v>
      </c>
      <c r="Z41" s="11">
        <f t="array" ref="Z41">SUM(IF(Z4:Z37="R2",1,0))</f>
        <v>1</v>
      </c>
      <c r="AA41" s="11">
        <f t="array" ref="AA41">SUM(IF(AA4:AA37="R2",1,0))</f>
        <v>1</v>
      </c>
      <c r="AB41" s="11">
        <f t="array" ref="AB41">SUM(IF(AB4:AB37="R2",1,0))</f>
        <v>1</v>
      </c>
      <c r="AC41" s="11">
        <f t="array" ref="AC41">SUM(IF(AC4:AC37="R2",1,0))</f>
        <v>1</v>
      </c>
      <c r="AD41" s="11">
        <f t="array" ref="AD41">SUM(IF(AD4:AD37="R2",1,0))</f>
        <v>1</v>
      </c>
      <c r="AE41" s="11">
        <f t="array" ref="AE41">SUM(IF(AE4:AE37="R2",1,0))</f>
        <v>1</v>
      </c>
      <c r="AF41" s="11">
        <f t="array" ref="AF41">SUM(IF(AF4:AF37="R2",1,0))</f>
        <v>1</v>
      </c>
      <c r="AG41" s="11">
        <f t="array" ref="AG41">SUM(IF(AG4:AG37="R2",1,0))</f>
        <v>1</v>
      </c>
      <c r="AH41" s="11">
        <f t="array" ref="AH41">SUM(IF(AH4:AH37="R2",1,0))</f>
        <v>1</v>
      </c>
      <c r="AI41" s="11">
        <f t="array" ref="AI41">SUM(IF(AI4:AI37="R2",1,0))</f>
        <v>1</v>
      </c>
      <c r="AJ41" s="11">
        <f t="array" ref="AJ41">SUM(IF(AJ4:AJ37="R2",1,0))</f>
        <v>1</v>
      </c>
      <c r="AK41" s="11">
        <f t="array" ref="AK41">SUM(IF(AK4:AK37="R2",1,0))</f>
        <v>1</v>
      </c>
      <c r="AL41" s="11">
        <f t="array" ref="AL41">SUM(IF(AL4:AL37="R2",1,0))</f>
        <v>1</v>
      </c>
      <c r="AM41" s="11">
        <f t="array" ref="AM41">SUM(IF(AM4:AM37="R2",1,0))</f>
        <v>1</v>
      </c>
      <c r="AN41" s="11">
        <f t="array" ref="AN41">SUM(IF(AN4:AN37="R2",1,0))</f>
        <v>1</v>
      </c>
      <c r="AO41" s="11">
        <f t="array" ref="AO41">SUM(IF(AO4:AO37="R2",1,0))</f>
        <v>1</v>
      </c>
      <c r="AP41" s="11">
        <f t="array" ref="AP41">SUM(IF(AP4:AP37="R2",1,0))</f>
        <v>1</v>
      </c>
      <c r="AQ41" s="11">
        <f t="array" ref="AQ41">SUM(IF(AQ4:AQ37="R2",1,0))</f>
        <v>1</v>
      </c>
      <c r="AR41" s="11">
        <f t="array" ref="AR41">SUM(IF(AR4:AR37="R2",1,0))</f>
        <v>0</v>
      </c>
      <c r="AS41" s="11">
        <f t="array" ref="AS41">SUM(IF(AS4:AS37="R2",1,0))</f>
        <v>0</v>
      </c>
      <c r="AT41" s="11">
        <f t="array" ref="AT41">SUM(IF(AT4:AT37="R2",1,0))</f>
        <v>0</v>
      </c>
      <c r="AU41" s="11">
        <f t="array" ref="AU41">SUM(IF(AU4:AU37="R2",1,0))</f>
        <v>0</v>
      </c>
      <c r="AV41" s="11">
        <f t="array" ref="AV41">SUM(IF(AV4:AV37="R2",1,0))</f>
        <v>0</v>
      </c>
      <c r="AW41" s="11">
        <f t="array" ref="AW41">SUM(IF(AW4:AW37="R2",1,0))</f>
        <v>0</v>
      </c>
      <c r="AX41" s="11">
        <f t="array" ref="AX41">SUM(IF(AX4:AX37="R2",1,0))</f>
        <v>0</v>
      </c>
    </row>
    <row r="42">
      <c r="E42" s="46" t="s">
        <v>71</v>
      </c>
      <c r="F42" s="29" t="str">
        <f t="shared" ref="F42:V42" si="15">IFERROR(INDEX($A$3:$A$38, MATCH(1, INDEX($F$3:$AW$38, 0, MATCH(F2, $F$2:$AW$2, 0)), 0)), INDEX($A$3:$A$38, MATCH(1, INDEX($F$3:$AW$38, 0, MATCH(F2&amp;" AM", $F$2:$AW$2, 0)), 0)))</f>
        <v>PTE CLARENCE ONG JUN YI </v>
      </c>
      <c r="G42" s="29" t="str">
        <f t="shared" si="15"/>
        <v>PTE ANISH VINAAYAK SIVASANKAR</v>
      </c>
      <c r="H42" s="29" t="str">
        <f t="shared" si="15"/>
        <v>LCP ISAAC LOH KA LOK</v>
      </c>
      <c r="I42" s="29" t="str">
        <f t="shared" si="15"/>
        <v>PTE HARITH RUSYDI BIN AMDAN</v>
      </c>
      <c r="J42" s="29" t="str">
        <f t="shared" si="15"/>
        <v>PTE BARATHAN  S/O JEGANATHAN</v>
      </c>
      <c r="K42" s="29" t="str">
        <f t="shared" si="15"/>
        <v>PTE BRYAN MARC MEHAR</v>
      </c>
      <c r="L42" s="29" t="str">
        <f t="shared" si="15"/>
        <v>LCP JERRYL</v>
      </c>
      <c r="M42" s="29" t="str">
        <f t="shared" si="15"/>
        <v>LCP NICO</v>
      </c>
      <c r="N42" s="29" t="str">
        <f t="shared" si="15"/>
        <v>PTE JULLION</v>
      </c>
      <c r="O42" s="29" t="str">
        <f t="shared" si="15"/>
        <v>LCP MITCHELL</v>
      </c>
      <c r="P42" s="29" t="str">
        <f t="shared" si="15"/>
        <v>PTE DARYL</v>
      </c>
      <c r="Q42" s="29" t="str">
        <f t="shared" si="15"/>
        <v>SCT RYAN</v>
      </c>
      <c r="R42" s="29" t="str">
        <f t="shared" si="15"/>
        <v>PTE ASH</v>
      </c>
      <c r="S42" s="29" t="str">
        <f t="shared" si="15"/>
        <v>PTE JEREMIAH</v>
      </c>
      <c r="T42" s="29" t="str">
        <f t="shared" si="15"/>
        <v>PTE BRYAN MARC MEHAR</v>
      </c>
      <c r="U42" s="29" t="str">
        <f t="shared" si="15"/>
        <v>LCP DYLAN</v>
      </c>
      <c r="V42" s="29" t="str">
        <f t="shared" si="15"/>
        <v>PTE REUVEN YAP KIAN GUAN </v>
      </c>
      <c r="W42" s="29" t="str">
        <f t="shared" ref="W42:AC42" si="16">IFERROR(INDEX($A$3:$A$38, MATCH(1, INDEX($F$3:$AW$38, 0, MATCH(W2, $F$2:$AW$2, 0)), 0)), INDEX($A$3:$A$38, MATCH(1, INDEX($F$3:$AW$38, 0, MATCH(X2&amp;" AM", $F$2:$AW$2, 0)), 0)))</f>
        <v>PTE NATHAN</v>
      </c>
      <c r="X42" s="29" t="str">
        <f t="shared" si="16"/>
        <v>PTE SIDD</v>
      </c>
      <c r="Y42" s="29" t="str">
        <f t="shared" si="16"/>
        <v>PTE KAI JIE</v>
      </c>
      <c r="Z42" s="29" t="str">
        <f t="shared" si="16"/>
        <v>PTE SYAFIQ</v>
      </c>
      <c r="AA42" s="29" t="str">
        <f t="shared" si="16"/>
        <v>PTE RYAN T</v>
      </c>
      <c r="AB42" s="29" t="str">
        <f t="shared" si="16"/>
        <v>SCT RYAN</v>
      </c>
      <c r="AC42" s="29" t="str">
        <f t="shared" si="16"/>
        <v>PTE BRYAN MARC MEHAR</v>
      </c>
      <c r="AD42" s="29" t="str">
        <f t="shared" ref="AD42:AT42" si="17">IFERROR(INDEX($A$3:$A$38, MATCH(1, INDEX($F$3:$AW$38, 0, MATCH(AD2, $F$2:$AW$2, 0)), 0)), INDEX($A$3:$A$38, MATCH(1, INDEX($F$3:$AW$38, 0, MATCH(AD2&amp;" AM", $F$2:$AW$2, 0)), 0)))</f>
        <v>PTE BARATHAN  S/O JEGANATHAN</v>
      </c>
      <c r="AE42" s="29" t="str">
        <f t="shared" si="17"/>
        <v>PTE PARAM</v>
      </c>
      <c r="AF42" s="29" t="str">
        <f t="shared" si="17"/>
        <v>PTE NATHAN</v>
      </c>
      <c r="AG42" s="29" t="str">
        <f t="shared" si="17"/>
        <v>PTE WANG XINHANG</v>
      </c>
      <c r="AH42" s="29" t="str">
        <f t="shared" si="17"/>
        <v>PTE ANISH VINAAYAK SIVASANKAR</v>
      </c>
      <c r="AI42" s="29" t="str">
        <f t="shared" si="17"/>
        <v>PTE EE BING</v>
      </c>
      <c r="AJ42" s="29" t="str">
        <f t="shared" si="17"/>
        <v>PTE ASH</v>
      </c>
      <c r="AK42" s="29" t="str">
        <f t="shared" si="17"/>
        <v>CHEONG JUN KAI, HARRY</v>
      </c>
      <c r="AL42" s="29" t="str">
        <f t="shared" si="17"/>
        <v>PTE BRYAN MARC MEHAR</v>
      </c>
      <c r="AM42" s="29" t="str">
        <f t="shared" si="17"/>
        <v>CPL SURIA</v>
      </c>
      <c r="AN42" s="29" t="str">
        <f t="shared" si="17"/>
        <v>PTE  HILAL</v>
      </c>
      <c r="AO42" s="29" t="str">
        <f t="shared" si="17"/>
        <v>CPL SURIA</v>
      </c>
      <c r="AP42" s="29" t="str">
        <f t="shared" si="17"/>
        <v>PTE SIDD</v>
      </c>
      <c r="AQ42" s="29" t="str">
        <f t="shared" si="17"/>
        <v>PTE KAI JIE</v>
      </c>
      <c r="AR42" s="29" t="str">
        <f t="shared" si="17"/>
        <v>#N/A</v>
      </c>
      <c r="AS42" s="29" t="str">
        <f t="shared" si="17"/>
        <v>#N/A</v>
      </c>
      <c r="AT42" s="29" t="str">
        <f t="shared" si="17"/>
        <v>#N/A</v>
      </c>
      <c r="AU42" s="29" t="str">
        <f t="shared" ref="AU42:AX42" si="18">IFERROR(INDEX($A$3:$A$37, MATCH(1, INDEX($F$3:$AW$37, 0, MATCH(AU3, $F$2:$AW$2, 0)), 0)), INDEX($A$3:$A$37, MATCH(1, INDEX($F$3:$AW$37, 0, MATCH(AU3&amp;" AM", $F$2:$AW$2, 0)), 0)))</f>
        <v>#N/A</v>
      </c>
      <c r="AV42" s="29" t="str">
        <f t="shared" si="18"/>
        <v>#N/A</v>
      </c>
      <c r="AW42" s="29" t="str">
        <f t="shared" si="18"/>
        <v>#N/A</v>
      </c>
      <c r="AX42" s="29" t="str">
        <f t="shared" si="18"/>
        <v>#N/A</v>
      </c>
    </row>
    <row r="43">
      <c r="E43" s="46" t="s">
        <v>72</v>
      </c>
      <c r="F43" s="28" t="str">
        <f t="shared" ref="F43:AT43" si="19">INDEX($A$3:$A$38, MATCH("R", INDEX($F$3:$AW$38, 0, MATCH(F2, $F$2:$AW$2, 0)), 0))</f>
        <v>LCP JERRYL</v>
      </c>
      <c r="G43" s="28" t="str">
        <f t="shared" si="19"/>
        <v>PTE HARITH RUSYDI BIN AMDAN</v>
      </c>
      <c r="H43" s="28" t="str">
        <f t="shared" si="19"/>
        <v>PTE EE BING</v>
      </c>
      <c r="I43" s="28" t="str">
        <f t="shared" si="19"/>
        <v>PTE WANG XINHANG</v>
      </c>
      <c r="J43" s="28" t="str">
        <f t="shared" si="19"/>
        <v>CPL SURIA</v>
      </c>
      <c r="K43" s="28" t="str">
        <f t="shared" si="19"/>
        <v>PTE SIDD</v>
      </c>
      <c r="L43" s="28" t="str">
        <f t="shared" si="19"/>
        <v>PTE JULLION</v>
      </c>
      <c r="M43" s="28" t="str">
        <f t="shared" si="19"/>
        <v>PTE BRYAN MARC MEHAR</v>
      </c>
      <c r="N43" s="28" t="str">
        <f t="shared" si="19"/>
        <v>LCP ISAAC LOH KA LOK</v>
      </c>
      <c r="O43" s="28" t="str">
        <f t="shared" si="19"/>
        <v>PTE RYAN T</v>
      </c>
      <c r="P43" s="28" t="str">
        <f t="shared" si="19"/>
        <v>PTE SYAFIQ</v>
      </c>
      <c r="Q43" s="28" t="str">
        <f t="shared" si="19"/>
        <v>PTE ANISH VINAAYAK SIVASANKAR</v>
      </c>
      <c r="R43" s="28" t="str">
        <f t="shared" si="19"/>
        <v>PTE RYAN T</v>
      </c>
      <c r="S43" s="28" t="str">
        <f t="shared" si="19"/>
        <v>PTE JULLION</v>
      </c>
      <c r="T43" s="28" t="str">
        <f t="shared" si="19"/>
        <v>LCP NICO</v>
      </c>
      <c r="U43" s="28" t="str">
        <f t="shared" si="19"/>
        <v>PTE DARYL</v>
      </c>
      <c r="V43" s="28" t="str">
        <f t="shared" si="19"/>
        <v>PTE PARAM</v>
      </c>
      <c r="W43" s="28" t="str">
        <f t="shared" si="19"/>
        <v>CPL SURIA</v>
      </c>
      <c r="X43" s="28" t="str">
        <f t="shared" si="19"/>
        <v>PTE SYAFIQ</v>
      </c>
      <c r="Y43" s="28" t="str">
        <f t="shared" si="19"/>
        <v>PTE ANISH VINAAYAK SIVASANKAR</v>
      </c>
      <c r="Z43" s="28" t="str">
        <f t="shared" si="19"/>
        <v>LCP MITCHELL</v>
      </c>
      <c r="AA43" s="28" t="str">
        <f t="shared" si="19"/>
        <v>PTE EE BING</v>
      </c>
      <c r="AB43" s="28" t="str">
        <f t="shared" si="19"/>
        <v>PTE KAI JIE</v>
      </c>
      <c r="AC43" s="28" t="str">
        <f t="shared" si="19"/>
        <v>LCP NICO</v>
      </c>
      <c r="AD43" s="28" t="str">
        <f t="shared" si="19"/>
        <v>LCP JERRYL</v>
      </c>
      <c r="AE43" s="28" t="str">
        <f t="shared" si="19"/>
        <v>PTE REUVEN YAP KIAN GUAN </v>
      </c>
      <c r="AF43" s="28" t="str">
        <f t="shared" si="19"/>
        <v>LCP DYLAN</v>
      </c>
      <c r="AG43" s="28" t="str">
        <f t="shared" si="19"/>
        <v>PTE ASH</v>
      </c>
      <c r="AH43" s="28" t="str">
        <f t="shared" si="19"/>
        <v>LCP MITCHELL</v>
      </c>
      <c r="AI43" s="28" t="str">
        <f t="shared" si="19"/>
        <v>PTE NATHAN</v>
      </c>
      <c r="AJ43" s="28" t="str">
        <f t="shared" si="19"/>
        <v>LCP ISAAC LOH KA LOK</v>
      </c>
      <c r="AK43" s="28" t="str">
        <f t="shared" si="19"/>
        <v>PTE CLARENCE ONG JUN YI </v>
      </c>
      <c r="AL43" s="28" t="str">
        <f t="shared" si="19"/>
        <v>PTE  HILAL</v>
      </c>
      <c r="AM43" s="28" t="str">
        <f t="shared" si="19"/>
        <v>LCP DYLAN</v>
      </c>
      <c r="AN43" s="28" t="str">
        <f t="shared" si="19"/>
        <v>PTE BRYAN MARC MEHAR</v>
      </c>
      <c r="AO43" s="28" t="str">
        <f t="shared" si="19"/>
        <v>SCT RYAN</v>
      </c>
      <c r="AP43" s="28" t="str">
        <f t="shared" si="19"/>
        <v>PTE BARATHAN  S/O JEGANATHAN</v>
      </c>
      <c r="AQ43" s="28" t="str">
        <f t="shared" si="19"/>
        <v>CHEONG JUN KAI, HARRY</v>
      </c>
      <c r="AR43" s="28" t="str">
        <f t="shared" si="19"/>
        <v>#N/A</v>
      </c>
      <c r="AS43" s="28" t="str">
        <f t="shared" si="19"/>
        <v>#N/A</v>
      </c>
      <c r="AT43" s="28" t="str">
        <f t="shared" si="19"/>
        <v>#N/A</v>
      </c>
      <c r="AU43" s="28" t="str">
        <f t="shared" ref="AU43:AX43" si="20">INDEX($A$3:$A$37, MATCH("R", INDEX($F$3:$AW$37, 0, MATCH(AU3, $F$2:$AW$2, 0)), 0))</f>
        <v>#N/A</v>
      </c>
      <c r="AV43" s="28" t="str">
        <f t="shared" si="20"/>
        <v>#N/A</v>
      </c>
      <c r="AW43" s="28" t="str">
        <f t="shared" si="20"/>
        <v>#N/A</v>
      </c>
      <c r="AX43" s="28" t="str">
        <f t="shared" si="20"/>
        <v>#N/A</v>
      </c>
    </row>
    <row r="44">
      <c r="A44" s="17" t="s">
        <v>232</v>
      </c>
      <c r="C44" s="49">
        <f>COUNTA($H$1:$AQ1)</f>
        <v>36</v>
      </c>
      <c r="E44" s="46" t="s">
        <v>70</v>
      </c>
      <c r="F44" s="30" t="str">
        <f t="shared" ref="F44:AT44" si="21">INDEX($A$3:$A$38, MATCH("R2", INDEX($F$3:$AW$38, 0, MATCH(F2, $F$2:$AW$2, 0)), 0))</f>
        <v>PTE WANG XINHANG</v>
      </c>
      <c r="G44" s="30" t="str">
        <f t="shared" si="21"/>
        <v>PTE DARYL</v>
      </c>
      <c r="H44" s="30" t="str">
        <f t="shared" si="21"/>
        <v>LCP MITCHELL</v>
      </c>
      <c r="I44" s="30" t="str">
        <f t="shared" si="21"/>
        <v>PTE JULLION</v>
      </c>
      <c r="J44" s="30" t="str">
        <f t="shared" si="21"/>
        <v>PTE HARITH RUSYDI BIN AMDAN</v>
      </c>
      <c r="K44" s="30" t="str">
        <f t="shared" si="21"/>
        <v>PTE REUVEN YAP KIAN GUAN </v>
      </c>
      <c r="L44" s="30" t="str">
        <f t="shared" si="21"/>
        <v>PTE BARATHAN  S/O JEGANATHAN</v>
      </c>
      <c r="M44" s="30" t="str">
        <f t="shared" si="21"/>
        <v>PTE PARAM</v>
      </c>
      <c r="N44" s="30" t="str">
        <f t="shared" si="21"/>
        <v>LCP DYLAN</v>
      </c>
      <c r="O44" s="30" t="str">
        <f t="shared" si="21"/>
        <v>PTE WANG XINHANG</v>
      </c>
      <c r="P44" s="30" t="str">
        <f t="shared" si="21"/>
        <v>PTE EE BING</v>
      </c>
      <c r="Q44" s="30" t="str">
        <f t="shared" si="21"/>
        <v>LCP JERRYL</v>
      </c>
      <c r="R44" s="30" t="str">
        <f t="shared" si="21"/>
        <v>CHEONG JUN KAI, HARRY</v>
      </c>
      <c r="S44" s="30" t="str">
        <f t="shared" si="21"/>
        <v>PTE KAI JIE</v>
      </c>
      <c r="T44" s="30" t="str">
        <f t="shared" si="21"/>
        <v>PTE  HILAL</v>
      </c>
      <c r="U44" s="30" t="str">
        <f t="shared" si="21"/>
        <v>SCT RYAN</v>
      </c>
      <c r="V44" s="30" t="str">
        <f t="shared" si="21"/>
        <v>PTE  HILAL</v>
      </c>
      <c r="W44" s="30" t="str">
        <f t="shared" si="21"/>
        <v>PTE RYAN T</v>
      </c>
      <c r="X44" s="30" t="str">
        <f t="shared" si="21"/>
        <v>CHEONG JUN KAI, HARRY</v>
      </c>
      <c r="Y44" s="30" t="str">
        <f t="shared" si="21"/>
        <v>PTE JEREMIAH</v>
      </c>
      <c r="Z44" s="30" t="str">
        <f t="shared" si="21"/>
        <v>PTE NATHAN</v>
      </c>
      <c r="AA44" s="30" t="str">
        <f t="shared" si="21"/>
        <v>PTE ASH</v>
      </c>
      <c r="AB44" s="30" t="str">
        <f t="shared" si="21"/>
        <v>LCP ISAAC LOH KA LOK</v>
      </c>
      <c r="AC44" s="30" t="str">
        <f t="shared" si="21"/>
        <v>PTE PARAM</v>
      </c>
      <c r="AD44" s="30" t="str">
        <f t="shared" si="21"/>
        <v>PTE DARYL</v>
      </c>
      <c r="AE44" s="30" t="str">
        <f t="shared" si="21"/>
        <v>LCP NICO</v>
      </c>
      <c r="AF44" s="30" t="str">
        <f t="shared" si="21"/>
        <v>CPL SURIA</v>
      </c>
      <c r="AG44" s="30" t="str">
        <f t="shared" si="21"/>
        <v>PTE RYAN T</v>
      </c>
      <c r="AH44" s="30" t="str">
        <f t="shared" si="21"/>
        <v>PTE SYAFIQ</v>
      </c>
      <c r="AI44" s="30" t="str">
        <f t="shared" si="21"/>
        <v>PTE CLARENCE ONG JUN YI </v>
      </c>
      <c r="AJ44" s="30" t="str">
        <f t="shared" si="21"/>
        <v>PTE ANISH VINAAYAK SIVASANKAR</v>
      </c>
      <c r="AK44" s="30" t="str">
        <f t="shared" si="21"/>
        <v>PTE HARITH RUSYDI BIN AMDAN</v>
      </c>
      <c r="AL44" s="30" t="str">
        <f t="shared" si="21"/>
        <v>PTE REUVEN YAP KIAN GUAN </v>
      </c>
      <c r="AM44" s="30" t="str">
        <f t="shared" si="21"/>
        <v>PTE SIDD</v>
      </c>
      <c r="AN44" s="30" t="str">
        <f t="shared" si="21"/>
        <v>PTE KAI JIE</v>
      </c>
      <c r="AO44" s="30" t="str">
        <f t="shared" si="21"/>
        <v>PTE CLARENCE ONG JUN YI </v>
      </c>
      <c r="AP44" s="30" t="str">
        <f t="shared" si="21"/>
        <v>PTE JEREMIAH</v>
      </c>
      <c r="AQ44" s="30" t="str">
        <f t="shared" si="21"/>
        <v>PTE NATHAN</v>
      </c>
      <c r="AR44" s="30" t="str">
        <f t="shared" si="21"/>
        <v>#N/A</v>
      </c>
      <c r="AS44" s="30" t="str">
        <f t="shared" si="21"/>
        <v>#N/A</v>
      </c>
      <c r="AT44" s="30" t="str">
        <f t="shared" si="21"/>
        <v>#N/A</v>
      </c>
      <c r="AU44" s="30" t="str">
        <f t="shared" ref="AU44:AX44" si="22">INDEX($A$3:$A$37, MATCH("R2", INDEX($F$3:$AW$37, 0, MATCH(AU3, $F$2:$AW$2, 0)), 0))</f>
        <v>#N/A</v>
      </c>
      <c r="AV44" s="30" t="str">
        <f t="shared" si="22"/>
        <v>#N/A</v>
      </c>
      <c r="AW44" s="30" t="str">
        <f t="shared" si="22"/>
        <v>#N/A</v>
      </c>
      <c r="AX44" s="30" t="str">
        <f t="shared" si="22"/>
        <v>#N/A</v>
      </c>
    </row>
    <row r="45">
      <c r="A45" s="17" t="s">
        <v>154</v>
      </c>
      <c r="C45" s="50">
        <f>SUBTOTAL(103, $A$3:$A$37)
</f>
        <v>28</v>
      </c>
      <c r="J45" s="31"/>
    </row>
    <row r="46">
      <c r="J46" s="31"/>
    </row>
    <row r="47">
      <c r="J47" s="31"/>
    </row>
    <row r="48">
      <c r="A48" s="26" t="s">
        <v>118</v>
      </c>
      <c r="J48" s="31"/>
    </row>
    <row r="49">
      <c r="A49" s="25" t="s">
        <v>119</v>
      </c>
      <c r="J49" s="31"/>
    </row>
    <row r="50">
      <c r="A50" s="22" t="s">
        <v>120</v>
      </c>
      <c r="J50" s="31"/>
    </row>
    <row r="51">
      <c r="A51" s="20" t="s">
        <v>121</v>
      </c>
      <c r="J51" s="31"/>
    </row>
    <row r="52">
      <c r="A52" s="23" t="s">
        <v>122</v>
      </c>
      <c r="J52" s="31"/>
    </row>
    <row r="53">
      <c r="A53" s="14" t="s">
        <v>123</v>
      </c>
      <c r="J53" s="31"/>
    </row>
    <row r="54">
      <c r="A54" s="9" t="s">
        <v>125</v>
      </c>
      <c r="J54" s="31"/>
    </row>
    <row r="55">
      <c r="A55" s="44" t="s">
        <v>126</v>
      </c>
      <c r="C55" s="31"/>
      <c r="J55" s="31"/>
    </row>
    <row r="56">
      <c r="A56" s="62" t="s">
        <v>203</v>
      </c>
      <c r="J56" s="31"/>
    </row>
    <row r="57">
      <c r="A57" s="70" t="s">
        <v>233</v>
      </c>
      <c r="J57" s="31"/>
    </row>
    <row r="58">
      <c r="A58" s="69" t="s">
        <v>234</v>
      </c>
      <c r="J58" s="31"/>
    </row>
    <row r="59">
      <c r="A59" s="27" t="s">
        <v>124</v>
      </c>
      <c r="J59" s="31"/>
    </row>
    <row r="60">
      <c r="J60" s="31"/>
    </row>
    <row r="61">
      <c r="J61" s="31"/>
    </row>
    <row r="62">
      <c r="J62" s="31"/>
    </row>
    <row r="63">
      <c r="J63" s="31"/>
    </row>
    <row r="64">
      <c r="J64" s="31"/>
    </row>
    <row r="65">
      <c r="J65" s="31"/>
    </row>
    <row r="66">
      <c r="J66" s="31"/>
    </row>
    <row r="67">
      <c r="J67" s="31"/>
    </row>
    <row r="68">
      <c r="J68" s="31"/>
    </row>
    <row r="69">
      <c r="J69" s="31"/>
    </row>
    <row r="70">
      <c r="J70" s="31"/>
    </row>
    <row r="71">
      <c r="J71" s="31"/>
    </row>
    <row r="72">
      <c r="J72" s="31"/>
    </row>
    <row r="73">
      <c r="J73" s="31"/>
    </row>
    <row r="74">
      <c r="J74" s="31"/>
    </row>
    <row r="75">
      <c r="J75" s="31"/>
    </row>
    <row r="76">
      <c r="J76" s="31"/>
    </row>
    <row r="77">
      <c r="J77" s="31"/>
    </row>
    <row r="78">
      <c r="J78" s="31"/>
    </row>
    <row r="79">
      <c r="J79" s="31"/>
    </row>
    <row r="80">
      <c r="J80" s="31"/>
    </row>
    <row r="81">
      <c r="J81" s="31"/>
    </row>
    <row r="82">
      <c r="J82" s="31"/>
    </row>
    <row r="83">
      <c r="J83" s="31"/>
    </row>
    <row r="84">
      <c r="J84" s="31"/>
    </row>
    <row r="85">
      <c r="J85" s="31"/>
    </row>
    <row r="86">
      <c r="J86" s="31"/>
    </row>
    <row r="87">
      <c r="J87" s="31"/>
    </row>
    <row r="88">
      <c r="J88" s="31"/>
    </row>
    <row r="89">
      <c r="J89" s="31"/>
    </row>
    <row r="90">
      <c r="J90" s="31"/>
    </row>
    <row r="91">
      <c r="J91" s="31"/>
    </row>
    <row r="92">
      <c r="J92" s="31"/>
    </row>
    <row r="93">
      <c r="J93" s="31"/>
    </row>
    <row r="94">
      <c r="J94" s="31"/>
    </row>
    <row r="95">
      <c r="J95" s="31"/>
    </row>
    <row r="96">
      <c r="J96" s="31"/>
    </row>
    <row r="97">
      <c r="J97" s="31"/>
    </row>
    <row r="98">
      <c r="J98" s="31"/>
    </row>
    <row r="99">
      <c r="J99" s="31"/>
    </row>
    <row r="100">
      <c r="J100" s="31"/>
    </row>
    <row r="101">
      <c r="J101" s="31"/>
    </row>
    <row r="102">
      <c r="J102" s="31"/>
    </row>
    <row r="103">
      <c r="J103" s="31"/>
    </row>
    <row r="104">
      <c r="J104" s="31"/>
    </row>
    <row r="105">
      <c r="J105" s="31"/>
    </row>
    <row r="106">
      <c r="J106" s="31"/>
    </row>
    <row r="107">
      <c r="J107" s="31"/>
    </row>
    <row r="108">
      <c r="J108" s="31"/>
    </row>
    <row r="109">
      <c r="J109" s="31"/>
    </row>
    <row r="110">
      <c r="J110" s="31"/>
    </row>
    <row r="111">
      <c r="J111" s="31"/>
    </row>
    <row r="112">
      <c r="J112" s="31"/>
    </row>
    <row r="113">
      <c r="J113" s="31"/>
    </row>
    <row r="114">
      <c r="J114" s="31"/>
    </row>
    <row r="115">
      <c r="J115" s="31"/>
    </row>
    <row r="116">
      <c r="J116" s="31"/>
    </row>
    <row r="117">
      <c r="J117" s="31"/>
    </row>
    <row r="118">
      <c r="J118" s="31"/>
    </row>
    <row r="119">
      <c r="J119" s="31"/>
    </row>
    <row r="120">
      <c r="J120" s="31"/>
    </row>
    <row r="121">
      <c r="J121" s="31"/>
    </row>
    <row r="122">
      <c r="J122" s="31"/>
    </row>
    <row r="123">
      <c r="J123" s="31"/>
    </row>
    <row r="124">
      <c r="J124" s="31"/>
    </row>
    <row r="125">
      <c r="J125" s="31"/>
    </row>
    <row r="126">
      <c r="J126" s="31"/>
    </row>
    <row r="127">
      <c r="J127" s="31"/>
    </row>
    <row r="128">
      <c r="J128" s="31"/>
    </row>
    <row r="129">
      <c r="J129" s="31"/>
    </row>
    <row r="130">
      <c r="J130" s="31"/>
    </row>
    <row r="131">
      <c r="J131" s="31"/>
    </row>
    <row r="132">
      <c r="J132" s="31"/>
    </row>
    <row r="133">
      <c r="J133" s="31"/>
    </row>
    <row r="134">
      <c r="J134" s="31"/>
    </row>
    <row r="135">
      <c r="J135" s="31"/>
    </row>
    <row r="136">
      <c r="J136" s="31"/>
    </row>
    <row r="137">
      <c r="J137" s="31"/>
    </row>
    <row r="138">
      <c r="J138" s="31"/>
    </row>
    <row r="139">
      <c r="J139" s="31"/>
    </row>
    <row r="140">
      <c r="J140" s="31"/>
    </row>
    <row r="141">
      <c r="J141" s="31"/>
    </row>
    <row r="142">
      <c r="J142" s="31"/>
    </row>
    <row r="143">
      <c r="J143" s="31"/>
    </row>
    <row r="144">
      <c r="J144" s="31"/>
    </row>
    <row r="145">
      <c r="J145" s="31"/>
    </row>
    <row r="146">
      <c r="J146" s="31"/>
    </row>
    <row r="147">
      <c r="J147" s="31"/>
    </row>
    <row r="148">
      <c r="J148" s="31"/>
    </row>
    <row r="149">
      <c r="J149" s="31"/>
    </row>
    <row r="150">
      <c r="J150" s="31"/>
    </row>
    <row r="151">
      <c r="J151" s="31"/>
    </row>
    <row r="152">
      <c r="J152" s="31"/>
    </row>
    <row r="153">
      <c r="J153" s="31"/>
    </row>
    <row r="154">
      <c r="J154" s="31"/>
    </row>
    <row r="155">
      <c r="J155" s="31"/>
    </row>
    <row r="156">
      <c r="J156" s="31"/>
    </row>
    <row r="157">
      <c r="J157" s="31"/>
    </row>
    <row r="158">
      <c r="J158" s="31"/>
    </row>
    <row r="159">
      <c r="J159" s="31"/>
    </row>
    <row r="160">
      <c r="J160" s="31"/>
    </row>
    <row r="161">
      <c r="J161" s="31"/>
    </row>
    <row r="162">
      <c r="J162" s="31"/>
    </row>
    <row r="163">
      <c r="J163" s="31"/>
    </row>
    <row r="164">
      <c r="J164" s="31"/>
    </row>
    <row r="165">
      <c r="J165" s="31"/>
    </row>
    <row r="166">
      <c r="J166" s="31"/>
    </row>
    <row r="167">
      <c r="J167" s="31"/>
    </row>
    <row r="168">
      <c r="J168" s="31"/>
    </row>
    <row r="169">
      <c r="J169" s="31"/>
    </row>
    <row r="170">
      <c r="J170" s="31"/>
    </row>
    <row r="171">
      <c r="J171" s="31"/>
    </row>
    <row r="172">
      <c r="J172" s="31"/>
    </row>
    <row r="173">
      <c r="J173" s="31"/>
    </row>
    <row r="174">
      <c r="J174" s="31"/>
    </row>
    <row r="175">
      <c r="J175" s="31"/>
    </row>
    <row r="176">
      <c r="J176" s="31"/>
    </row>
    <row r="177">
      <c r="J177" s="31"/>
    </row>
    <row r="178">
      <c r="J178" s="31"/>
    </row>
    <row r="179">
      <c r="J179" s="31"/>
    </row>
    <row r="180">
      <c r="J180" s="31"/>
    </row>
    <row r="181">
      <c r="J181" s="31"/>
    </row>
    <row r="182">
      <c r="J182" s="31"/>
    </row>
    <row r="183">
      <c r="J183" s="31"/>
    </row>
    <row r="184">
      <c r="J184" s="31"/>
    </row>
    <row r="185">
      <c r="J185" s="31"/>
    </row>
    <row r="186">
      <c r="J186" s="31"/>
    </row>
    <row r="187">
      <c r="J187" s="31"/>
    </row>
    <row r="188">
      <c r="J188" s="31"/>
    </row>
    <row r="189">
      <c r="J189" s="31"/>
    </row>
    <row r="190">
      <c r="J190" s="31"/>
    </row>
    <row r="191">
      <c r="J191" s="31"/>
    </row>
    <row r="192">
      <c r="J192" s="31"/>
    </row>
    <row r="193">
      <c r="J193" s="31"/>
    </row>
    <row r="194">
      <c r="J194" s="31"/>
    </row>
    <row r="195">
      <c r="J195" s="31"/>
    </row>
    <row r="196">
      <c r="J196" s="31"/>
    </row>
    <row r="197">
      <c r="J197" s="31"/>
    </row>
    <row r="198">
      <c r="J198" s="31"/>
    </row>
    <row r="199">
      <c r="J199" s="31"/>
    </row>
    <row r="200">
      <c r="J200" s="31"/>
    </row>
    <row r="201">
      <c r="J201" s="31"/>
    </row>
    <row r="202">
      <c r="J202" s="31"/>
    </row>
    <row r="203">
      <c r="J203" s="31"/>
    </row>
    <row r="204">
      <c r="J204" s="31"/>
    </row>
    <row r="205">
      <c r="J205" s="31"/>
    </row>
    <row r="206">
      <c r="J206" s="31"/>
    </row>
    <row r="207">
      <c r="J207" s="31"/>
    </row>
    <row r="208">
      <c r="J208" s="31"/>
    </row>
    <row r="209">
      <c r="J209" s="31"/>
    </row>
    <row r="210">
      <c r="J210" s="31"/>
    </row>
    <row r="211">
      <c r="J211" s="31"/>
    </row>
    <row r="212">
      <c r="J212" s="31"/>
    </row>
    <row r="213">
      <c r="J213" s="31"/>
    </row>
    <row r="214">
      <c r="J214" s="31"/>
    </row>
    <row r="215">
      <c r="J215" s="31"/>
    </row>
    <row r="216">
      <c r="J216" s="31"/>
    </row>
    <row r="217">
      <c r="J217" s="31"/>
    </row>
    <row r="218">
      <c r="J218" s="31"/>
    </row>
    <row r="219">
      <c r="J219" s="31"/>
    </row>
    <row r="220">
      <c r="J220" s="31"/>
    </row>
    <row r="221">
      <c r="J221" s="31"/>
    </row>
    <row r="222">
      <c r="J222" s="31"/>
    </row>
    <row r="223">
      <c r="J223" s="31"/>
    </row>
    <row r="224">
      <c r="J224" s="31"/>
    </row>
    <row r="225">
      <c r="J225" s="31"/>
    </row>
    <row r="226">
      <c r="J226" s="31"/>
    </row>
    <row r="227">
      <c r="J227" s="31"/>
    </row>
    <row r="228">
      <c r="J228" s="31"/>
    </row>
    <row r="229">
      <c r="J229" s="31"/>
    </row>
    <row r="230">
      <c r="J230" s="31"/>
    </row>
    <row r="231">
      <c r="J231" s="31"/>
    </row>
    <row r="232">
      <c r="J232" s="31"/>
    </row>
    <row r="233">
      <c r="J233" s="31"/>
    </row>
    <row r="234">
      <c r="J234" s="31"/>
    </row>
    <row r="235">
      <c r="J235" s="31"/>
    </row>
    <row r="236">
      <c r="J236" s="31"/>
    </row>
    <row r="237">
      <c r="J237" s="31"/>
    </row>
    <row r="238">
      <c r="J238" s="31"/>
    </row>
    <row r="239">
      <c r="J239" s="31"/>
    </row>
    <row r="240">
      <c r="J240" s="31"/>
    </row>
    <row r="241">
      <c r="J241" s="31"/>
    </row>
    <row r="242">
      <c r="J242" s="31"/>
    </row>
    <row r="243">
      <c r="J243" s="31"/>
    </row>
    <row r="244">
      <c r="J244" s="31"/>
    </row>
    <row r="245">
      <c r="J245" s="31"/>
    </row>
    <row r="246">
      <c r="J246" s="31"/>
    </row>
    <row r="247">
      <c r="J247" s="31"/>
    </row>
    <row r="248">
      <c r="J248" s="31"/>
    </row>
    <row r="249">
      <c r="J249" s="31"/>
    </row>
    <row r="250">
      <c r="J250" s="31"/>
    </row>
    <row r="251">
      <c r="J251" s="31"/>
    </row>
    <row r="252">
      <c r="J252" s="31"/>
    </row>
    <row r="253">
      <c r="J253" s="31"/>
    </row>
    <row r="254">
      <c r="J254" s="31"/>
    </row>
    <row r="255">
      <c r="J255" s="31"/>
    </row>
    <row r="256">
      <c r="J256" s="31"/>
    </row>
    <row r="257">
      <c r="J257" s="31"/>
    </row>
    <row r="258">
      <c r="J258" s="31"/>
    </row>
    <row r="259">
      <c r="J259" s="31"/>
    </row>
    <row r="260">
      <c r="J260" s="31"/>
    </row>
    <row r="261">
      <c r="J261" s="31"/>
    </row>
    <row r="262">
      <c r="J262" s="31"/>
    </row>
    <row r="263">
      <c r="J263" s="31"/>
    </row>
    <row r="264">
      <c r="J264" s="31"/>
    </row>
    <row r="265">
      <c r="J265" s="31"/>
    </row>
    <row r="266">
      <c r="J266" s="31"/>
    </row>
    <row r="267">
      <c r="J267" s="31"/>
    </row>
    <row r="268">
      <c r="J268" s="31"/>
    </row>
    <row r="269">
      <c r="J269" s="31"/>
    </row>
    <row r="270">
      <c r="J270" s="31"/>
    </row>
    <row r="271">
      <c r="J271" s="31"/>
    </row>
    <row r="272">
      <c r="J272" s="31"/>
    </row>
    <row r="273">
      <c r="J273" s="31"/>
    </row>
    <row r="274">
      <c r="J274" s="31"/>
    </row>
    <row r="275">
      <c r="J275" s="31"/>
    </row>
    <row r="276">
      <c r="J276" s="31"/>
    </row>
    <row r="277">
      <c r="J277" s="31"/>
    </row>
    <row r="278">
      <c r="J278" s="31"/>
    </row>
    <row r="279">
      <c r="J279" s="31"/>
    </row>
    <row r="280">
      <c r="J280" s="31"/>
    </row>
    <row r="281">
      <c r="J281" s="31"/>
    </row>
    <row r="282">
      <c r="J282" s="31"/>
    </row>
    <row r="283">
      <c r="J283" s="31"/>
    </row>
    <row r="284">
      <c r="J284" s="31"/>
    </row>
    <row r="285">
      <c r="J285" s="31"/>
    </row>
    <row r="286">
      <c r="J286" s="31"/>
    </row>
    <row r="287">
      <c r="J287" s="31"/>
    </row>
    <row r="288">
      <c r="J288" s="31"/>
    </row>
    <row r="289">
      <c r="J289" s="31"/>
    </row>
    <row r="290">
      <c r="J290" s="31"/>
    </row>
    <row r="291">
      <c r="J291" s="31"/>
    </row>
    <row r="292">
      <c r="J292" s="31"/>
    </row>
    <row r="293">
      <c r="J293" s="31"/>
    </row>
    <row r="294">
      <c r="J294" s="31"/>
    </row>
    <row r="295">
      <c r="J295" s="31"/>
    </row>
    <row r="296">
      <c r="J296" s="31"/>
    </row>
    <row r="297">
      <c r="J297" s="31"/>
    </row>
    <row r="298">
      <c r="J298" s="31"/>
    </row>
    <row r="299">
      <c r="J299" s="31"/>
    </row>
    <row r="300">
      <c r="J300" s="31"/>
    </row>
    <row r="301">
      <c r="J301" s="31"/>
    </row>
    <row r="302">
      <c r="J302" s="31"/>
    </row>
    <row r="303">
      <c r="J303" s="31"/>
    </row>
    <row r="304">
      <c r="J304" s="31"/>
    </row>
    <row r="305">
      <c r="J305" s="31"/>
    </row>
    <row r="306">
      <c r="J306" s="31"/>
    </row>
    <row r="307">
      <c r="J307" s="31"/>
    </row>
    <row r="308">
      <c r="J308" s="31"/>
    </row>
    <row r="309">
      <c r="J309" s="31"/>
    </row>
    <row r="310">
      <c r="J310" s="31"/>
    </row>
    <row r="311">
      <c r="J311" s="31"/>
    </row>
    <row r="312">
      <c r="J312" s="31"/>
    </row>
    <row r="313">
      <c r="J313" s="31"/>
    </row>
    <row r="314">
      <c r="J314" s="31"/>
    </row>
    <row r="315">
      <c r="J315" s="31"/>
    </row>
    <row r="316">
      <c r="J316" s="31"/>
    </row>
    <row r="317">
      <c r="J317" s="31"/>
    </row>
    <row r="318">
      <c r="J318" s="31"/>
    </row>
    <row r="319">
      <c r="J319" s="31"/>
    </row>
    <row r="320">
      <c r="J320" s="31"/>
    </row>
    <row r="321">
      <c r="J321" s="31"/>
    </row>
    <row r="322">
      <c r="J322" s="31"/>
    </row>
    <row r="323">
      <c r="J323" s="31"/>
    </row>
    <row r="324">
      <c r="J324" s="31"/>
    </row>
    <row r="325">
      <c r="J325" s="31"/>
    </row>
    <row r="326">
      <c r="J326" s="31"/>
    </row>
    <row r="327">
      <c r="J327" s="31"/>
    </row>
    <row r="328">
      <c r="J328" s="31"/>
    </row>
    <row r="329">
      <c r="J329" s="31"/>
    </row>
    <row r="330">
      <c r="J330" s="31"/>
    </row>
    <row r="331">
      <c r="J331" s="31"/>
    </row>
    <row r="332">
      <c r="J332" s="31"/>
    </row>
    <row r="333">
      <c r="J333" s="31"/>
    </row>
    <row r="334">
      <c r="J334" s="31"/>
    </row>
    <row r="335">
      <c r="J335" s="31"/>
    </row>
    <row r="336">
      <c r="J336" s="31"/>
    </row>
    <row r="337">
      <c r="J337" s="31"/>
    </row>
    <row r="338">
      <c r="J338" s="31"/>
    </row>
    <row r="339">
      <c r="J339" s="31"/>
    </row>
    <row r="340">
      <c r="J340" s="31"/>
    </row>
    <row r="341">
      <c r="J341" s="31"/>
    </row>
    <row r="342">
      <c r="J342" s="31"/>
    </row>
    <row r="343">
      <c r="J343" s="31"/>
    </row>
    <row r="344">
      <c r="J344" s="31"/>
    </row>
    <row r="345">
      <c r="J345" s="31"/>
    </row>
    <row r="346">
      <c r="J346" s="31"/>
    </row>
    <row r="347">
      <c r="J347" s="31"/>
    </row>
    <row r="348">
      <c r="J348" s="31"/>
    </row>
    <row r="349">
      <c r="J349" s="31"/>
    </row>
    <row r="350">
      <c r="J350" s="31"/>
    </row>
    <row r="351">
      <c r="J351" s="31"/>
    </row>
    <row r="352">
      <c r="J352" s="31"/>
    </row>
    <row r="353">
      <c r="J353" s="31"/>
    </row>
    <row r="354">
      <c r="J354" s="31"/>
    </row>
    <row r="355">
      <c r="J355" s="31"/>
    </row>
    <row r="356">
      <c r="J356" s="31"/>
    </row>
    <row r="357">
      <c r="J357" s="31"/>
    </row>
    <row r="358">
      <c r="J358" s="31"/>
    </row>
    <row r="359">
      <c r="J359" s="31"/>
    </row>
    <row r="360">
      <c r="J360" s="31"/>
    </row>
    <row r="361">
      <c r="J361" s="31"/>
    </row>
    <row r="362">
      <c r="J362" s="31"/>
    </row>
    <row r="363">
      <c r="J363" s="31"/>
    </row>
    <row r="364">
      <c r="J364" s="31"/>
    </row>
    <row r="365">
      <c r="J365" s="31"/>
    </row>
    <row r="366">
      <c r="J366" s="31"/>
    </row>
    <row r="367">
      <c r="J367" s="31"/>
    </row>
    <row r="368">
      <c r="J368" s="31"/>
    </row>
    <row r="369">
      <c r="J369" s="31"/>
    </row>
    <row r="370">
      <c r="J370" s="31"/>
    </row>
    <row r="371">
      <c r="J371" s="31"/>
    </row>
    <row r="372">
      <c r="J372" s="31"/>
    </row>
    <row r="373">
      <c r="J373" s="31"/>
    </row>
    <row r="374">
      <c r="J374" s="31"/>
    </row>
    <row r="375">
      <c r="J375" s="31"/>
    </row>
    <row r="376">
      <c r="J376" s="31"/>
    </row>
    <row r="377">
      <c r="J377" s="31"/>
    </row>
    <row r="378">
      <c r="J378" s="31"/>
    </row>
    <row r="379">
      <c r="J379" s="31"/>
    </row>
    <row r="380">
      <c r="J380" s="31"/>
    </row>
    <row r="381">
      <c r="J381" s="31"/>
    </row>
    <row r="382">
      <c r="J382" s="31"/>
    </row>
    <row r="383">
      <c r="J383" s="31"/>
    </row>
    <row r="384">
      <c r="J384" s="31"/>
    </row>
    <row r="385">
      <c r="J385" s="31"/>
    </row>
    <row r="386">
      <c r="J386" s="31"/>
    </row>
    <row r="387">
      <c r="J387" s="31"/>
    </row>
    <row r="388">
      <c r="J388" s="31"/>
    </row>
    <row r="389">
      <c r="J389" s="31"/>
    </row>
    <row r="390">
      <c r="J390" s="31"/>
    </row>
    <row r="391">
      <c r="J391" s="31"/>
    </row>
    <row r="392">
      <c r="J392" s="31"/>
    </row>
    <row r="393">
      <c r="J393" s="31"/>
    </row>
    <row r="394">
      <c r="J394" s="31"/>
    </row>
    <row r="395">
      <c r="J395" s="31"/>
    </row>
    <row r="396">
      <c r="J396" s="31"/>
    </row>
    <row r="397">
      <c r="J397" s="31"/>
    </row>
    <row r="398">
      <c r="J398" s="31"/>
    </row>
    <row r="399">
      <c r="J399" s="31"/>
    </row>
    <row r="400">
      <c r="J400" s="31"/>
    </row>
    <row r="401">
      <c r="J401" s="31"/>
    </row>
    <row r="402">
      <c r="J402" s="31"/>
    </row>
    <row r="403">
      <c r="J403" s="31"/>
    </row>
    <row r="404">
      <c r="J404" s="31"/>
    </row>
    <row r="405">
      <c r="J405" s="31"/>
    </row>
    <row r="406">
      <c r="J406" s="31"/>
    </row>
    <row r="407">
      <c r="J407" s="31"/>
    </row>
    <row r="408">
      <c r="J408" s="31"/>
    </row>
    <row r="409">
      <c r="J409" s="31"/>
    </row>
    <row r="410">
      <c r="J410" s="31"/>
    </row>
    <row r="411">
      <c r="J411" s="31"/>
    </row>
    <row r="412">
      <c r="J412" s="31"/>
    </row>
    <row r="413">
      <c r="J413" s="31"/>
    </row>
    <row r="414">
      <c r="J414" s="31"/>
    </row>
    <row r="415">
      <c r="J415" s="31"/>
    </row>
    <row r="416">
      <c r="J416" s="31"/>
    </row>
    <row r="417">
      <c r="J417" s="31"/>
    </row>
    <row r="418">
      <c r="J418" s="31"/>
    </row>
    <row r="419">
      <c r="J419" s="31"/>
    </row>
    <row r="420">
      <c r="J420" s="31"/>
    </row>
    <row r="421">
      <c r="J421" s="31"/>
    </row>
    <row r="422">
      <c r="J422" s="31"/>
    </row>
    <row r="423">
      <c r="J423" s="31"/>
    </row>
    <row r="424">
      <c r="J424" s="31"/>
    </row>
    <row r="425">
      <c r="J425" s="31"/>
    </row>
    <row r="426">
      <c r="J426" s="31"/>
    </row>
    <row r="427">
      <c r="J427" s="31"/>
    </row>
    <row r="428">
      <c r="J428" s="31"/>
    </row>
    <row r="429">
      <c r="J429" s="31"/>
    </row>
    <row r="430">
      <c r="J430" s="31"/>
    </row>
    <row r="431">
      <c r="J431" s="31"/>
    </row>
    <row r="432">
      <c r="J432" s="31"/>
    </row>
    <row r="433">
      <c r="J433" s="31"/>
    </row>
    <row r="434">
      <c r="J434" s="31"/>
    </row>
    <row r="435">
      <c r="J435" s="31"/>
    </row>
    <row r="436">
      <c r="J436" s="31"/>
    </row>
    <row r="437">
      <c r="J437" s="31"/>
    </row>
    <row r="438">
      <c r="J438" s="31"/>
    </row>
    <row r="439">
      <c r="J439" s="31"/>
    </row>
    <row r="440">
      <c r="J440" s="31"/>
    </row>
    <row r="441">
      <c r="J441" s="31"/>
    </row>
    <row r="442">
      <c r="J442" s="31"/>
    </row>
    <row r="443">
      <c r="J443" s="31"/>
    </row>
    <row r="444">
      <c r="J444" s="31"/>
    </row>
    <row r="445">
      <c r="J445" s="31"/>
    </row>
    <row r="446">
      <c r="J446" s="31"/>
    </row>
    <row r="447">
      <c r="J447" s="31"/>
    </row>
    <row r="448">
      <c r="J448" s="31"/>
    </row>
    <row r="449">
      <c r="J449" s="31"/>
    </row>
    <row r="450">
      <c r="J450" s="31"/>
    </row>
    <row r="451">
      <c r="J451" s="31"/>
    </row>
    <row r="452">
      <c r="J452" s="31"/>
    </row>
    <row r="453">
      <c r="J453" s="31"/>
    </row>
    <row r="454">
      <c r="J454" s="31"/>
    </row>
    <row r="455">
      <c r="J455" s="31"/>
    </row>
    <row r="456">
      <c r="J456" s="31"/>
    </row>
    <row r="457">
      <c r="J457" s="31"/>
    </row>
    <row r="458">
      <c r="J458" s="31"/>
    </row>
    <row r="459">
      <c r="J459" s="31"/>
    </row>
    <row r="460">
      <c r="J460" s="31"/>
    </row>
    <row r="461">
      <c r="J461" s="31"/>
    </row>
    <row r="462">
      <c r="J462" s="31"/>
    </row>
    <row r="463">
      <c r="J463" s="31"/>
    </row>
    <row r="464">
      <c r="J464" s="31"/>
    </row>
    <row r="465">
      <c r="J465" s="31"/>
    </row>
    <row r="466">
      <c r="J466" s="31"/>
    </row>
    <row r="467">
      <c r="J467" s="31"/>
    </row>
    <row r="468">
      <c r="J468" s="31"/>
    </row>
    <row r="469">
      <c r="J469" s="31"/>
    </row>
    <row r="470">
      <c r="J470" s="31"/>
    </row>
    <row r="471">
      <c r="J471" s="31"/>
    </row>
    <row r="472">
      <c r="J472" s="31"/>
    </row>
    <row r="473">
      <c r="J473" s="31"/>
    </row>
    <row r="474">
      <c r="J474" s="31"/>
    </row>
    <row r="475">
      <c r="J475" s="31"/>
    </row>
    <row r="476">
      <c r="J476" s="31"/>
    </row>
    <row r="477">
      <c r="J477" s="31"/>
    </row>
    <row r="478">
      <c r="J478" s="31"/>
    </row>
    <row r="479">
      <c r="J479" s="31"/>
    </row>
    <row r="480">
      <c r="J480" s="31"/>
    </row>
    <row r="481">
      <c r="J481" s="31"/>
    </row>
    <row r="482">
      <c r="J482" s="31"/>
    </row>
    <row r="483">
      <c r="J483" s="31"/>
    </row>
    <row r="484">
      <c r="J484" s="31"/>
    </row>
    <row r="485">
      <c r="J485" s="31"/>
    </row>
    <row r="486">
      <c r="J486" s="31"/>
    </row>
    <row r="487">
      <c r="J487" s="31"/>
    </row>
    <row r="488">
      <c r="J488" s="31"/>
    </row>
    <row r="489">
      <c r="J489" s="31"/>
    </row>
    <row r="490">
      <c r="J490" s="31"/>
    </row>
    <row r="491">
      <c r="J491" s="31"/>
    </row>
    <row r="492">
      <c r="J492" s="31"/>
    </row>
    <row r="493">
      <c r="J493" s="31"/>
    </row>
    <row r="494">
      <c r="J494" s="31"/>
    </row>
    <row r="495">
      <c r="J495" s="31"/>
    </row>
    <row r="496">
      <c r="J496" s="31"/>
    </row>
    <row r="497">
      <c r="J497" s="31"/>
    </row>
    <row r="498">
      <c r="J498" s="31"/>
    </row>
    <row r="499">
      <c r="J499" s="31"/>
    </row>
    <row r="500">
      <c r="J500" s="31"/>
    </row>
    <row r="501">
      <c r="J501" s="31"/>
    </row>
    <row r="502">
      <c r="J502" s="31"/>
    </row>
    <row r="503">
      <c r="J503" s="31"/>
    </row>
    <row r="504">
      <c r="J504" s="31"/>
    </row>
    <row r="505">
      <c r="J505" s="31"/>
    </row>
    <row r="506">
      <c r="J506" s="31"/>
    </row>
    <row r="507">
      <c r="J507" s="31"/>
    </row>
    <row r="508">
      <c r="J508" s="31"/>
    </row>
    <row r="509">
      <c r="J509" s="31"/>
    </row>
    <row r="510">
      <c r="J510" s="31"/>
    </row>
    <row r="511">
      <c r="J511" s="31"/>
    </row>
    <row r="512">
      <c r="J512" s="31"/>
    </row>
    <row r="513">
      <c r="J513" s="31"/>
    </row>
    <row r="514">
      <c r="J514" s="31"/>
    </row>
    <row r="515">
      <c r="J515" s="31"/>
    </row>
    <row r="516">
      <c r="J516" s="31"/>
    </row>
    <row r="517">
      <c r="J517" s="31"/>
    </row>
    <row r="518">
      <c r="J518" s="31"/>
    </row>
    <row r="519">
      <c r="J519" s="31"/>
    </row>
    <row r="520">
      <c r="J520" s="31"/>
    </row>
    <row r="521">
      <c r="J521" s="31"/>
    </row>
    <row r="522">
      <c r="J522" s="31"/>
    </row>
    <row r="523">
      <c r="J523" s="31"/>
    </row>
    <row r="524">
      <c r="J524" s="31"/>
    </row>
    <row r="525">
      <c r="J525" s="31"/>
    </row>
    <row r="526">
      <c r="J526" s="31"/>
    </row>
    <row r="527">
      <c r="J527" s="31"/>
    </row>
    <row r="528">
      <c r="J528" s="31"/>
    </row>
    <row r="529">
      <c r="J529" s="31"/>
    </row>
    <row r="530">
      <c r="J530" s="31"/>
    </row>
    <row r="531">
      <c r="J531" s="31"/>
    </row>
    <row r="532">
      <c r="J532" s="31"/>
    </row>
    <row r="533">
      <c r="J533" s="31"/>
    </row>
    <row r="534">
      <c r="J534" s="31"/>
    </row>
    <row r="535">
      <c r="J535" s="31"/>
    </row>
    <row r="536">
      <c r="J536" s="31"/>
    </row>
    <row r="537">
      <c r="J537" s="31"/>
    </row>
    <row r="538">
      <c r="J538" s="31"/>
    </row>
    <row r="539">
      <c r="J539" s="31"/>
    </row>
    <row r="540">
      <c r="J540" s="31"/>
    </row>
    <row r="541">
      <c r="J541" s="31"/>
    </row>
    <row r="542">
      <c r="J542" s="31"/>
    </row>
    <row r="543">
      <c r="J543" s="31"/>
    </row>
    <row r="544">
      <c r="J544" s="31"/>
    </row>
    <row r="545">
      <c r="J545" s="31"/>
    </row>
    <row r="546">
      <c r="J546" s="31"/>
    </row>
    <row r="547">
      <c r="J547" s="31"/>
    </row>
    <row r="548">
      <c r="J548" s="31"/>
    </row>
    <row r="549">
      <c r="J549" s="31"/>
    </row>
    <row r="550">
      <c r="J550" s="31"/>
    </row>
    <row r="551">
      <c r="J551" s="31"/>
    </row>
    <row r="552">
      <c r="J552" s="31"/>
    </row>
    <row r="553">
      <c r="J553" s="31"/>
    </row>
    <row r="554">
      <c r="J554" s="31"/>
    </row>
    <row r="555">
      <c r="J555" s="31"/>
    </row>
    <row r="556">
      <c r="J556" s="31"/>
    </row>
    <row r="557">
      <c r="J557" s="31"/>
    </row>
    <row r="558">
      <c r="J558" s="31"/>
    </row>
    <row r="559">
      <c r="J559" s="31"/>
    </row>
    <row r="560">
      <c r="J560" s="31"/>
    </row>
    <row r="561">
      <c r="J561" s="31"/>
    </row>
    <row r="562">
      <c r="J562" s="31"/>
    </row>
    <row r="563">
      <c r="J563" s="31"/>
    </row>
    <row r="564">
      <c r="J564" s="31"/>
    </row>
    <row r="565">
      <c r="J565" s="31"/>
    </row>
    <row r="566">
      <c r="J566" s="31"/>
    </row>
    <row r="567">
      <c r="J567" s="31"/>
    </row>
    <row r="568">
      <c r="J568" s="31"/>
    </row>
    <row r="569">
      <c r="J569" s="31"/>
    </row>
    <row r="570">
      <c r="J570" s="31"/>
    </row>
    <row r="571">
      <c r="J571" s="31"/>
    </row>
    <row r="572">
      <c r="J572" s="31"/>
    </row>
    <row r="573">
      <c r="J573" s="31"/>
    </row>
    <row r="574">
      <c r="J574" s="31"/>
    </row>
    <row r="575">
      <c r="J575" s="31"/>
    </row>
    <row r="576">
      <c r="J576" s="31"/>
    </row>
    <row r="577">
      <c r="J577" s="31"/>
    </row>
    <row r="578">
      <c r="J578" s="31"/>
    </row>
    <row r="579">
      <c r="J579" s="31"/>
    </row>
    <row r="580">
      <c r="J580" s="31"/>
    </row>
    <row r="581">
      <c r="J581" s="31"/>
    </row>
    <row r="582">
      <c r="J582" s="31"/>
    </row>
    <row r="583">
      <c r="J583" s="31"/>
    </row>
    <row r="584">
      <c r="J584" s="31"/>
    </row>
    <row r="585">
      <c r="J585" s="31"/>
    </row>
    <row r="586">
      <c r="J586" s="31"/>
    </row>
    <row r="587">
      <c r="J587" s="31"/>
    </row>
    <row r="588">
      <c r="J588" s="31"/>
    </row>
    <row r="589">
      <c r="J589" s="31"/>
    </row>
    <row r="590">
      <c r="J590" s="31"/>
    </row>
    <row r="591">
      <c r="J591" s="31"/>
    </row>
    <row r="592">
      <c r="J592" s="31"/>
    </row>
    <row r="593">
      <c r="J593" s="31"/>
    </row>
    <row r="594">
      <c r="J594" s="31"/>
    </row>
    <row r="595">
      <c r="J595" s="31"/>
    </row>
    <row r="596">
      <c r="J596" s="31"/>
    </row>
    <row r="597">
      <c r="J597" s="31"/>
    </row>
    <row r="598">
      <c r="J598" s="31"/>
    </row>
    <row r="599">
      <c r="J599" s="31"/>
    </row>
    <row r="600">
      <c r="J600" s="31"/>
    </row>
    <row r="601">
      <c r="J601" s="31"/>
    </row>
    <row r="602">
      <c r="J602" s="31"/>
    </row>
    <row r="603">
      <c r="J603" s="31"/>
    </row>
    <row r="604">
      <c r="J604" s="31"/>
    </row>
    <row r="605">
      <c r="J605" s="31"/>
    </row>
    <row r="606">
      <c r="J606" s="31"/>
    </row>
    <row r="607">
      <c r="J607" s="31"/>
    </row>
    <row r="608">
      <c r="J608" s="31"/>
    </row>
    <row r="609">
      <c r="J609" s="31"/>
    </row>
    <row r="610">
      <c r="J610" s="31"/>
    </row>
    <row r="611">
      <c r="J611" s="31"/>
    </row>
    <row r="612">
      <c r="J612" s="31"/>
    </row>
    <row r="613">
      <c r="J613" s="31"/>
    </row>
    <row r="614">
      <c r="J614" s="31"/>
    </row>
    <row r="615">
      <c r="J615" s="31"/>
    </row>
    <row r="616">
      <c r="J616" s="31"/>
    </row>
    <row r="617">
      <c r="J617" s="31"/>
    </row>
    <row r="618">
      <c r="J618" s="31"/>
    </row>
    <row r="619">
      <c r="J619" s="31"/>
    </row>
    <row r="620">
      <c r="J620" s="31"/>
    </row>
    <row r="621">
      <c r="J621" s="31"/>
    </row>
    <row r="622">
      <c r="J622" s="31"/>
    </row>
    <row r="623">
      <c r="J623" s="31"/>
    </row>
    <row r="624">
      <c r="J624" s="31"/>
    </row>
    <row r="625">
      <c r="J625" s="31"/>
    </row>
    <row r="626">
      <c r="J626" s="31"/>
    </row>
    <row r="627">
      <c r="J627" s="31"/>
    </row>
    <row r="628">
      <c r="J628" s="31"/>
    </row>
    <row r="629">
      <c r="J629" s="31"/>
    </row>
    <row r="630">
      <c r="J630" s="31"/>
    </row>
    <row r="631">
      <c r="J631" s="31"/>
    </row>
    <row r="632">
      <c r="J632" s="31"/>
    </row>
    <row r="633">
      <c r="J633" s="31"/>
    </row>
    <row r="634">
      <c r="J634" s="31"/>
    </row>
    <row r="635">
      <c r="J635" s="31"/>
    </row>
    <row r="636">
      <c r="J636" s="31"/>
    </row>
    <row r="637">
      <c r="J637" s="31"/>
    </row>
    <row r="638">
      <c r="J638" s="31"/>
    </row>
    <row r="639">
      <c r="J639" s="31"/>
    </row>
    <row r="640">
      <c r="J640" s="31"/>
    </row>
    <row r="641">
      <c r="J641" s="31"/>
    </row>
    <row r="642">
      <c r="J642" s="31"/>
    </row>
    <row r="643">
      <c r="J643" s="31"/>
    </row>
    <row r="644">
      <c r="J644" s="31"/>
    </row>
    <row r="645">
      <c r="J645" s="31"/>
    </row>
    <row r="646">
      <c r="J646" s="31"/>
    </row>
    <row r="647">
      <c r="J647" s="31"/>
    </row>
    <row r="648">
      <c r="J648" s="31"/>
    </row>
    <row r="649">
      <c r="J649" s="31"/>
    </row>
    <row r="650">
      <c r="J650" s="31"/>
    </row>
    <row r="651">
      <c r="J651" s="31"/>
    </row>
    <row r="652">
      <c r="J652" s="31"/>
    </row>
    <row r="653">
      <c r="J653" s="31"/>
    </row>
    <row r="654">
      <c r="J654" s="31"/>
    </row>
    <row r="655">
      <c r="J655" s="31"/>
    </row>
    <row r="656">
      <c r="J656" s="31"/>
    </row>
    <row r="657">
      <c r="J657" s="31"/>
    </row>
    <row r="658">
      <c r="J658" s="31"/>
    </row>
    <row r="659">
      <c r="J659" s="31"/>
    </row>
    <row r="660">
      <c r="J660" s="31"/>
    </row>
    <row r="661">
      <c r="J661" s="31"/>
    </row>
    <row r="662">
      <c r="J662" s="31"/>
    </row>
    <row r="663">
      <c r="J663" s="31"/>
    </row>
    <row r="664">
      <c r="J664" s="31"/>
    </row>
    <row r="665">
      <c r="J665" s="31"/>
    </row>
    <row r="666">
      <c r="J666" s="31"/>
    </row>
    <row r="667">
      <c r="J667" s="31"/>
    </row>
    <row r="668">
      <c r="J668" s="31"/>
    </row>
    <row r="669">
      <c r="J669" s="31"/>
    </row>
    <row r="670">
      <c r="J670" s="31"/>
    </row>
    <row r="671">
      <c r="J671" s="31"/>
    </row>
    <row r="672">
      <c r="J672" s="31"/>
    </row>
    <row r="673">
      <c r="J673" s="31"/>
    </row>
    <row r="674">
      <c r="J674" s="31"/>
    </row>
    <row r="675">
      <c r="J675" s="31"/>
    </row>
    <row r="676">
      <c r="J676" s="31"/>
    </row>
    <row r="677">
      <c r="J677" s="31"/>
    </row>
    <row r="678">
      <c r="J678" s="31"/>
    </row>
    <row r="679">
      <c r="J679" s="31"/>
    </row>
    <row r="680">
      <c r="J680" s="31"/>
    </row>
    <row r="681">
      <c r="J681" s="31"/>
    </row>
    <row r="682">
      <c r="J682" s="31"/>
    </row>
    <row r="683">
      <c r="J683" s="31"/>
    </row>
    <row r="684">
      <c r="J684" s="31"/>
    </row>
    <row r="685">
      <c r="J685" s="31"/>
    </row>
    <row r="686">
      <c r="J686" s="31"/>
    </row>
    <row r="687">
      <c r="J687" s="31"/>
    </row>
    <row r="688">
      <c r="J688" s="31"/>
    </row>
    <row r="689">
      <c r="J689" s="31"/>
    </row>
    <row r="690">
      <c r="J690" s="31"/>
    </row>
    <row r="691">
      <c r="J691" s="31"/>
    </row>
    <row r="692">
      <c r="J692" s="31"/>
    </row>
    <row r="693">
      <c r="J693" s="31"/>
    </row>
    <row r="694">
      <c r="J694" s="31"/>
    </row>
    <row r="695">
      <c r="J695" s="31"/>
    </row>
    <row r="696">
      <c r="J696" s="31"/>
    </row>
    <row r="697">
      <c r="J697" s="31"/>
    </row>
    <row r="698">
      <c r="J698" s="31"/>
    </row>
    <row r="699">
      <c r="J699" s="31"/>
    </row>
    <row r="700">
      <c r="J700" s="31"/>
    </row>
    <row r="701">
      <c r="J701" s="31"/>
    </row>
    <row r="702">
      <c r="J702" s="31"/>
    </row>
    <row r="703">
      <c r="J703" s="31"/>
    </row>
    <row r="704">
      <c r="J704" s="31"/>
    </row>
    <row r="705">
      <c r="J705" s="31"/>
    </row>
    <row r="706">
      <c r="J706" s="31"/>
    </row>
    <row r="707">
      <c r="J707" s="31"/>
    </row>
    <row r="708">
      <c r="J708" s="31"/>
    </row>
    <row r="709">
      <c r="J709" s="31"/>
    </row>
    <row r="710">
      <c r="J710" s="31"/>
    </row>
    <row r="711">
      <c r="J711" s="31"/>
    </row>
    <row r="712">
      <c r="J712" s="31"/>
    </row>
    <row r="713">
      <c r="J713" s="31"/>
    </row>
    <row r="714">
      <c r="J714" s="31"/>
    </row>
    <row r="715">
      <c r="J715" s="31"/>
    </row>
    <row r="716">
      <c r="J716" s="31"/>
    </row>
    <row r="717">
      <c r="J717" s="31"/>
    </row>
    <row r="718">
      <c r="J718" s="31"/>
    </row>
    <row r="719">
      <c r="J719" s="31"/>
    </row>
    <row r="720">
      <c r="J720" s="31"/>
    </row>
    <row r="721">
      <c r="J721" s="31"/>
    </row>
    <row r="722">
      <c r="J722" s="31"/>
    </row>
    <row r="723">
      <c r="J723" s="31"/>
    </row>
    <row r="724">
      <c r="J724" s="31"/>
    </row>
    <row r="725">
      <c r="J725" s="31"/>
    </row>
    <row r="726">
      <c r="J726" s="31"/>
    </row>
    <row r="727">
      <c r="J727" s="31"/>
    </row>
    <row r="728">
      <c r="J728" s="31"/>
    </row>
    <row r="729">
      <c r="J729" s="31"/>
    </row>
    <row r="730">
      <c r="J730" s="31"/>
    </row>
    <row r="731">
      <c r="J731" s="31"/>
    </row>
    <row r="732">
      <c r="J732" s="31"/>
    </row>
    <row r="733">
      <c r="J733" s="31"/>
    </row>
    <row r="734">
      <c r="J734" s="31"/>
    </row>
    <row r="735">
      <c r="J735" s="31"/>
    </row>
    <row r="736">
      <c r="J736" s="31"/>
    </row>
    <row r="737">
      <c r="J737" s="31"/>
    </row>
    <row r="738">
      <c r="J738" s="31"/>
    </row>
    <row r="739">
      <c r="J739" s="31"/>
    </row>
    <row r="740">
      <c r="J740" s="31"/>
    </row>
    <row r="741">
      <c r="J741" s="31"/>
    </row>
    <row r="742">
      <c r="J742" s="31"/>
    </row>
    <row r="743">
      <c r="J743" s="31"/>
    </row>
    <row r="744">
      <c r="J744" s="31"/>
    </row>
    <row r="745">
      <c r="J745" s="31"/>
    </row>
    <row r="746">
      <c r="J746" s="31"/>
    </row>
    <row r="747">
      <c r="J747" s="31"/>
    </row>
    <row r="748">
      <c r="J748" s="31"/>
    </row>
    <row r="749">
      <c r="J749" s="31"/>
    </row>
    <row r="750">
      <c r="J750" s="31"/>
    </row>
    <row r="751">
      <c r="J751" s="31"/>
    </row>
    <row r="752">
      <c r="J752" s="31"/>
    </row>
    <row r="753">
      <c r="J753" s="31"/>
    </row>
    <row r="754">
      <c r="J754" s="31"/>
    </row>
    <row r="755">
      <c r="J755" s="31"/>
    </row>
    <row r="756">
      <c r="J756" s="31"/>
    </row>
    <row r="757">
      <c r="J757" s="31"/>
    </row>
    <row r="758">
      <c r="J758" s="31"/>
    </row>
    <row r="759">
      <c r="J759" s="31"/>
    </row>
    <row r="760">
      <c r="J760" s="31"/>
    </row>
    <row r="761">
      <c r="J761" s="31"/>
    </row>
    <row r="762">
      <c r="J762" s="31"/>
    </row>
    <row r="763">
      <c r="J763" s="31"/>
    </row>
    <row r="764">
      <c r="J764" s="31"/>
    </row>
    <row r="765">
      <c r="J765" s="31"/>
    </row>
    <row r="766">
      <c r="J766" s="31"/>
    </row>
    <row r="767">
      <c r="J767" s="31"/>
    </row>
    <row r="768">
      <c r="J768" s="31"/>
    </row>
    <row r="769">
      <c r="J769" s="31"/>
    </row>
    <row r="770">
      <c r="J770" s="31"/>
    </row>
    <row r="771">
      <c r="J771" s="31"/>
    </row>
    <row r="772">
      <c r="J772" s="31"/>
    </row>
    <row r="773">
      <c r="J773" s="31"/>
    </row>
    <row r="774">
      <c r="J774" s="31"/>
    </row>
    <row r="775">
      <c r="J775" s="31"/>
    </row>
    <row r="776">
      <c r="J776" s="31"/>
    </row>
    <row r="777">
      <c r="J777" s="31"/>
    </row>
    <row r="778">
      <c r="J778" s="31"/>
    </row>
    <row r="779">
      <c r="J779" s="31"/>
    </row>
    <row r="780">
      <c r="J780" s="31"/>
    </row>
    <row r="781">
      <c r="J781" s="31"/>
    </row>
    <row r="782">
      <c r="J782" s="31"/>
    </row>
    <row r="783">
      <c r="J783" s="31"/>
    </row>
    <row r="784">
      <c r="J784" s="31"/>
    </row>
    <row r="785">
      <c r="J785" s="31"/>
    </row>
    <row r="786">
      <c r="J786" s="31"/>
    </row>
    <row r="787">
      <c r="J787" s="31"/>
    </row>
    <row r="788">
      <c r="J788" s="31"/>
    </row>
    <row r="789">
      <c r="J789" s="31"/>
    </row>
    <row r="790">
      <c r="J790" s="31"/>
    </row>
    <row r="791">
      <c r="J791" s="31"/>
    </row>
    <row r="792">
      <c r="J792" s="31"/>
    </row>
    <row r="793">
      <c r="J793" s="31"/>
    </row>
    <row r="794">
      <c r="J794" s="31"/>
    </row>
    <row r="795">
      <c r="J795" s="31"/>
    </row>
    <row r="796">
      <c r="J796" s="31"/>
    </row>
    <row r="797">
      <c r="J797" s="31"/>
    </row>
    <row r="798">
      <c r="J798" s="31"/>
    </row>
    <row r="799">
      <c r="J799" s="31"/>
    </row>
    <row r="800">
      <c r="J800" s="31"/>
    </row>
    <row r="801">
      <c r="J801" s="31"/>
    </row>
    <row r="802">
      <c r="J802" s="31"/>
    </row>
    <row r="803">
      <c r="J803" s="31"/>
    </row>
    <row r="804">
      <c r="J804" s="31"/>
    </row>
    <row r="805">
      <c r="J805" s="31"/>
    </row>
    <row r="806">
      <c r="J806" s="31"/>
    </row>
    <row r="807">
      <c r="J807" s="31"/>
    </row>
    <row r="808">
      <c r="J808" s="31"/>
    </row>
    <row r="809">
      <c r="J809" s="31"/>
    </row>
    <row r="810">
      <c r="J810" s="31"/>
    </row>
    <row r="811">
      <c r="J811" s="31"/>
    </row>
    <row r="812">
      <c r="J812" s="31"/>
    </row>
    <row r="813">
      <c r="J813" s="31"/>
    </row>
    <row r="814">
      <c r="J814" s="31"/>
    </row>
    <row r="815">
      <c r="J815" s="31"/>
    </row>
    <row r="816">
      <c r="J816" s="31"/>
    </row>
    <row r="817">
      <c r="J817" s="31"/>
    </row>
    <row r="818">
      <c r="J818" s="31"/>
    </row>
    <row r="819">
      <c r="J819" s="31"/>
    </row>
    <row r="820">
      <c r="J820" s="31"/>
    </row>
    <row r="821">
      <c r="J821" s="31"/>
    </row>
    <row r="822">
      <c r="J822" s="31"/>
    </row>
    <row r="823">
      <c r="J823" s="31"/>
    </row>
    <row r="824">
      <c r="J824" s="31"/>
    </row>
    <row r="825">
      <c r="J825" s="31"/>
    </row>
    <row r="826">
      <c r="J826" s="31"/>
    </row>
    <row r="827">
      <c r="J827" s="31"/>
    </row>
    <row r="828">
      <c r="J828" s="31"/>
    </row>
    <row r="829">
      <c r="J829" s="31"/>
    </row>
    <row r="830">
      <c r="J830" s="31"/>
    </row>
    <row r="831">
      <c r="J831" s="31"/>
    </row>
    <row r="832">
      <c r="J832" s="31"/>
    </row>
    <row r="833">
      <c r="J833" s="31"/>
    </row>
    <row r="834">
      <c r="J834" s="31"/>
    </row>
    <row r="835">
      <c r="J835" s="31"/>
    </row>
    <row r="836">
      <c r="J836" s="31"/>
    </row>
    <row r="837">
      <c r="J837" s="31"/>
    </row>
    <row r="838">
      <c r="J838" s="31"/>
    </row>
    <row r="839">
      <c r="J839" s="31"/>
    </row>
    <row r="840">
      <c r="J840" s="31"/>
    </row>
    <row r="841">
      <c r="J841" s="31"/>
    </row>
    <row r="842">
      <c r="J842" s="31"/>
    </row>
    <row r="843">
      <c r="J843" s="31"/>
    </row>
    <row r="844">
      <c r="J844" s="31"/>
    </row>
    <row r="845">
      <c r="J845" s="31"/>
    </row>
    <row r="846">
      <c r="J846" s="31"/>
    </row>
    <row r="847">
      <c r="J847" s="31"/>
    </row>
    <row r="848">
      <c r="J848" s="31"/>
    </row>
    <row r="849">
      <c r="J849" s="31"/>
    </row>
    <row r="850">
      <c r="J850" s="31"/>
    </row>
    <row r="851">
      <c r="J851" s="31"/>
    </row>
    <row r="852">
      <c r="J852" s="31"/>
    </row>
    <row r="853">
      <c r="J853" s="31"/>
    </row>
    <row r="854">
      <c r="J854" s="31"/>
    </row>
    <row r="855">
      <c r="J855" s="31"/>
    </row>
    <row r="856">
      <c r="J856" s="31"/>
    </row>
    <row r="857">
      <c r="J857" s="31"/>
    </row>
    <row r="858">
      <c r="J858" s="31"/>
    </row>
    <row r="859">
      <c r="J859" s="31"/>
    </row>
    <row r="860">
      <c r="J860" s="31"/>
    </row>
    <row r="861">
      <c r="J861" s="31"/>
    </row>
    <row r="862">
      <c r="J862" s="31"/>
    </row>
    <row r="863">
      <c r="J863" s="31"/>
    </row>
    <row r="864">
      <c r="J864" s="31"/>
    </row>
    <row r="865">
      <c r="J865" s="31"/>
    </row>
    <row r="866">
      <c r="J866" s="31"/>
    </row>
    <row r="867">
      <c r="J867" s="31"/>
    </row>
    <row r="868">
      <c r="J868" s="31"/>
    </row>
    <row r="869">
      <c r="J869" s="31"/>
    </row>
    <row r="870">
      <c r="J870" s="31"/>
    </row>
    <row r="871">
      <c r="J871" s="31"/>
    </row>
    <row r="872">
      <c r="J872" s="31"/>
    </row>
    <row r="873">
      <c r="J873" s="31"/>
    </row>
    <row r="874">
      <c r="J874" s="31"/>
    </row>
    <row r="875">
      <c r="J875" s="31"/>
    </row>
    <row r="876">
      <c r="J876" s="31"/>
    </row>
    <row r="877">
      <c r="J877" s="31"/>
    </row>
    <row r="878">
      <c r="J878" s="31"/>
    </row>
    <row r="879">
      <c r="J879" s="31"/>
    </row>
    <row r="880">
      <c r="J880" s="31"/>
    </row>
    <row r="881">
      <c r="J881" s="31"/>
    </row>
    <row r="882">
      <c r="J882" s="31"/>
    </row>
    <row r="883">
      <c r="J883" s="31"/>
    </row>
    <row r="884">
      <c r="J884" s="31"/>
    </row>
    <row r="885">
      <c r="J885" s="31"/>
    </row>
    <row r="886">
      <c r="J886" s="31"/>
    </row>
    <row r="887">
      <c r="J887" s="31"/>
    </row>
    <row r="888">
      <c r="J888" s="31"/>
    </row>
    <row r="889">
      <c r="J889" s="31"/>
    </row>
    <row r="890">
      <c r="J890" s="31"/>
    </row>
    <row r="891">
      <c r="J891" s="31"/>
    </row>
    <row r="892">
      <c r="J892" s="31"/>
    </row>
    <row r="893">
      <c r="J893" s="31"/>
    </row>
    <row r="894">
      <c r="J894" s="31"/>
    </row>
    <row r="895">
      <c r="J895" s="31"/>
    </row>
    <row r="896">
      <c r="J896" s="31"/>
    </row>
    <row r="897">
      <c r="J897" s="31"/>
    </row>
    <row r="898">
      <c r="J898" s="31"/>
    </row>
    <row r="899">
      <c r="J899" s="31"/>
    </row>
    <row r="900">
      <c r="J900" s="31"/>
    </row>
    <row r="901">
      <c r="J901" s="31"/>
    </row>
    <row r="902">
      <c r="J902" s="31"/>
    </row>
    <row r="903">
      <c r="J903" s="31"/>
    </row>
    <row r="904">
      <c r="J904" s="31"/>
    </row>
    <row r="905">
      <c r="J905" s="31"/>
    </row>
    <row r="906">
      <c r="J906" s="31"/>
    </row>
    <row r="907">
      <c r="J907" s="31"/>
    </row>
    <row r="908">
      <c r="J908" s="31"/>
    </row>
    <row r="909">
      <c r="J909" s="31"/>
    </row>
    <row r="910">
      <c r="J910" s="31"/>
    </row>
    <row r="911">
      <c r="J911" s="31"/>
    </row>
    <row r="912">
      <c r="J912" s="31"/>
    </row>
    <row r="913">
      <c r="J913" s="31"/>
    </row>
    <row r="914">
      <c r="J914" s="31"/>
    </row>
    <row r="915">
      <c r="J915" s="31"/>
    </row>
    <row r="916">
      <c r="J916" s="31"/>
    </row>
    <row r="917">
      <c r="J917" s="31"/>
    </row>
    <row r="918">
      <c r="J918" s="31"/>
    </row>
    <row r="919">
      <c r="J919" s="31"/>
    </row>
    <row r="920">
      <c r="J920" s="31"/>
    </row>
    <row r="921">
      <c r="J921" s="31"/>
    </row>
    <row r="922">
      <c r="J922" s="31"/>
    </row>
    <row r="923">
      <c r="J923" s="31"/>
    </row>
    <row r="924">
      <c r="J924" s="31"/>
    </row>
    <row r="925">
      <c r="J925" s="31"/>
    </row>
    <row r="926">
      <c r="J926" s="31"/>
    </row>
    <row r="927">
      <c r="J927" s="31"/>
    </row>
    <row r="928">
      <c r="J928" s="31"/>
    </row>
    <row r="929">
      <c r="J929" s="31"/>
    </row>
    <row r="930">
      <c r="J930" s="31"/>
    </row>
    <row r="931">
      <c r="J931" s="31"/>
    </row>
    <row r="932">
      <c r="J932" s="31"/>
    </row>
    <row r="933">
      <c r="J933" s="31"/>
    </row>
    <row r="934">
      <c r="J934" s="31"/>
    </row>
    <row r="935">
      <c r="J935" s="31"/>
    </row>
    <row r="936">
      <c r="J936" s="31"/>
    </row>
    <row r="937">
      <c r="J937" s="31"/>
    </row>
    <row r="938">
      <c r="J938" s="31"/>
    </row>
    <row r="939">
      <c r="J939" s="31"/>
    </row>
    <row r="940">
      <c r="J940" s="31"/>
    </row>
    <row r="941">
      <c r="J941" s="31"/>
    </row>
    <row r="942">
      <c r="J942" s="31"/>
    </row>
    <row r="943">
      <c r="J943" s="31"/>
    </row>
    <row r="944">
      <c r="J944" s="31"/>
    </row>
    <row r="945">
      <c r="J945" s="31"/>
    </row>
    <row r="946">
      <c r="J946" s="31"/>
    </row>
    <row r="947">
      <c r="J947" s="31"/>
    </row>
    <row r="948">
      <c r="J948" s="31"/>
    </row>
    <row r="949">
      <c r="J949" s="31"/>
    </row>
    <row r="950">
      <c r="J950" s="31"/>
    </row>
    <row r="951">
      <c r="J951" s="31"/>
    </row>
    <row r="952">
      <c r="J952" s="31"/>
    </row>
    <row r="953">
      <c r="J953" s="31"/>
    </row>
    <row r="954">
      <c r="J954" s="31"/>
    </row>
    <row r="955">
      <c r="J955" s="31"/>
    </row>
    <row r="956">
      <c r="J956" s="31"/>
    </row>
    <row r="957">
      <c r="J957" s="31"/>
    </row>
    <row r="958">
      <c r="J958" s="31"/>
    </row>
    <row r="959">
      <c r="J959" s="31"/>
    </row>
    <row r="960">
      <c r="J960" s="31"/>
    </row>
    <row r="961">
      <c r="J961" s="31"/>
    </row>
    <row r="962">
      <c r="J962" s="31"/>
    </row>
    <row r="963">
      <c r="J963" s="31"/>
    </row>
    <row r="964">
      <c r="J964" s="31"/>
    </row>
    <row r="965">
      <c r="J965" s="31"/>
    </row>
    <row r="966">
      <c r="J966" s="31"/>
    </row>
    <row r="967">
      <c r="J967" s="31"/>
    </row>
    <row r="968">
      <c r="J968" s="31"/>
    </row>
    <row r="969">
      <c r="J969" s="31"/>
    </row>
    <row r="970">
      <c r="J970" s="31"/>
    </row>
    <row r="971">
      <c r="J971" s="31"/>
    </row>
    <row r="972">
      <c r="J972" s="31"/>
    </row>
    <row r="973">
      <c r="J973" s="31"/>
    </row>
    <row r="974">
      <c r="J974" s="31"/>
    </row>
    <row r="975">
      <c r="J975" s="31"/>
    </row>
    <row r="976">
      <c r="J976" s="31"/>
    </row>
    <row r="977">
      <c r="J977" s="31"/>
    </row>
    <row r="978">
      <c r="J978" s="31"/>
    </row>
    <row r="979">
      <c r="J979" s="31"/>
    </row>
    <row r="980">
      <c r="J980" s="31"/>
    </row>
    <row r="981">
      <c r="J981" s="31"/>
    </row>
    <row r="982">
      <c r="J982" s="31"/>
    </row>
    <row r="983">
      <c r="J983" s="31"/>
    </row>
    <row r="984">
      <c r="J984" s="31"/>
    </row>
    <row r="985">
      <c r="J985" s="31"/>
    </row>
    <row r="986">
      <c r="J986" s="31"/>
    </row>
    <row r="987">
      <c r="J987" s="31"/>
    </row>
    <row r="988">
      <c r="J988" s="31"/>
    </row>
    <row r="989">
      <c r="J989" s="31"/>
    </row>
    <row r="990">
      <c r="J990" s="31"/>
    </row>
    <row r="991">
      <c r="J991" s="31"/>
    </row>
    <row r="992">
      <c r="J992" s="31"/>
    </row>
    <row r="993">
      <c r="J993" s="31"/>
    </row>
    <row r="994">
      <c r="J994" s="31"/>
    </row>
    <row r="995">
      <c r="J995" s="31"/>
    </row>
    <row r="996">
      <c r="J996" s="31"/>
    </row>
    <row r="997">
      <c r="J997" s="31"/>
    </row>
    <row r="998">
      <c r="J998" s="31"/>
    </row>
    <row r="999">
      <c r="J999" s="31"/>
    </row>
  </sheetData>
  <mergeCells count="5">
    <mergeCell ref="A1:A2"/>
    <mergeCell ref="B1:B2"/>
    <mergeCell ref="C1:C2"/>
    <mergeCell ref="D1:D2"/>
    <mergeCell ref="E1:E2"/>
  </mergeCells>
  <conditionalFormatting sqref="F3:AT38 AU3:AX31">
    <cfRule type="cellIs" dxfId="3" priority="1" operator="equal">
      <formula>1</formula>
    </cfRule>
  </conditionalFormatting>
  <conditionalFormatting sqref="F3:AT38 AU8:AV8 AU37:AX37">
    <cfRule type="cellIs" dxfId="4" priority="2" operator="equal">
      <formula>"R"</formula>
    </cfRule>
  </conditionalFormatting>
  <conditionalFormatting sqref="B3:B31 C3:C38 B37">
    <cfRule type="cellIs" dxfId="5" priority="3" operator="greaterThanOrEqual">
      <formula>3</formula>
    </cfRule>
  </conditionalFormatting>
  <conditionalFormatting sqref="B3:B24 B26:B31 B37">
    <cfRule type="cellIs" dxfId="6" priority="4" operator="lessThan">
      <formula>1</formula>
    </cfRule>
  </conditionalFormatting>
  <conditionalFormatting sqref="B3:B32 C3:C41 B37">
    <cfRule type="cellIs" dxfId="7" priority="5" operator="equal">
      <formula>0</formula>
    </cfRule>
  </conditionalFormatting>
  <conditionalFormatting sqref="B3:B31 C3:C38 B37">
    <cfRule type="cellIs" dxfId="8" priority="6" operator="lessThan">
      <formula>2</formula>
    </cfRule>
  </conditionalFormatting>
  <conditionalFormatting sqref="B3:B31 C3:C38 B37">
    <cfRule type="cellIs" dxfId="9" priority="7" operator="lessThan">
      <formula>3</formula>
    </cfRule>
  </conditionalFormatting>
  <conditionalFormatting sqref="B3:B32 C3:C41 B37">
    <cfRule type="containsBlanks" dxfId="6" priority="8">
      <formula>LEN(TRIM(B3))=0</formula>
    </cfRule>
  </conditionalFormatting>
  <conditionalFormatting sqref="F3:AT38 AU8:AV8 AU37:AX37">
    <cfRule type="cellIs" dxfId="10" priority="9" operator="equal">
      <formula>"R2"</formula>
    </cfRule>
  </conditionalFormatting>
  <conditionalFormatting sqref="F32:N32 F39:AX41">
    <cfRule type="cellIs" dxfId="7" priority="10" operator="lessThan">
      <formula>1</formula>
    </cfRule>
  </conditionalFormatting>
  <conditionalFormatting sqref="F32:N32 F39:AX39">
    <cfRule type="cellIs" dxfId="3" priority="11" operator="equal">
      <formula>1</formula>
    </cfRule>
  </conditionalFormatting>
  <conditionalFormatting sqref="F32:N32 F39:AX41">
    <cfRule type="cellIs" dxfId="11" priority="12" operator="greaterThan">
      <formula>1</formula>
    </cfRule>
  </conditionalFormatting>
  <conditionalFormatting sqref="D3:E41">
    <cfRule type="cellIs" dxfId="9" priority="13" operator="equal">
      <formula>1</formula>
    </cfRule>
  </conditionalFormatting>
  <conditionalFormatting sqref="F4:AQ5 F25:AX25 AB31:AB36 F33:AA36 AC33:AX36 F38:AX41">
    <cfRule type="cellIs" dxfId="7" priority="14" operator="lessThan">
      <formula>1</formula>
    </cfRule>
  </conditionalFormatting>
  <conditionalFormatting sqref="F4:AQ5 F25:AX25 AB31:AB36 F33:AA36 AC33:AX36 F38:AX41">
    <cfRule type="cellIs" dxfId="12" priority="15" operator="equal">
      <formula>1</formula>
    </cfRule>
  </conditionalFormatting>
  <conditionalFormatting sqref="F4:AQ5 F25:AX25 AB31:AB36 F33:AA36 AC33:AX36 F38:AX41">
    <cfRule type="cellIs" dxfId="11" priority="16" operator="greaterThan">
      <formula>1</formula>
    </cfRule>
  </conditionalFormatting>
  <conditionalFormatting sqref="D3:D41 E3:E38">
    <cfRule type="cellIs" dxfId="7" priority="17" operator="equal">
      <formula>0</formula>
    </cfRule>
  </conditionalFormatting>
  <conditionalFormatting sqref="D3:D41 E3:E38">
    <cfRule type="cellIs" dxfId="4" priority="18" operator="equal">
      <formula>2</formula>
    </cfRule>
  </conditionalFormatting>
  <conditionalFormatting sqref="E3:E41">
    <cfRule type="cellIs" dxfId="7" priority="19" operator="equal">
      <formula>0</formula>
    </cfRule>
  </conditionalFormatting>
  <conditionalFormatting sqref="E3:E41">
    <cfRule type="cellIs" dxfId="4" priority="20" operator="greaterThanOrEqual">
      <formula>2</formula>
    </cfRule>
  </conditionalFormatting>
  <conditionalFormatting sqref="C44">
    <cfRule type="notContainsBlanks" dxfId="3" priority="21">
      <formula>LEN(TRIM(C44))&gt;0</formula>
    </cfRule>
  </conditionalFormatting>
  <conditionalFormatting sqref="AR2:AX2">
    <cfRule type="containsText" dxfId="13" priority="22" operator="containsText" text="(PAM)">
      <formula>NOT(ISERROR(SEARCH(("(PAM)"),(AR2))))</formula>
    </cfRule>
  </conditionalFormatting>
  <conditionalFormatting sqref="AR2:AX2">
    <cfRule type="containsText" dxfId="13" priority="23" operator="containsText" text="(PPM)">
      <formula>NOT(ISERROR(SEARCH(("(PPM)"),(AR2))))</formula>
    </cfRule>
  </conditionalFormatting>
  <conditionalFormatting sqref="F2:AX2">
    <cfRule type="containsText" dxfId="13" priority="24" operator="containsText" text="PAM">
      <formula>NOT(ISERROR(SEARCH(("PAM"),(F2))))</formula>
    </cfRule>
  </conditionalFormatting>
  <conditionalFormatting sqref="F2:AX2">
    <cfRule type="containsText" dxfId="13" priority="25" operator="containsText" text="PPM">
      <formula>NOT(ISERROR(SEARCH(("PPM"),(F2))))</formula>
    </cfRule>
  </conditionalFormatting>
  <conditionalFormatting sqref="F2:AX2">
    <cfRule type="containsText" dxfId="11" priority="26" operator="containsText" text="(AM)">
      <formula>NOT(ISERROR(SEARCH(("(AM)"),(F2))))</formula>
    </cfRule>
  </conditionalFormatting>
  <conditionalFormatting sqref="F2:AX2">
    <cfRule type="containsText" dxfId="7" priority="27" operator="containsText" text="(PM)">
      <formula>NOT(ISERROR(SEARCH(("(PM)"),(F2))))</formula>
    </cfRule>
  </conditionalFormatting>
  <conditionalFormatting sqref="F2:AX2">
    <cfRule type="notContainsText" dxfId="15" priority="28" operator="notContains" text="(AM)">
      <formula>ISERROR(SEARCH(("(AM)"),(F2)))</formula>
    </cfRule>
  </conditionalFormatting>
  <conditionalFormatting sqref="F2:AX2">
    <cfRule type="notContainsText" dxfId="15" priority="29" operator="notContains" text="(PM)">
      <formula>ISERROR(SEARCH(("(PM)"),(F2)))</formula>
    </cfRule>
  </conditionalFormatting>
  <conditionalFormatting sqref="F2:AX2">
    <cfRule type="notContainsText" dxfId="15" priority="30" operator="notContains" text="(PM)">
      <formula>ISERROR(SEARCH(("(PM)"),(F2)))</formula>
    </cfRule>
  </conditionalFormatting>
  <drawing r:id="rId2"/>
  <legacyDrawing r:id="rId3"/>
  <tableParts count="2">
    <tablePart r:id="rId6"/>
    <tablePart r:id="rId7"/>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26.75"/>
    <col customWidth="1" hidden="1" min="2" max="2" width="11.38"/>
    <col customWidth="1" min="4" max="4" width="14.13"/>
    <col customWidth="1" min="6" max="11" width="8.63"/>
    <col customWidth="1" min="12" max="12" width="8.38"/>
    <col customWidth="1" min="13" max="13" width="8.25"/>
    <col customWidth="1" min="14" max="44" width="8.63"/>
    <col customWidth="1" min="45" max="45" width="9.5"/>
    <col customWidth="1" hidden="1" min="46" max="51" width="9.5"/>
  </cols>
  <sheetData>
    <row r="1">
      <c r="A1" s="1" t="s">
        <v>0</v>
      </c>
      <c r="B1" s="1" t="s">
        <v>1</v>
      </c>
      <c r="C1" s="1" t="s">
        <v>2</v>
      </c>
      <c r="D1" s="1" t="s">
        <v>3</v>
      </c>
      <c r="E1" s="1" t="s">
        <v>4</v>
      </c>
      <c r="F1" s="2" t="s">
        <v>426</v>
      </c>
      <c r="G1" s="2" t="s">
        <v>427</v>
      </c>
      <c r="H1" s="2" t="s">
        <v>420</v>
      </c>
      <c r="I1" s="2" t="s">
        <v>422</v>
      </c>
      <c r="J1" s="2" t="s">
        <v>422</v>
      </c>
      <c r="K1" s="2" t="s">
        <v>423</v>
      </c>
      <c r="L1" s="2" t="s">
        <v>423</v>
      </c>
      <c r="M1" s="2" t="s">
        <v>424</v>
      </c>
      <c r="N1" s="2" t="s">
        <v>425</v>
      </c>
      <c r="O1" s="2" t="s">
        <v>426</v>
      </c>
      <c r="P1" s="2" t="s">
        <v>427</v>
      </c>
      <c r="Q1" s="3" t="s">
        <v>420</v>
      </c>
      <c r="R1" s="3" t="s">
        <v>422</v>
      </c>
      <c r="S1" s="3" t="s">
        <v>422</v>
      </c>
      <c r="T1" s="3" t="s">
        <v>423</v>
      </c>
      <c r="U1" s="3" t="s">
        <v>423</v>
      </c>
      <c r="V1" s="3" t="s">
        <v>424</v>
      </c>
      <c r="W1" s="3" t="s">
        <v>425</v>
      </c>
      <c r="X1" s="3" t="s">
        <v>426</v>
      </c>
      <c r="Y1" s="3" t="s">
        <v>427</v>
      </c>
      <c r="Z1" s="3" t="s">
        <v>420</v>
      </c>
      <c r="AA1" s="3" t="s">
        <v>422</v>
      </c>
      <c r="AB1" s="3" t="s">
        <v>422</v>
      </c>
      <c r="AC1" s="3" t="s">
        <v>423</v>
      </c>
      <c r="AD1" s="3" t="s">
        <v>423</v>
      </c>
      <c r="AE1" s="3" t="s">
        <v>424</v>
      </c>
      <c r="AF1" s="3" t="s">
        <v>424</v>
      </c>
      <c r="AG1" s="3" t="s">
        <v>425</v>
      </c>
      <c r="AH1" s="3" t="s">
        <v>426</v>
      </c>
      <c r="AI1" s="3" t="s">
        <v>427</v>
      </c>
      <c r="AJ1" s="3" t="s">
        <v>420</v>
      </c>
      <c r="AK1" s="3" t="s">
        <v>422</v>
      </c>
      <c r="AL1" s="3" t="s">
        <v>422</v>
      </c>
      <c r="AM1" s="3" t="s">
        <v>423</v>
      </c>
      <c r="AN1" s="3" t="s">
        <v>423</v>
      </c>
      <c r="AO1" s="3" t="s">
        <v>424</v>
      </c>
      <c r="AP1" s="3" t="s">
        <v>425</v>
      </c>
      <c r="AQ1" s="3" t="s">
        <v>426</v>
      </c>
      <c r="AR1" s="3" t="s">
        <v>427</v>
      </c>
      <c r="AS1" s="3" t="s">
        <v>420</v>
      </c>
      <c r="AT1" s="54" t="s">
        <v>423</v>
      </c>
      <c r="AU1" s="54" t="s">
        <v>424</v>
      </c>
      <c r="AV1" s="54" t="s">
        <v>425</v>
      </c>
      <c r="AW1" s="55" t="s">
        <v>8</v>
      </c>
      <c r="AX1" s="55" t="s">
        <v>7</v>
      </c>
      <c r="AY1" s="55" t="s">
        <v>8</v>
      </c>
    </row>
    <row r="2">
      <c r="F2" s="87">
        <v>45931.0</v>
      </c>
      <c r="G2" s="87">
        <v>45932.0</v>
      </c>
      <c r="H2" s="87">
        <v>45933.0</v>
      </c>
      <c r="I2" s="88" t="s">
        <v>482</v>
      </c>
      <c r="J2" s="88" t="s">
        <v>483</v>
      </c>
      <c r="K2" s="88" t="s">
        <v>484</v>
      </c>
      <c r="L2" s="88" t="s">
        <v>485</v>
      </c>
      <c r="M2" s="87">
        <v>45936.0</v>
      </c>
      <c r="N2" s="87">
        <v>45937.0</v>
      </c>
      <c r="O2" s="87">
        <v>45938.0</v>
      </c>
      <c r="P2" s="87">
        <v>45939.0</v>
      </c>
      <c r="Q2" s="87">
        <v>45940.0</v>
      </c>
      <c r="R2" s="88" t="s">
        <v>486</v>
      </c>
      <c r="S2" s="88" t="s">
        <v>487</v>
      </c>
      <c r="T2" s="88" t="s">
        <v>488</v>
      </c>
      <c r="U2" s="88" t="s">
        <v>489</v>
      </c>
      <c r="V2" s="87">
        <v>45943.0</v>
      </c>
      <c r="W2" s="87">
        <v>45944.0</v>
      </c>
      <c r="X2" s="87">
        <v>45945.0</v>
      </c>
      <c r="Y2" s="87">
        <v>45946.0</v>
      </c>
      <c r="Z2" s="87">
        <v>45947.0</v>
      </c>
      <c r="AA2" s="88" t="s">
        <v>490</v>
      </c>
      <c r="AB2" s="88" t="s">
        <v>491</v>
      </c>
      <c r="AC2" s="88" t="s">
        <v>492</v>
      </c>
      <c r="AD2" s="88" t="s">
        <v>493</v>
      </c>
      <c r="AE2" s="88" t="s">
        <v>494</v>
      </c>
      <c r="AF2" s="88" t="s">
        <v>495</v>
      </c>
      <c r="AG2" s="87">
        <v>45951.0</v>
      </c>
      <c r="AH2" s="87">
        <v>45952.0</v>
      </c>
      <c r="AI2" s="87">
        <v>45953.0</v>
      </c>
      <c r="AJ2" s="87">
        <v>45954.0</v>
      </c>
      <c r="AK2" s="88" t="s">
        <v>496</v>
      </c>
      <c r="AL2" s="88" t="s">
        <v>497</v>
      </c>
      <c r="AM2" s="88" t="s">
        <v>498</v>
      </c>
      <c r="AN2" s="88" t="s">
        <v>499</v>
      </c>
      <c r="AO2" s="87">
        <v>45957.0</v>
      </c>
      <c r="AP2" s="87">
        <v>45958.0</v>
      </c>
      <c r="AQ2" s="87">
        <v>45959.0</v>
      </c>
      <c r="AR2" s="87">
        <v>45960.0</v>
      </c>
      <c r="AS2" s="87">
        <v>45961.0</v>
      </c>
      <c r="AT2" s="51"/>
      <c r="AU2" s="51"/>
      <c r="AV2" s="51" t="s">
        <v>252</v>
      </c>
      <c r="AW2" s="51" t="s">
        <v>253</v>
      </c>
      <c r="AX2" s="51" t="s">
        <v>252</v>
      </c>
      <c r="AY2" s="51" t="s">
        <v>253</v>
      </c>
    </row>
    <row r="3">
      <c r="A3" s="39" t="s">
        <v>500</v>
      </c>
      <c r="B3" s="40">
        <f t="shared" ref="B3:B8" si="1">SUM(C3:D3)</f>
        <v>3</v>
      </c>
      <c r="C3" s="10">
        <f t="shared" ref="C3:C17" si="2">SUM(F3:AS3)</f>
        <v>2</v>
      </c>
      <c r="D3" s="11">
        <f t="array" ref="D3">SUM(IF(F3:AS3="R",1,0))</f>
        <v>1</v>
      </c>
      <c r="E3" s="11">
        <f t="array" ref="E3">SUM(IF(F3:AS3="R2",1,0))</f>
        <v>1</v>
      </c>
      <c r="F3" s="16"/>
      <c r="G3" s="16"/>
      <c r="H3" s="16"/>
      <c r="I3" s="121"/>
      <c r="J3" s="24">
        <v>1.0</v>
      </c>
      <c r="K3" s="121"/>
      <c r="N3" s="16"/>
      <c r="R3" s="121"/>
      <c r="S3" s="24" t="s">
        <v>39</v>
      </c>
      <c r="T3" s="121"/>
      <c r="V3" s="16"/>
      <c r="W3" s="16"/>
      <c r="Z3" s="16"/>
      <c r="AB3" s="121"/>
      <c r="AC3" s="121"/>
      <c r="AD3" s="121"/>
      <c r="AE3" s="24">
        <v>1.0</v>
      </c>
      <c r="AI3" s="16"/>
      <c r="AL3" s="17" t="s">
        <v>40</v>
      </c>
    </row>
    <row r="4">
      <c r="A4" s="25" t="s">
        <v>501</v>
      </c>
      <c r="B4" s="10">
        <f t="shared" si="1"/>
        <v>1</v>
      </c>
      <c r="C4" s="10">
        <f t="shared" si="2"/>
        <v>1</v>
      </c>
      <c r="D4" s="11">
        <f t="array" ref="D4">SUM(IF(F4:AS4="R",1,0))</f>
        <v>0</v>
      </c>
      <c r="E4" s="11">
        <f t="array" ref="E4">SUM(IF(F4:AS4="R2",1,0))</f>
        <v>2</v>
      </c>
      <c r="I4" s="17" t="s">
        <v>40</v>
      </c>
      <c r="AF4" s="17" t="s">
        <v>40</v>
      </c>
      <c r="AR4" s="17">
        <v>1.0</v>
      </c>
    </row>
    <row r="5">
      <c r="A5" s="25" t="s">
        <v>502</v>
      </c>
      <c r="B5" s="10">
        <f t="shared" si="1"/>
        <v>2</v>
      </c>
      <c r="C5" s="10">
        <f t="shared" si="2"/>
        <v>1</v>
      </c>
      <c r="D5" s="11">
        <f t="array" ref="D5">SUM(IF(F5:AS5="R",1,0))</f>
        <v>1</v>
      </c>
      <c r="E5" s="11">
        <f t="array" ref="E5">SUM(IF(F5:AS5="R2",1,0))</f>
        <v>1</v>
      </c>
      <c r="F5" s="16"/>
      <c r="G5" s="16"/>
      <c r="H5" s="16"/>
      <c r="M5" s="121"/>
      <c r="N5" s="121"/>
      <c r="O5" s="24">
        <v>1.0</v>
      </c>
      <c r="P5" s="24"/>
      <c r="R5" s="78"/>
      <c r="S5" s="78"/>
      <c r="T5" s="78"/>
      <c r="U5" s="78"/>
      <c r="V5" s="121"/>
      <c r="W5" s="24" t="s">
        <v>40</v>
      </c>
      <c r="X5" s="121"/>
      <c r="Y5" s="121"/>
      <c r="AG5" s="24" t="s">
        <v>39</v>
      </c>
      <c r="AH5" s="121"/>
      <c r="AI5" s="121"/>
      <c r="AO5" s="24"/>
      <c r="AP5" s="121"/>
      <c r="AQ5" s="24"/>
      <c r="AR5" s="121"/>
    </row>
    <row r="6">
      <c r="A6" s="14" t="s">
        <v>503</v>
      </c>
      <c r="B6" s="10">
        <f t="shared" si="1"/>
        <v>2</v>
      </c>
      <c r="C6" s="10">
        <f t="shared" si="2"/>
        <v>1</v>
      </c>
      <c r="D6" s="11">
        <f t="array" ref="D6">SUM(IF(F6:AS6="R",1,0))</f>
        <v>1</v>
      </c>
      <c r="E6" s="11">
        <f t="array" ref="E6">SUM(IF(F6:AS6="R2",1,0))</f>
        <v>1</v>
      </c>
      <c r="F6" s="16"/>
      <c r="G6" s="16"/>
      <c r="H6" s="16"/>
      <c r="M6" s="16"/>
      <c r="N6" s="24" t="s">
        <v>40</v>
      </c>
      <c r="O6" s="16"/>
      <c r="P6" s="16"/>
      <c r="T6" s="16"/>
      <c r="U6" s="16"/>
      <c r="V6" s="24">
        <v>1.0</v>
      </c>
      <c r="W6" s="121"/>
      <c r="X6" s="16"/>
      <c r="Y6" s="16"/>
      <c r="AG6" s="121"/>
      <c r="AH6" s="16"/>
      <c r="AI6" s="16"/>
      <c r="AO6" s="24" t="s">
        <v>39</v>
      </c>
      <c r="AP6" s="121"/>
      <c r="AQ6" s="16"/>
      <c r="AR6" s="16"/>
    </row>
    <row r="7">
      <c r="A7" s="14" t="s">
        <v>504</v>
      </c>
      <c r="B7" s="10">
        <f t="shared" si="1"/>
        <v>2</v>
      </c>
      <c r="C7" s="10">
        <f t="shared" si="2"/>
        <v>1</v>
      </c>
      <c r="D7" s="11">
        <f t="array" ref="D7">SUM(IF(F7:AS7="R",1,0))</f>
        <v>1</v>
      </c>
      <c r="E7" s="11">
        <f t="array" ref="E7">SUM(IF(F7:AS7="R2",1,0))</f>
        <v>1</v>
      </c>
      <c r="F7" s="16"/>
      <c r="G7" s="16"/>
      <c r="H7" s="16"/>
      <c r="I7" s="16"/>
      <c r="J7" s="16"/>
      <c r="K7" s="16"/>
      <c r="L7" s="16"/>
      <c r="M7" s="16"/>
      <c r="N7" s="24" t="s">
        <v>39</v>
      </c>
      <c r="O7" s="16"/>
      <c r="P7" s="16"/>
      <c r="Q7" s="16"/>
      <c r="R7" s="16"/>
      <c r="S7" s="16"/>
      <c r="T7" s="16"/>
      <c r="U7" s="16"/>
      <c r="V7" s="16"/>
      <c r="W7" s="121"/>
      <c r="X7" s="16"/>
      <c r="Y7" s="16"/>
      <c r="AA7" s="16"/>
      <c r="AB7" s="16"/>
      <c r="AC7" s="16"/>
      <c r="AD7" s="16"/>
      <c r="AE7" s="16"/>
      <c r="AF7" s="16"/>
      <c r="AG7" s="24" t="s">
        <v>40</v>
      </c>
      <c r="AH7" s="16"/>
      <c r="AI7" s="16"/>
      <c r="AO7" s="24">
        <v>1.0</v>
      </c>
      <c r="AP7" s="121"/>
      <c r="AQ7" s="16"/>
      <c r="AR7" s="16"/>
    </row>
    <row r="8">
      <c r="A8" s="122" t="s">
        <v>505</v>
      </c>
      <c r="B8" s="10">
        <f t="shared" si="1"/>
        <v>4</v>
      </c>
      <c r="C8" s="10">
        <f t="shared" si="2"/>
        <v>3</v>
      </c>
      <c r="D8" s="11">
        <f t="array" ref="D8">SUM(IF(F8:AS8="R",1,0))</f>
        <v>1</v>
      </c>
      <c r="E8" s="11">
        <f t="array" ref="E8">SUM(IF(F8:AS8="R2",1,0))</f>
        <v>1</v>
      </c>
      <c r="H8" s="17">
        <v>1.0</v>
      </c>
      <c r="S8" s="17">
        <v>1.0</v>
      </c>
      <c r="V8" s="17" t="s">
        <v>40</v>
      </c>
      <c r="Z8" s="17" t="s">
        <v>39</v>
      </c>
      <c r="AI8" s="17">
        <v>1.0</v>
      </c>
    </row>
    <row r="9">
      <c r="A9" s="27" t="s">
        <v>469</v>
      </c>
      <c r="B9" s="10"/>
      <c r="C9" s="10">
        <f t="shared" si="2"/>
        <v>0</v>
      </c>
      <c r="D9" s="11">
        <f t="array" ref="D9">SUM(IF(F9:AS9="R",1,0))</f>
        <v>0</v>
      </c>
      <c r="E9" s="11">
        <f t="array" ref="E9">SUM(IF(F9:AS9="R2",1,0))</f>
        <v>0</v>
      </c>
      <c r="F9" s="16"/>
      <c r="G9" s="16"/>
      <c r="H9" s="16"/>
      <c r="M9" s="16"/>
      <c r="N9" s="121"/>
      <c r="O9" s="121"/>
      <c r="P9" s="121"/>
      <c r="V9" s="121"/>
      <c r="W9" s="121"/>
      <c r="X9" s="121"/>
      <c r="Y9" s="121"/>
      <c r="Z9" s="16"/>
      <c r="AE9" s="16"/>
      <c r="AF9" s="16"/>
      <c r="AG9" s="16"/>
      <c r="AH9" s="121"/>
      <c r="AI9" s="121"/>
      <c r="AO9" s="16"/>
      <c r="AP9" s="121"/>
      <c r="AQ9" s="16"/>
      <c r="AR9" s="16"/>
      <c r="AS9" s="16"/>
    </row>
    <row r="10">
      <c r="A10" s="125" t="s">
        <v>506</v>
      </c>
      <c r="B10" s="10">
        <f>SUM(C10:D10)</f>
        <v>2</v>
      </c>
      <c r="C10" s="10">
        <f t="shared" si="2"/>
        <v>1</v>
      </c>
      <c r="D10" s="11">
        <f t="array" ref="D10">SUM(IF(F10:AS10="R",1,0))</f>
        <v>1</v>
      </c>
      <c r="E10" s="11">
        <f t="array" ref="E10">SUM(IF(F10:AS10="R2",1,0))</f>
        <v>1</v>
      </c>
      <c r="F10" s="16"/>
      <c r="G10" s="16"/>
      <c r="H10" s="16"/>
      <c r="K10" s="17" t="s">
        <v>40</v>
      </c>
      <c r="M10" s="17" t="s">
        <v>39</v>
      </c>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S10" s="17">
        <v>1.0</v>
      </c>
    </row>
    <row r="11">
      <c r="A11" s="125" t="s">
        <v>507</v>
      </c>
      <c r="B11" s="10"/>
      <c r="C11" s="10">
        <f t="shared" si="2"/>
        <v>1</v>
      </c>
      <c r="D11" s="11">
        <f t="array" ref="D11">SUM(IF(F11:AS11="R",1,0))</f>
        <v>2</v>
      </c>
      <c r="E11" s="11">
        <f t="array" ref="E11">SUM(IF(F11:AS11="R2",1,0))</f>
        <v>1</v>
      </c>
      <c r="G11" s="17" t="s">
        <v>39</v>
      </c>
      <c r="AE11" s="17" t="s">
        <v>40</v>
      </c>
      <c r="AH11" s="17">
        <v>1.0</v>
      </c>
      <c r="AP11" s="17" t="s">
        <v>39</v>
      </c>
    </row>
    <row r="12">
      <c r="A12" s="126" t="s">
        <v>508</v>
      </c>
      <c r="B12" s="10"/>
      <c r="C12" s="10">
        <f t="shared" si="2"/>
        <v>1</v>
      </c>
      <c r="D12" s="11">
        <f t="array" ref="D12">SUM(IF(F12:AS12="R",1,0))</f>
        <v>1</v>
      </c>
      <c r="E12" s="11">
        <f t="array" ref="E12">SUM(IF(F12:AS12="R2",1,0))</f>
        <v>0</v>
      </c>
      <c r="F12" s="16"/>
      <c r="G12" s="16"/>
      <c r="H12" s="16"/>
      <c r="Q12" s="17" t="s">
        <v>39</v>
      </c>
      <c r="Z12" s="16"/>
      <c r="AA12" s="16"/>
      <c r="AB12" s="16"/>
      <c r="AC12" s="16"/>
      <c r="AD12" s="16"/>
      <c r="AE12" s="16"/>
      <c r="AF12" s="16"/>
      <c r="AI12" s="16"/>
      <c r="AJ12" s="17">
        <v>1.0</v>
      </c>
    </row>
    <row r="13">
      <c r="A13" s="127" t="s">
        <v>509</v>
      </c>
      <c r="B13" s="10"/>
      <c r="C13" s="10">
        <f t="shared" si="2"/>
        <v>1</v>
      </c>
      <c r="D13" s="11">
        <f t="array" ref="D13">SUM(IF(F13:AS13="R",1,0))</f>
        <v>1</v>
      </c>
      <c r="E13" s="11">
        <f t="array" ref="E13">SUM(IF(F13:AS13="R2",1,0))</f>
        <v>1</v>
      </c>
      <c r="H13" s="16"/>
      <c r="N13" s="17"/>
      <c r="Z13" s="16"/>
      <c r="AJ13" s="17" t="s">
        <v>39</v>
      </c>
      <c r="AQ13" s="17">
        <v>1.0</v>
      </c>
      <c r="AS13" s="17" t="s">
        <v>40</v>
      </c>
    </row>
    <row r="14">
      <c r="A14" s="128" t="s">
        <v>510</v>
      </c>
      <c r="B14" s="10">
        <f>SUM(C14:D14)</f>
        <v>2</v>
      </c>
      <c r="C14" s="10">
        <f t="shared" si="2"/>
        <v>1</v>
      </c>
      <c r="D14" s="11">
        <f t="array" ref="D14">SUM(IF(F14:AS14="R",1,0))</f>
        <v>1</v>
      </c>
      <c r="E14" s="11">
        <f t="array" ref="E14">SUM(IF(F14:AS14="R2",1,0))</f>
        <v>1</v>
      </c>
      <c r="F14" s="16"/>
      <c r="G14" s="16"/>
      <c r="H14" s="16"/>
      <c r="J14" s="16"/>
      <c r="L14" s="16"/>
      <c r="M14" s="16"/>
      <c r="N14" s="16"/>
      <c r="O14" s="16"/>
      <c r="P14" s="16"/>
      <c r="Q14" s="16"/>
      <c r="R14" s="16"/>
      <c r="S14" s="16"/>
      <c r="T14" s="21"/>
      <c r="U14" s="16"/>
      <c r="V14" s="16"/>
      <c r="W14" s="16"/>
      <c r="X14" s="16"/>
      <c r="Y14" s="16"/>
      <c r="Z14" s="16"/>
      <c r="AB14" s="16"/>
      <c r="AD14" s="16"/>
      <c r="AE14" s="17" t="s">
        <v>39</v>
      </c>
      <c r="AF14" s="16"/>
      <c r="AG14" s="16"/>
      <c r="AH14" s="16"/>
      <c r="AI14" s="16"/>
      <c r="AJ14" s="16"/>
      <c r="AK14" s="17" t="s">
        <v>40</v>
      </c>
      <c r="AL14" s="16"/>
      <c r="AM14" s="17">
        <v>1.0</v>
      </c>
      <c r="AN14" s="16"/>
      <c r="AO14" s="16"/>
      <c r="AP14" s="16"/>
      <c r="AQ14" s="16"/>
      <c r="AR14" s="16"/>
      <c r="AS14" s="16"/>
    </row>
    <row r="15">
      <c r="A15" s="20" t="s">
        <v>471</v>
      </c>
      <c r="B15" s="10"/>
      <c r="C15" s="10">
        <f t="shared" si="2"/>
        <v>1</v>
      </c>
      <c r="D15" s="11">
        <f t="array" ref="D15">SUM(IF(F15:AS15="R",1,0))</f>
        <v>2</v>
      </c>
      <c r="E15" s="11">
        <f t="array" ref="E15">SUM(IF(F15:AS15="R2",1,0))</f>
        <v>1</v>
      </c>
      <c r="F15" s="16"/>
      <c r="G15" s="16"/>
      <c r="H15" s="16"/>
      <c r="I15" s="16"/>
      <c r="J15" s="16"/>
      <c r="K15" s="16"/>
      <c r="L15" s="16"/>
      <c r="M15" s="121"/>
      <c r="N15" s="24">
        <v>1.0</v>
      </c>
      <c r="O15" s="121"/>
      <c r="P15" s="16"/>
      <c r="Q15" s="16"/>
      <c r="R15" s="16"/>
      <c r="S15" s="16"/>
      <c r="T15" s="16"/>
      <c r="U15" s="16"/>
      <c r="V15" s="16"/>
      <c r="W15" s="17" t="s">
        <v>39</v>
      </c>
      <c r="AF15" s="17" t="s">
        <v>39</v>
      </c>
      <c r="AI15" s="16"/>
      <c r="AJ15" s="17" t="s">
        <v>40</v>
      </c>
    </row>
    <row r="16" ht="15.0" customHeight="1">
      <c r="A16" s="26" t="s">
        <v>511</v>
      </c>
      <c r="B16" s="10">
        <f>SUM(C16:D16)</f>
        <v>2</v>
      </c>
      <c r="C16" s="10">
        <f t="shared" si="2"/>
        <v>1</v>
      </c>
      <c r="D16" s="11">
        <f t="array" ref="D16">SUM(IF(F16:AS16="R",1,0))</f>
        <v>1</v>
      </c>
      <c r="E16" s="11">
        <f t="array" ref="E16">SUM(IF(F16:AS16="R2",1,0))</f>
        <v>1</v>
      </c>
      <c r="F16" s="16"/>
      <c r="G16" s="16"/>
      <c r="H16" s="16"/>
      <c r="J16" s="16"/>
      <c r="K16" s="129"/>
      <c r="L16" s="130"/>
      <c r="M16" s="130"/>
      <c r="N16" s="130"/>
      <c r="O16" s="130"/>
      <c r="P16" s="130"/>
      <c r="Q16" s="130"/>
      <c r="R16" s="17" t="s">
        <v>39</v>
      </c>
      <c r="S16" s="16"/>
      <c r="U16" s="16"/>
      <c r="V16" s="16"/>
      <c r="W16" s="16"/>
      <c r="X16" s="16"/>
      <c r="Y16" s="16"/>
      <c r="Z16" s="131"/>
      <c r="AA16" s="132" t="s">
        <v>40</v>
      </c>
      <c r="AB16" s="131"/>
      <c r="AC16" s="133">
        <v>1.0</v>
      </c>
      <c r="AD16" s="131"/>
      <c r="AE16" s="131"/>
      <c r="AF16" s="131"/>
      <c r="AG16" s="16"/>
      <c r="AH16" s="16"/>
      <c r="AI16" s="16"/>
      <c r="AJ16" s="16"/>
      <c r="AL16" s="16"/>
      <c r="AM16" s="78"/>
      <c r="AN16" s="16"/>
      <c r="AO16" s="16"/>
      <c r="AP16" s="16"/>
      <c r="AQ16" s="16"/>
      <c r="AR16" s="16"/>
      <c r="AS16" s="16"/>
    </row>
    <row r="17">
      <c r="A17" s="26" t="s">
        <v>512</v>
      </c>
      <c r="B17" s="10"/>
      <c r="C17" s="10">
        <f t="shared" si="2"/>
        <v>0</v>
      </c>
      <c r="D17" s="11">
        <f t="array" ref="D17">SUM(IF(F17:AS17="R",1,0))</f>
        <v>0</v>
      </c>
      <c r="E17" s="11">
        <f t="array" ref="E17">SUM(IF(F17:AS17="R2",1,0))</f>
        <v>0</v>
      </c>
      <c r="F17" s="16"/>
      <c r="G17" s="16"/>
      <c r="H17" s="16"/>
      <c r="J17" s="16"/>
      <c r="K17" s="129"/>
      <c r="L17" s="130"/>
      <c r="M17" s="130"/>
      <c r="N17" s="130"/>
      <c r="O17" s="130"/>
      <c r="P17" s="130"/>
      <c r="Q17" s="130"/>
      <c r="S17" s="16"/>
      <c r="U17" s="16"/>
      <c r="V17" s="16"/>
      <c r="W17" s="16"/>
      <c r="X17" s="16"/>
      <c r="Y17" s="16"/>
      <c r="Z17" s="131"/>
      <c r="AA17" s="131"/>
      <c r="AB17" s="131"/>
      <c r="AC17" s="131"/>
      <c r="AD17" s="131"/>
      <c r="AE17" s="131"/>
      <c r="AF17" s="131"/>
      <c r="AG17" s="16"/>
      <c r="AH17" s="16"/>
      <c r="AI17" s="16"/>
      <c r="AJ17" s="16"/>
      <c r="AL17" s="16"/>
      <c r="AM17" s="84"/>
      <c r="AN17" s="16"/>
      <c r="AO17" s="16"/>
      <c r="AP17" s="16"/>
      <c r="AQ17" s="16"/>
      <c r="AR17" s="16"/>
      <c r="AS17" s="16"/>
    </row>
    <row r="18" hidden="1">
      <c r="A18" s="23" t="s">
        <v>258</v>
      </c>
      <c r="B18" s="10">
        <f t="shared" ref="B18:B20" si="3">SUM(C18:D18)</f>
        <v>0</v>
      </c>
      <c r="C18" s="10">
        <f>SUM(H18:AS18)</f>
        <v>0</v>
      </c>
      <c r="D18" s="11">
        <f t="array" ref="D18">SUM(IF(F18:AS18="R",1,0))</f>
        <v>0</v>
      </c>
      <c r="E18" s="11">
        <f t="array" ref="E18">SUM(IF(F18:AS18="R2",1,0))</f>
        <v>0</v>
      </c>
      <c r="AM18" s="78"/>
    </row>
    <row r="19" hidden="1">
      <c r="A19" s="20" t="s">
        <v>472</v>
      </c>
      <c r="B19" s="10">
        <f t="shared" si="3"/>
        <v>0</v>
      </c>
      <c r="C19" s="10">
        <f t="shared" ref="C19:C27" si="4">SUM(F19:AS19)</f>
        <v>0</v>
      </c>
      <c r="D19" s="11">
        <f t="array" ref="D19">SUM(IF(F19:AS19="R",1,0))</f>
        <v>0</v>
      </c>
      <c r="E19" s="11">
        <f t="array" ref="E19">SUM(IF(F19:AS19="R2",1,0))</f>
        <v>0</v>
      </c>
      <c r="AM19" s="78"/>
    </row>
    <row r="20">
      <c r="A20" s="26" t="s">
        <v>513</v>
      </c>
      <c r="B20" s="10">
        <f t="shared" si="3"/>
        <v>3</v>
      </c>
      <c r="C20" s="10">
        <f t="shared" si="4"/>
        <v>1</v>
      </c>
      <c r="D20" s="11">
        <f t="array" ref="D20">SUM(IF(F20:AS20="R",1,0))</f>
        <v>2</v>
      </c>
      <c r="E20" s="11">
        <f t="array" ref="E20">SUM(IF(F20:AS20="R2",1,0))</f>
        <v>2</v>
      </c>
      <c r="F20" s="16"/>
      <c r="G20" s="16"/>
      <c r="H20" s="16"/>
      <c r="I20" s="17" t="s">
        <v>39</v>
      </c>
      <c r="J20" s="16"/>
      <c r="K20" s="134">
        <v>1.0</v>
      </c>
      <c r="L20" s="130"/>
      <c r="M20" s="130"/>
      <c r="N20" s="130"/>
      <c r="O20" s="130"/>
      <c r="P20" s="130"/>
      <c r="Q20" s="130"/>
      <c r="R20" s="17" t="s">
        <v>40</v>
      </c>
      <c r="S20" s="16"/>
      <c r="T20" s="17" t="s">
        <v>40</v>
      </c>
      <c r="U20" s="16"/>
      <c r="V20" s="16"/>
      <c r="W20" s="16"/>
      <c r="X20" s="16"/>
      <c r="Y20" s="16"/>
      <c r="Z20" s="131"/>
      <c r="AA20" s="131"/>
      <c r="AB20" s="131"/>
      <c r="AC20" s="131"/>
      <c r="AD20" s="131"/>
      <c r="AE20" s="131"/>
      <c r="AF20" s="131"/>
      <c r="AG20" s="16"/>
      <c r="AH20" s="16"/>
      <c r="AI20" s="16"/>
      <c r="AJ20" s="16"/>
      <c r="AK20" s="17" t="s">
        <v>39</v>
      </c>
      <c r="AL20" s="16"/>
      <c r="AM20" s="78"/>
      <c r="AN20" s="16"/>
      <c r="AO20" s="16"/>
      <c r="AP20" s="16"/>
      <c r="AQ20" s="16"/>
      <c r="AR20" s="16"/>
      <c r="AS20" s="16"/>
    </row>
    <row r="21" hidden="1">
      <c r="A21" s="9" t="s">
        <v>56</v>
      </c>
      <c r="B21" s="10"/>
      <c r="C21" s="10">
        <f t="shared" si="4"/>
        <v>0</v>
      </c>
      <c r="D21" s="11">
        <f t="array" ref="D21">SUM(IF(F21:AS21="R",1,0))</f>
        <v>0</v>
      </c>
      <c r="E21" s="11">
        <f t="array" ref="E21">SUM(IF(F21:AS21="R2",1,0))</f>
        <v>0</v>
      </c>
    </row>
    <row r="22">
      <c r="A22" s="25" t="s">
        <v>514</v>
      </c>
      <c r="B22" s="10">
        <f>SUM(C22:D22)</f>
        <v>3</v>
      </c>
      <c r="C22" s="10">
        <f t="shared" si="4"/>
        <v>2</v>
      </c>
      <c r="D22" s="11">
        <f t="array" ref="D22">SUM(IF(F22:AS22="R",1,0))</f>
        <v>1</v>
      </c>
      <c r="E22" s="11">
        <f t="array" ref="E22">SUM(IF(F22:AS22="R2",1,0))</f>
        <v>1</v>
      </c>
      <c r="F22" s="16"/>
      <c r="G22" s="16"/>
      <c r="H22" s="16"/>
      <c r="I22" s="16"/>
      <c r="J22" s="16"/>
      <c r="K22" s="16"/>
      <c r="L22" s="16"/>
      <c r="M22" s="16"/>
      <c r="O22" s="17" t="s">
        <v>39</v>
      </c>
      <c r="W22" s="17">
        <v>1.0</v>
      </c>
      <c r="AH22" s="17" t="s">
        <v>40</v>
      </c>
      <c r="AP22" s="17">
        <v>1.0</v>
      </c>
      <c r="AS22" s="16"/>
    </row>
    <row r="23">
      <c r="A23" s="25" t="s">
        <v>515</v>
      </c>
      <c r="B23" s="10"/>
      <c r="C23" s="10">
        <f t="shared" si="4"/>
        <v>1</v>
      </c>
      <c r="D23" s="11">
        <f t="array" ref="D23">SUM(IF(F23:AS23="R",1,0))</f>
        <v>2</v>
      </c>
      <c r="E23" s="11">
        <f t="array" ref="E23">SUM(IF(F23:AS23="R2",1,0))</f>
        <v>2</v>
      </c>
      <c r="F23" s="17" t="s">
        <v>40</v>
      </c>
      <c r="O23" s="17" t="s">
        <v>40</v>
      </c>
      <c r="AF23" s="17">
        <v>1.0</v>
      </c>
      <c r="AH23" s="17" t="s">
        <v>39</v>
      </c>
      <c r="AS23" s="17" t="s">
        <v>39</v>
      </c>
    </row>
    <row r="24">
      <c r="A24" s="9" t="s">
        <v>473</v>
      </c>
      <c r="B24" s="10">
        <f>SUM(C24:D24)</f>
        <v>3</v>
      </c>
      <c r="C24" s="10">
        <f t="shared" si="4"/>
        <v>1</v>
      </c>
      <c r="D24" s="11">
        <f t="array" ref="D24">SUM(IF(F24:AS24="R",1,0))</f>
        <v>2</v>
      </c>
      <c r="E24" s="11">
        <f t="array" ref="E24">SUM(IF(F24:AS24="R2",1,0))</f>
        <v>2</v>
      </c>
      <c r="F24" s="17">
        <v>1.0</v>
      </c>
      <c r="K24" s="17" t="s">
        <v>39</v>
      </c>
      <c r="V24" s="17" t="s">
        <v>39</v>
      </c>
      <c r="Z24" s="17" t="s">
        <v>40</v>
      </c>
      <c r="AM24" s="17" t="s">
        <v>40</v>
      </c>
    </row>
    <row r="25">
      <c r="A25" s="9" t="s">
        <v>516</v>
      </c>
      <c r="B25" s="28"/>
      <c r="C25" s="10">
        <f t="shared" si="4"/>
        <v>1</v>
      </c>
      <c r="D25" s="11">
        <f t="array" ref="D25">SUM(IF(F25:AS25="R",1,0))</f>
        <v>2</v>
      </c>
      <c r="E25" s="11">
        <f t="array" ref="E25">SUM(IF(F25:AS25="R2",1,0))</f>
        <v>2</v>
      </c>
      <c r="F25" s="24"/>
      <c r="J25" s="17" t="s">
        <v>40</v>
      </c>
      <c r="O25" s="24"/>
      <c r="S25" s="17" t="s">
        <v>40</v>
      </c>
      <c r="X25" s="24">
        <v>1.0</v>
      </c>
      <c r="AC25" s="17" t="s">
        <v>39</v>
      </c>
      <c r="AH25" s="24"/>
      <c r="AQ25" s="24" t="s">
        <v>39</v>
      </c>
    </row>
    <row r="26">
      <c r="A26" s="62" t="s">
        <v>517</v>
      </c>
      <c r="B26" s="10"/>
      <c r="C26" s="10">
        <f t="shared" si="4"/>
        <v>1</v>
      </c>
      <c r="D26" s="11">
        <f t="array" ref="D26">SUM(IF(F26:AS26="R",1,0))</f>
        <v>3</v>
      </c>
      <c r="E26" s="11">
        <f t="array" ref="E26">SUM(IF(F26:AS26="R2",1,0))</f>
        <v>1</v>
      </c>
      <c r="G26" s="17" t="s">
        <v>40</v>
      </c>
      <c r="L26" s="24" t="s">
        <v>39</v>
      </c>
      <c r="T26" s="78"/>
      <c r="U26" s="24"/>
      <c r="V26" s="16"/>
      <c r="W26" s="16"/>
      <c r="X26" s="17" t="s">
        <v>39</v>
      </c>
      <c r="Z26" s="16"/>
      <c r="AD26" s="24">
        <v>1.0</v>
      </c>
      <c r="AL26" s="17" t="s">
        <v>39</v>
      </c>
      <c r="AN26" s="24"/>
    </row>
    <row r="27">
      <c r="A27" s="62" t="s">
        <v>518</v>
      </c>
      <c r="B27" s="10">
        <f>SUM(C27:D27)</f>
        <v>4</v>
      </c>
      <c r="C27" s="10">
        <f t="shared" si="4"/>
        <v>2</v>
      </c>
      <c r="D27" s="11">
        <f t="array" ref="D27">SUM(IF(F27:AS27="R",1,0))</f>
        <v>2</v>
      </c>
      <c r="E27" s="11">
        <f t="array" ref="E27">SUM(IF(F27:AS27="R2",1,0))</f>
        <v>0</v>
      </c>
      <c r="Q27" s="17">
        <v>1.0</v>
      </c>
      <c r="U27" s="17" t="s">
        <v>39</v>
      </c>
      <c r="V27" s="16"/>
      <c r="W27" s="16"/>
      <c r="Z27" s="16"/>
      <c r="AB27" s="17">
        <v>1.0</v>
      </c>
      <c r="AN27" s="17" t="s">
        <v>39</v>
      </c>
    </row>
    <row r="28">
      <c r="A28" s="62" t="s">
        <v>519</v>
      </c>
      <c r="B28" s="10"/>
      <c r="C28" s="10">
        <f>SUM(H28:AS28)</f>
        <v>2</v>
      </c>
      <c r="D28" s="11">
        <f t="array" ref="D28">SUM(IF(F28:AS28="R",1,0))</f>
        <v>1</v>
      </c>
      <c r="E28" s="11">
        <f t="array" ref="E28">SUM(IF(F28:AS28="R2",1,0))</f>
        <v>1</v>
      </c>
      <c r="L28" s="24" t="s">
        <v>40</v>
      </c>
      <c r="U28" s="24">
        <v>1.0</v>
      </c>
      <c r="V28" s="16"/>
      <c r="W28" s="16"/>
      <c r="Z28" s="16"/>
      <c r="AD28" s="24" t="s">
        <v>39</v>
      </c>
      <c r="AH28" s="78"/>
      <c r="AN28" s="24">
        <v>1.0</v>
      </c>
    </row>
    <row r="29">
      <c r="A29" s="62" t="s">
        <v>520</v>
      </c>
      <c r="B29" s="10">
        <f t="shared" ref="B29:B30" si="5">SUM(C29:D29)</f>
        <v>1</v>
      </c>
      <c r="C29" s="10">
        <f t="shared" ref="C29:C38" si="6">SUM(F29:AS29)</f>
        <v>1</v>
      </c>
      <c r="D29" s="11">
        <f t="array" ref="D29">SUM(IF(F29:AS29="R",1,0))</f>
        <v>0</v>
      </c>
      <c r="E29" s="11">
        <f t="array" ref="E29">SUM(IF(F29:AS29="R2",1,0))</f>
        <v>4</v>
      </c>
      <c r="H29" s="17" t="s">
        <v>40</v>
      </c>
      <c r="T29" s="17">
        <v>1.0</v>
      </c>
      <c r="V29" s="73"/>
      <c r="W29" s="73"/>
      <c r="Z29" s="16"/>
      <c r="AB29" s="17" t="s">
        <v>40</v>
      </c>
      <c r="AN29" s="17" t="s">
        <v>40</v>
      </c>
      <c r="AQ29" s="17" t="s">
        <v>40</v>
      </c>
    </row>
    <row r="30">
      <c r="A30" s="27" t="s">
        <v>521</v>
      </c>
      <c r="B30" s="10">
        <f t="shared" si="5"/>
        <v>2</v>
      </c>
      <c r="C30" s="10">
        <f t="shared" si="6"/>
        <v>1</v>
      </c>
      <c r="D30" s="11">
        <f t="array" ref="D30">SUM(IF(F30:AS30="R",1,0))</f>
        <v>1</v>
      </c>
      <c r="E30" s="11">
        <f t="array" ref="E30">SUM(IF(F30:AS30="R2",1,0))</f>
        <v>2</v>
      </c>
      <c r="F30" s="16"/>
      <c r="G30" s="16"/>
      <c r="H30" s="16"/>
      <c r="L30" s="24">
        <v>1.0</v>
      </c>
      <c r="N30" s="121"/>
      <c r="P30" s="24" t="s">
        <v>40</v>
      </c>
      <c r="W30" s="121"/>
      <c r="Y30" s="24" t="s">
        <v>39</v>
      </c>
      <c r="Z30" s="16"/>
      <c r="AD30" s="24" t="s">
        <v>40</v>
      </c>
      <c r="AG30" s="24"/>
      <c r="AH30" s="16"/>
      <c r="AI30" s="16"/>
      <c r="AJ30" s="16"/>
      <c r="AN30" s="24"/>
      <c r="AP30" s="121"/>
      <c r="AR30" s="121"/>
      <c r="AS30" s="16"/>
    </row>
    <row r="31">
      <c r="A31" s="26" t="s">
        <v>475</v>
      </c>
      <c r="B31" s="10"/>
      <c r="C31" s="10">
        <f t="shared" si="6"/>
        <v>4</v>
      </c>
      <c r="D31" s="11">
        <f t="array" ref="D31">SUM(IF(F31:AS31="R",1,0))</f>
        <v>2</v>
      </c>
      <c r="E31" s="11">
        <f t="array" ref="E31">SUM(IF(F31:AS31="R2",1,0))</f>
        <v>1</v>
      </c>
      <c r="F31" s="16"/>
      <c r="G31" s="16"/>
      <c r="H31" s="16"/>
      <c r="I31" s="17">
        <v>1.0</v>
      </c>
      <c r="J31" s="16"/>
      <c r="L31" s="16"/>
      <c r="M31" s="16"/>
      <c r="N31" s="16"/>
      <c r="O31" s="16"/>
      <c r="P31" s="16"/>
      <c r="Q31" s="16"/>
      <c r="R31" s="17">
        <v>1.0</v>
      </c>
      <c r="S31" s="16"/>
      <c r="T31" s="17" t="s">
        <v>39</v>
      </c>
      <c r="U31" s="16"/>
      <c r="V31" s="16"/>
      <c r="W31" s="16"/>
      <c r="X31" s="16"/>
      <c r="Y31" s="21"/>
      <c r="Z31" s="16"/>
      <c r="AA31" s="17">
        <v>1.0</v>
      </c>
      <c r="AB31" s="16"/>
      <c r="AC31" s="17" t="s">
        <v>40</v>
      </c>
      <c r="AD31" s="16"/>
      <c r="AF31" s="16"/>
      <c r="AG31" s="16"/>
      <c r="AH31" s="16"/>
      <c r="AI31" s="16"/>
      <c r="AJ31" s="16"/>
      <c r="AK31" s="17">
        <v>1.0</v>
      </c>
      <c r="AL31" s="16"/>
      <c r="AM31" s="17" t="s">
        <v>39</v>
      </c>
      <c r="AN31" s="16"/>
      <c r="AO31" s="16"/>
      <c r="AP31" s="16"/>
      <c r="AQ31" s="16"/>
      <c r="AR31" s="16"/>
      <c r="AS31" s="16"/>
    </row>
    <row r="32">
      <c r="A32" s="27" t="s">
        <v>476</v>
      </c>
      <c r="B32" s="10" t="str">
        <f>SUM(B4:B37)</f>
        <v>#REF!</v>
      </c>
      <c r="C32" s="10">
        <f t="shared" si="6"/>
        <v>1</v>
      </c>
      <c r="D32" s="11">
        <f t="array" ref="D32">SUM(IF(F32:AS32="R",1,0))</f>
        <v>2</v>
      </c>
      <c r="E32" s="11">
        <f t="array" ref="E32">SUM(IF(F32:AS32="R2",1,0))</f>
        <v>1</v>
      </c>
      <c r="F32" s="24"/>
      <c r="G32" s="24"/>
      <c r="H32" s="24" t="s">
        <v>39</v>
      </c>
      <c r="J32" s="17" t="s">
        <v>39</v>
      </c>
      <c r="L32" s="78"/>
      <c r="M32" s="121"/>
      <c r="N32" s="121"/>
      <c r="O32" s="121"/>
      <c r="P32" s="121"/>
      <c r="V32" s="121"/>
      <c r="W32" s="121"/>
      <c r="X32" s="121"/>
      <c r="Y32" s="24"/>
      <c r="Z32" s="17">
        <v>1.0</v>
      </c>
      <c r="AC32" s="16"/>
      <c r="AD32" s="16"/>
      <c r="AE32" s="16"/>
      <c r="AF32" s="16"/>
      <c r="AG32" s="121"/>
      <c r="AH32" s="121"/>
      <c r="AI32" s="24" t="s">
        <v>40</v>
      </c>
      <c r="AO32" s="121"/>
      <c r="AP32" s="121"/>
      <c r="AQ32" s="121"/>
      <c r="AR32" s="121"/>
    </row>
    <row r="33">
      <c r="A33" s="27" t="s">
        <v>522</v>
      </c>
      <c r="B33" s="28" t="str">
        <f t="shared" ref="B33:B34" si="7">SUM(#REF!)</f>
        <v>#REF!</v>
      </c>
      <c r="C33" s="10">
        <f t="shared" si="6"/>
        <v>1</v>
      </c>
      <c r="D33" s="11">
        <f t="array" ref="D33">SUM(IF(F33:AS33="R",1,0))</f>
        <v>1</v>
      </c>
      <c r="E33" s="11">
        <f t="array" ref="E33">SUM(IF(F33:AS33="R2",1,0))</f>
        <v>1</v>
      </c>
      <c r="F33" s="16"/>
      <c r="G33" s="16"/>
      <c r="H33" s="16"/>
      <c r="I33" s="16"/>
      <c r="J33" s="16"/>
      <c r="K33" s="16"/>
      <c r="L33" s="16"/>
      <c r="M33" s="16"/>
      <c r="P33" s="24" t="s">
        <v>39</v>
      </c>
      <c r="Q33" s="16"/>
      <c r="R33" s="16"/>
      <c r="S33" s="16"/>
      <c r="T33" s="16"/>
      <c r="U33" s="16"/>
      <c r="Y33" s="24">
        <v>1.0</v>
      </c>
      <c r="Z33" s="16"/>
      <c r="AA33" s="16"/>
      <c r="AB33" s="16"/>
      <c r="AC33" s="16"/>
      <c r="AD33" s="16"/>
      <c r="AE33" s="16"/>
      <c r="AF33" s="16"/>
      <c r="AG33" s="16"/>
      <c r="AI33" s="16"/>
      <c r="AK33" s="16"/>
      <c r="AL33" s="16"/>
      <c r="AM33" s="16"/>
      <c r="AN33" s="16"/>
      <c r="AO33" s="17" t="s">
        <v>40</v>
      </c>
      <c r="AR33" s="121"/>
    </row>
    <row r="34">
      <c r="A34" s="27" t="s">
        <v>523</v>
      </c>
      <c r="B34" s="28" t="str">
        <f t="shared" si="7"/>
        <v>#REF!</v>
      </c>
      <c r="C34" s="10">
        <f t="shared" si="6"/>
        <v>2</v>
      </c>
      <c r="D34" s="11">
        <f t="array" ref="D34">SUM(IF(F34:AS34="R",1,0))</f>
        <v>1</v>
      </c>
      <c r="E34" s="11">
        <f t="array" ref="E34">SUM(IF(F34:AS34="R2",1,0))</f>
        <v>1</v>
      </c>
      <c r="F34" s="16"/>
      <c r="G34" s="16"/>
      <c r="H34" s="16"/>
      <c r="M34" s="121"/>
      <c r="N34" s="121"/>
      <c r="O34" s="121"/>
      <c r="P34" s="24">
        <v>1.0</v>
      </c>
      <c r="V34" s="121"/>
      <c r="W34" s="121"/>
      <c r="X34" s="24"/>
      <c r="Y34" s="24" t="s">
        <v>40</v>
      </c>
      <c r="AA34" s="16"/>
      <c r="AB34" s="16"/>
      <c r="AC34" s="16"/>
      <c r="AD34" s="16"/>
      <c r="AE34" s="16"/>
      <c r="AF34" s="16"/>
      <c r="AG34" s="24">
        <v>1.0</v>
      </c>
      <c r="AH34" s="121"/>
      <c r="AI34" s="121"/>
      <c r="AO34" s="24"/>
      <c r="AP34" s="121"/>
      <c r="AQ34" s="121"/>
      <c r="AR34" s="24" t="s">
        <v>39</v>
      </c>
    </row>
    <row r="35">
      <c r="A35" s="44" t="s">
        <v>524</v>
      </c>
      <c r="C35" s="10">
        <f t="shared" si="6"/>
        <v>1</v>
      </c>
      <c r="D35" s="11">
        <f t="array" ref="D35">SUM(IF(F35:AS35="R",1,0))</f>
        <v>2</v>
      </c>
      <c r="E35" s="11">
        <f t="array" ref="E35">SUM(IF(F35:AS35="R2",1,0))</f>
        <v>1</v>
      </c>
      <c r="F35" s="17" t="s">
        <v>39</v>
      </c>
      <c r="H35" s="16"/>
      <c r="I35" s="16"/>
      <c r="J35" s="16"/>
      <c r="K35" s="16"/>
      <c r="L35" s="16"/>
      <c r="M35" s="16"/>
      <c r="N35" s="16"/>
      <c r="Q35" s="17" t="s">
        <v>40</v>
      </c>
      <c r="Z35" s="16"/>
      <c r="AA35" s="17" t="s">
        <v>39</v>
      </c>
      <c r="AL35" s="17">
        <v>1.0</v>
      </c>
    </row>
    <row r="36">
      <c r="A36" s="44" t="s">
        <v>479</v>
      </c>
      <c r="C36" s="10">
        <f t="shared" si="6"/>
        <v>1</v>
      </c>
      <c r="D36" s="11">
        <f t="array" ref="D36">SUM(IF(F36:AS36="R",1,0))</f>
        <v>1</v>
      </c>
      <c r="E36" s="11">
        <f t="array" ref="E36">SUM(IF(F36:AS36="R2",1,0))</f>
        <v>3</v>
      </c>
      <c r="G36" s="17">
        <v>1.0</v>
      </c>
      <c r="M36" s="17" t="s">
        <v>40</v>
      </c>
      <c r="U36" s="17" t="s">
        <v>40</v>
      </c>
      <c r="AB36" s="17" t="s">
        <v>39</v>
      </c>
      <c r="AP36" s="17" t="s">
        <v>40</v>
      </c>
    </row>
    <row r="37">
      <c r="A37" s="26" t="s">
        <v>480</v>
      </c>
      <c r="B37" s="10">
        <f>SUM(C37:D37)</f>
        <v>0</v>
      </c>
      <c r="C37" s="10">
        <f t="shared" si="6"/>
        <v>0</v>
      </c>
      <c r="D37" s="11">
        <f t="array" ref="D37">SUM(IF(F37:AS37="R",1,0))</f>
        <v>0</v>
      </c>
      <c r="E37" s="11">
        <f t="array" ref="E37">SUM(IF(F37:AS37="R2",1,0))</f>
        <v>0</v>
      </c>
      <c r="F37" s="16"/>
      <c r="G37" s="16"/>
      <c r="H37" s="16"/>
      <c r="J37" s="16"/>
      <c r="L37" s="16"/>
      <c r="M37" s="16"/>
      <c r="N37" s="16"/>
      <c r="O37" s="16"/>
      <c r="P37" s="16"/>
      <c r="Q37" s="16"/>
      <c r="R37" s="16"/>
      <c r="S37" s="16"/>
      <c r="T37" s="16"/>
      <c r="U37" s="21"/>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row>
    <row r="38">
      <c r="A38" s="23" t="s">
        <v>481</v>
      </c>
      <c r="C38" s="10">
        <f t="shared" si="6"/>
        <v>1</v>
      </c>
      <c r="D38" s="11">
        <f t="array" ref="D38">SUM(IF(F38:AS38="R",1,0))</f>
        <v>1</v>
      </c>
      <c r="E38" s="11">
        <f t="array" ref="E38">SUM(IF(F38:AS38="R2",1,0))</f>
        <v>2</v>
      </c>
      <c r="M38" s="24">
        <v>1.0</v>
      </c>
      <c r="N38" s="121"/>
      <c r="O38" s="121"/>
      <c r="P38" s="121"/>
      <c r="X38" s="17" t="s">
        <v>40</v>
      </c>
      <c r="AI38" s="17" t="s">
        <v>39</v>
      </c>
      <c r="AR38" s="17" t="s">
        <v>40</v>
      </c>
    </row>
    <row r="39">
      <c r="A39" s="17" t="s">
        <v>68</v>
      </c>
      <c r="C39" s="10">
        <f t="shared" ref="C39:C41" si="10">SUM(F39:AU39)</f>
        <v>41</v>
      </c>
      <c r="D39" s="11"/>
      <c r="E39" s="11"/>
      <c r="F39" s="28">
        <f t="shared" ref="F39:AT39" si="8">SUM(F3:F38)</f>
        <v>1</v>
      </c>
      <c r="G39" s="28">
        <f t="shared" si="8"/>
        <v>1</v>
      </c>
      <c r="H39" s="28">
        <f t="shared" si="8"/>
        <v>1</v>
      </c>
      <c r="I39" s="28">
        <f t="shared" si="8"/>
        <v>1</v>
      </c>
      <c r="J39" s="28">
        <f t="shared" si="8"/>
        <v>1</v>
      </c>
      <c r="K39" s="28">
        <f t="shared" si="8"/>
        <v>1</v>
      </c>
      <c r="L39" s="28">
        <f t="shared" si="8"/>
        <v>1</v>
      </c>
      <c r="M39" s="28">
        <f t="shared" si="8"/>
        <v>1</v>
      </c>
      <c r="N39" s="28">
        <f t="shared" si="8"/>
        <v>1</v>
      </c>
      <c r="O39" s="28">
        <f t="shared" si="8"/>
        <v>1</v>
      </c>
      <c r="P39" s="28">
        <f t="shared" si="8"/>
        <v>1</v>
      </c>
      <c r="Q39" s="28">
        <f t="shared" si="8"/>
        <v>1</v>
      </c>
      <c r="R39" s="28">
        <f t="shared" si="8"/>
        <v>1</v>
      </c>
      <c r="S39" s="28">
        <f t="shared" si="8"/>
        <v>1</v>
      </c>
      <c r="T39" s="28">
        <f t="shared" si="8"/>
        <v>1</v>
      </c>
      <c r="U39" s="28">
        <f t="shared" si="8"/>
        <v>1</v>
      </c>
      <c r="V39" s="28">
        <f t="shared" si="8"/>
        <v>1</v>
      </c>
      <c r="W39" s="28">
        <f t="shared" si="8"/>
        <v>1</v>
      </c>
      <c r="X39" s="28">
        <f t="shared" si="8"/>
        <v>1</v>
      </c>
      <c r="Y39" s="28">
        <f t="shared" si="8"/>
        <v>1</v>
      </c>
      <c r="Z39" s="28">
        <f t="shared" si="8"/>
        <v>1</v>
      </c>
      <c r="AA39" s="28">
        <f t="shared" si="8"/>
        <v>1</v>
      </c>
      <c r="AB39" s="28">
        <f t="shared" si="8"/>
        <v>1</v>
      </c>
      <c r="AC39" s="28">
        <f t="shared" si="8"/>
        <v>1</v>
      </c>
      <c r="AD39" s="28">
        <f t="shared" si="8"/>
        <v>1</v>
      </c>
      <c r="AE39" s="28">
        <f t="shared" si="8"/>
        <v>1</v>
      </c>
      <c r="AF39" s="28">
        <f t="shared" si="8"/>
        <v>1</v>
      </c>
      <c r="AG39" s="28">
        <f t="shared" si="8"/>
        <v>1</v>
      </c>
      <c r="AH39" s="28">
        <f t="shared" si="8"/>
        <v>1</v>
      </c>
      <c r="AI39" s="28">
        <f t="shared" si="8"/>
        <v>1</v>
      </c>
      <c r="AJ39" s="28">
        <f t="shared" si="8"/>
        <v>1</v>
      </c>
      <c r="AK39" s="28">
        <f t="shared" si="8"/>
        <v>1</v>
      </c>
      <c r="AL39" s="28">
        <f t="shared" si="8"/>
        <v>1</v>
      </c>
      <c r="AM39" s="28">
        <f t="shared" si="8"/>
        <v>1</v>
      </c>
      <c r="AN39" s="28">
        <f t="shared" si="8"/>
        <v>1</v>
      </c>
      <c r="AO39" s="28">
        <f t="shared" si="8"/>
        <v>1</v>
      </c>
      <c r="AP39" s="28">
        <f t="shared" si="8"/>
        <v>1</v>
      </c>
      <c r="AQ39" s="28">
        <f t="shared" si="8"/>
        <v>1</v>
      </c>
      <c r="AR39" s="28">
        <f t="shared" si="8"/>
        <v>1</v>
      </c>
      <c r="AS39" s="28">
        <f t="shared" si="8"/>
        <v>1</v>
      </c>
      <c r="AT39" s="28">
        <f t="shared" si="8"/>
        <v>0</v>
      </c>
      <c r="AU39" s="28">
        <f t="shared" ref="AU39:AY39" si="9">SUM(H4:H37)</f>
        <v>1</v>
      </c>
      <c r="AV39" s="28">
        <f t="shared" si="9"/>
        <v>1</v>
      </c>
      <c r="AW39" s="28">
        <f t="shared" si="9"/>
        <v>0</v>
      </c>
      <c r="AX39" s="28">
        <f t="shared" si="9"/>
        <v>1</v>
      </c>
      <c r="AY39" s="28">
        <f t="shared" si="9"/>
        <v>1</v>
      </c>
    </row>
    <row r="40">
      <c r="A40" s="17" t="s">
        <v>69</v>
      </c>
      <c r="C40" s="10">
        <f t="shared" si="10"/>
        <v>41</v>
      </c>
      <c r="D40" s="11"/>
      <c r="E40" s="11"/>
      <c r="F40" s="11">
        <f t="array" ref="F40">SUM(IF(F3:F38="R",1,0))</f>
        <v>1</v>
      </c>
      <c r="G40" s="11">
        <f t="array" ref="G40">SUM(IF(G3:G38="R",1,0))</f>
        <v>1</v>
      </c>
      <c r="H40" s="11">
        <f t="array" ref="H40">SUM(IF(H3:H38="R",1,0))</f>
        <v>1</v>
      </c>
      <c r="I40" s="11">
        <f t="array" ref="I40">SUM(IF(I3:I38="R",1,0))</f>
        <v>1</v>
      </c>
      <c r="J40" s="11">
        <f t="array" ref="J40">SUM(IF(J3:J38="R",1,0))</f>
        <v>1</v>
      </c>
      <c r="K40" s="11">
        <f t="array" ref="K40">SUM(IF(K3:K38="R",1,0))</f>
        <v>1</v>
      </c>
      <c r="L40" s="11">
        <f t="array" ref="L40">SUM(IF(L3:L38="R",1,0))</f>
        <v>1</v>
      </c>
      <c r="M40" s="11">
        <f t="array" ref="M40">SUM(IF(M3:M38="R",1,0))</f>
        <v>1</v>
      </c>
      <c r="N40" s="11">
        <f t="array" ref="N40">SUM(IF(N3:N38="R",1,0))</f>
        <v>1</v>
      </c>
      <c r="O40" s="11">
        <f t="array" ref="O40">SUM(IF(O3:O38="R",1,0))</f>
        <v>1</v>
      </c>
      <c r="P40" s="11">
        <f t="array" ref="P40">SUM(IF(P3:P38="R",1,0))</f>
        <v>1</v>
      </c>
      <c r="Q40" s="11">
        <f t="array" ref="Q40">SUM(IF(Q3:Q38="R",1,0))</f>
        <v>1</v>
      </c>
      <c r="R40" s="11">
        <f t="array" ref="R40">SUM(IF(R3:R38="R",1,0))</f>
        <v>1</v>
      </c>
      <c r="S40" s="11">
        <f t="array" ref="S40">SUM(IF(S3:S38="R",1,0))</f>
        <v>1</v>
      </c>
      <c r="T40" s="11">
        <f t="array" ref="T40">SUM(IF(T3:T38="R",1,0))</f>
        <v>1</v>
      </c>
      <c r="U40" s="11">
        <f t="array" ref="U40">SUM(IF(U3:U38="R",1,0))</f>
        <v>1</v>
      </c>
      <c r="V40" s="11">
        <f t="array" ref="V40">SUM(IF(V3:V38="R",1,0))</f>
        <v>1</v>
      </c>
      <c r="W40" s="11">
        <f t="array" ref="W40">SUM(IF(W3:W38="R",1,0))</f>
        <v>1</v>
      </c>
      <c r="X40" s="11">
        <f t="array" ref="X40">SUM(IF(X3:X38="R",1,0))</f>
        <v>1</v>
      </c>
      <c r="Y40" s="11">
        <f t="array" ref="Y40">SUM(IF(Y3:Y38="R",1,0))</f>
        <v>1</v>
      </c>
      <c r="Z40" s="11">
        <f t="array" ref="Z40">SUM(IF(Z3:Z38="R",1,0))</f>
        <v>1</v>
      </c>
      <c r="AA40" s="11">
        <f t="array" ref="AA40">SUM(IF(AA3:AA38="R",1,0))</f>
        <v>1</v>
      </c>
      <c r="AB40" s="11">
        <f t="array" ref="AB40">SUM(IF(AB3:AB38="R",1,0))</f>
        <v>1</v>
      </c>
      <c r="AC40" s="11">
        <f t="array" ref="AC40">SUM(IF(AC3:AC38="R",1,0))</f>
        <v>1</v>
      </c>
      <c r="AD40" s="11">
        <f t="array" ref="AD40">SUM(IF(AD3:AD38="R",1,0))</f>
        <v>1</v>
      </c>
      <c r="AE40" s="11">
        <f t="array" ref="AE40">SUM(IF(AE3:AE38="R",1,0))</f>
        <v>1</v>
      </c>
      <c r="AF40" s="11">
        <f t="array" ref="AF40">SUM(IF(AF3:AF38="R",1,0))</f>
        <v>1</v>
      </c>
      <c r="AG40" s="11">
        <f t="array" ref="AG40">SUM(IF(AG3:AG38="R",1,0))</f>
        <v>1</v>
      </c>
      <c r="AH40" s="11">
        <f t="array" ref="AH40">SUM(IF(AH3:AH38="R",1,0))</f>
        <v>1</v>
      </c>
      <c r="AI40" s="11">
        <f t="array" ref="AI40">SUM(IF(AI3:AI38="R",1,0))</f>
        <v>1</v>
      </c>
      <c r="AJ40" s="11">
        <f t="array" ref="AJ40">SUM(IF(AJ3:AJ38="R",1,0))</f>
        <v>1</v>
      </c>
      <c r="AK40" s="11">
        <f t="array" ref="AK40">SUM(IF(AK3:AK38="R",1,0))</f>
        <v>1</v>
      </c>
      <c r="AL40" s="11">
        <f t="array" ref="AL40">SUM(IF(AL3:AL38="R",1,0))</f>
        <v>1</v>
      </c>
      <c r="AM40" s="11">
        <f t="array" ref="AM40">SUM(IF(AM3:AM38="R",1,0))</f>
        <v>1</v>
      </c>
      <c r="AN40" s="11">
        <f t="array" ref="AN40">SUM(IF(AN3:AN38="R",1,0))</f>
        <v>1</v>
      </c>
      <c r="AO40" s="11">
        <f t="array" ref="AO40">SUM(IF(AO3:AO38="R",1,0))</f>
        <v>1</v>
      </c>
      <c r="AP40" s="11">
        <f t="array" ref="AP40">SUM(IF(AP3:AP38="R",1,0))</f>
        <v>1</v>
      </c>
      <c r="AQ40" s="11">
        <f t="array" ref="AQ40">SUM(IF(AQ3:AQ38="R",1,0))</f>
        <v>1</v>
      </c>
      <c r="AR40" s="11">
        <f t="array" ref="AR40">SUM(IF(AR3:AR38="R",1,0))</f>
        <v>1</v>
      </c>
      <c r="AS40" s="11">
        <f t="array" ref="AS40">SUM(IF(AS3:AS38="R",1,0))</f>
        <v>1</v>
      </c>
      <c r="AT40" s="11">
        <f t="array" ref="AT40">SUM(IF(AT3:AT38="R",1,0))</f>
        <v>0</v>
      </c>
      <c r="AU40" s="11">
        <f t="array" ref="AU40">SUM(IF(H4:H37="R",1,0))</f>
        <v>1</v>
      </c>
      <c r="AV40" s="11">
        <f t="array" ref="AV40">SUM(IF(I4:I37="R",1,0))</f>
        <v>1</v>
      </c>
      <c r="AW40" s="11">
        <f t="array" ref="AW40">SUM(IF(J4:J37="R",1,0))</f>
        <v>1</v>
      </c>
      <c r="AX40" s="11">
        <f t="array" ref="AX40">SUM(IF(K4:K37="R",1,0))</f>
        <v>1</v>
      </c>
      <c r="AY40" s="11">
        <f t="array" ref="AY40">SUM(IF(L4:L37="R",1,0))</f>
        <v>1</v>
      </c>
    </row>
    <row r="41">
      <c r="A41" s="17" t="s">
        <v>70</v>
      </c>
      <c r="C41" s="10">
        <f t="shared" si="10"/>
        <v>41</v>
      </c>
      <c r="D41" s="11"/>
      <c r="E41" s="11"/>
      <c r="F41" s="11">
        <f t="array" ref="F41">SUM(IF(F3:F38="R2",1,0))</f>
        <v>1</v>
      </c>
      <c r="G41" s="11">
        <f t="array" ref="G41">SUM(IF(G3:G38="R2",1,0))</f>
        <v>1</v>
      </c>
      <c r="H41" s="11">
        <f t="array" ref="H41">SUM(IF(H3:H38="R2",1,0))</f>
        <v>1</v>
      </c>
      <c r="I41" s="11">
        <f t="array" ref="I41">SUM(IF(I3:I38="R2",1,0))</f>
        <v>1</v>
      </c>
      <c r="J41" s="11">
        <f t="array" ref="J41">SUM(IF(J3:J38="R2",1,0))</f>
        <v>1</v>
      </c>
      <c r="K41" s="11">
        <f t="array" ref="K41">SUM(IF(K3:K38="R2",1,0))</f>
        <v>1</v>
      </c>
      <c r="L41" s="11">
        <f t="array" ref="L41">SUM(IF(L3:L38="R2",1,0))</f>
        <v>1</v>
      </c>
      <c r="M41" s="11">
        <f t="array" ref="M41">SUM(IF(M3:M38="R2",1,0))</f>
        <v>1</v>
      </c>
      <c r="N41" s="11">
        <f t="array" ref="N41">SUM(IF(N3:N38="R2",1,0))</f>
        <v>1</v>
      </c>
      <c r="O41" s="11">
        <f t="array" ref="O41">SUM(IF(O3:O38="R2",1,0))</f>
        <v>1</v>
      </c>
      <c r="P41" s="11">
        <f t="array" ref="P41">SUM(IF(P3:P38="R2",1,0))</f>
        <v>1</v>
      </c>
      <c r="Q41" s="11">
        <f t="array" ref="Q41">SUM(IF(Q3:Q38="R2",1,0))</f>
        <v>1</v>
      </c>
      <c r="R41" s="11">
        <f t="array" ref="R41">SUM(IF(R3:R38="R2",1,0))</f>
        <v>1</v>
      </c>
      <c r="S41" s="11">
        <f t="array" ref="S41">SUM(IF(S3:S38="R2",1,0))</f>
        <v>1</v>
      </c>
      <c r="T41" s="11">
        <f t="array" ref="T41">SUM(IF(T3:T38="R2",1,0))</f>
        <v>1</v>
      </c>
      <c r="U41" s="11">
        <f t="array" ref="U41">SUM(IF(U3:U38="R2",1,0))</f>
        <v>1</v>
      </c>
      <c r="V41" s="11">
        <f t="array" ref="V41">SUM(IF(V3:V38="R2",1,0))</f>
        <v>1</v>
      </c>
      <c r="W41" s="11">
        <f t="array" ref="W41">SUM(IF(W3:W38="R2",1,0))</f>
        <v>1</v>
      </c>
      <c r="X41" s="11">
        <f t="array" ref="X41">SUM(IF(X3:X38="R2",1,0))</f>
        <v>1</v>
      </c>
      <c r="Y41" s="11">
        <f t="array" ref="Y41">SUM(IF(Y3:Y38="R2",1,0))</f>
        <v>1</v>
      </c>
      <c r="Z41" s="11">
        <f t="array" ref="Z41">SUM(IF(Z3:Z38="R2",1,0))</f>
        <v>1</v>
      </c>
      <c r="AA41" s="11">
        <f t="array" ref="AA41">SUM(IF(AA3:AA38="R2",1,0))</f>
        <v>1</v>
      </c>
      <c r="AB41" s="11">
        <f t="array" ref="AB41">SUM(IF(AB3:AB38="R2",1,0))</f>
        <v>1</v>
      </c>
      <c r="AC41" s="11">
        <f t="array" ref="AC41">SUM(IF(AC3:AC38="R2",1,0))</f>
        <v>1</v>
      </c>
      <c r="AD41" s="11">
        <f t="array" ref="AD41">SUM(IF(AD3:AD38="R2",1,0))</f>
        <v>1</v>
      </c>
      <c r="AE41" s="11">
        <f t="array" ref="AE41">SUM(IF(AE3:AE38="R2",1,0))</f>
        <v>1</v>
      </c>
      <c r="AF41" s="11">
        <f t="array" ref="AF41">SUM(IF(AF3:AF38="R2",1,0))</f>
        <v>1</v>
      </c>
      <c r="AG41" s="11">
        <f t="array" ref="AG41">SUM(IF(AG3:AG38="R2",1,0))</f>
        <v>1</v>
      </c>
      <c r="AH41" s="11">
        <f t="array" ref="AH41">SUM(IF(AH3:AH38="R2",1,0))</f>
        <v>1</v>
      </c>
      <c r="AI41" s="11">
        <f t="array" ref="AI41">SUM(IF(AI3:AI38="R2",1,0))</f>
        <v>1</v>
      </c>
      <c r="AJ41" s="11">
        <f t="array" ref="AJ41">SUM(IF(AJ3:AJ38="R2",1,0))</f>
        <v>1</v>
      </c>
      <c r="AK41" s="11">
        <f t="array" ref="AK41">SUM(IF(AK3:AK38="R2",1,0))</f>
        <v>1</v>
      </c>
      <c r="AL41" s="11">
        <f t="array" ref="AL41">SUM(IF(AL3:AL38="R2",1,0))</f>
        <v>1</v>
      </c>
      <c r="AM41" s="11">
        <f t="array" ref="AM41">SUM(IF(AM3:AM38="R2",1,0))</f>
        <v>1</v>
      </c>
      <c r="AN41" s="11">
        <f t="array" ref="AN41">SUM(IF(AN3:AN38="R2",1,0))</f>
        <v>1</v>
      </c>
      <c r="AO41" s="11">
        <f t="array" ref="AO41">SUM(IF(AO3:AO38="R2",1,0))</f>
        <v>1</v>
      </c>
      <c r="AP41" s="11">
        <f t="array" ref="AP41">SUM(IF(AP3:AP38="R2",1,0))</f>
        <v>1</v>
      </c>
      <c r="AQ41" s="11">
        <f t="array" ref="AQ41">SUM(IF(AQ3:AQ38="R2",1,0))</f>
        <v>1</v>
      </c>
      <c r="AR41" s="11">
        <f t="array" ref="AR41">SUM(IF(AR3:AR38="R2",1,0))</f>
        <v>1</v>
      </c>
      <c r="AS41" s="11">
        <f t="array" ref="AS41">SUM(IF(AS3:AS38="R2",1,0))</f>
        <v>1</v>
      </c>
      <c r="AT41" s="11">
        <f t="array" ref="AT41">SUM(IF(AT3:AT38="R2",1,0))</f>
        <v>0</v>
      </c>
      <c r="AU41" s="11">
        <f t="array" ref="AU41">SUM(IF(H4:H37="R2",1,0))</f>
        <v>1</v>
      </c>
      <c r="AV41" s="11">
        <f t="array" ref="AV41">SUM(IF(I4:I37="R2",1,0))</f>
        <v>1</v>
      </c>
      <c r="AW41" s="11">
        <f t="array" ref="AW41">SUM(IF(J4:J37="R2",1,0))</f>
        <v>1</v>
      </c>
      <c r="AX41" s="11">
        <f t="array" ref="AX41">SUM(IF(K4:K37="R2",1,0))</f>
        <v>1</v>
      </c>
      <c r="AY41" s="11">
        <f t="array" ref="AY41">SUM(IF(L4:L37="R2",1,0))</f>
        <v>1</v>
      </c>
    </row>
    <row r="42">
      <c r="E42" s="46" t="s">
        <v>71</v>
      </c>
      <c r="F42" s="29" t="str">
        <f t="shared" ref="F42:V42" si="11">IFERROR(INDEX($A$3:$A$38, MATCH(1, INDEX($F$3:$AR$38, 0, MATCH(F2, $F$2:$AX$2, 0)), 0)), INDEX($A$3:$A$38, MATCH(1, INDEX($F$3:$AR$38, 0, MATCH(F2&amp;" AM", $F$2:$AX$2, 0)), 0)))</f>
        <v>LCP ISAAC LOH KA LOK</v>
      </c>
      <c r="G42" s="29" t="str">
        <f t="shared" si="11"/>
        <v>PTE SUSHILTHERAN NAIR S/O SIRITHERAN </v>
      </c>
      <c r="H42" s="29" t="str">
        <f t="shared" si="11"/>
        <v>PTE JULLION THNG AIK HONG </v>
      </c>
      <c r="I42" s="29" t="str">
        <f t="shared" si="11"/>
        <v>PTE BRYAN MARC MEHAR</v>
      </c>
      <c r="J42" s="29" t="str">
        <f t="shared" si="11"/>
        <v>LCP AL EZRA BIN MOHAMED AL JOHAN </v>
      </c>
      <c r="K42" s="29" t="str">
        <f t="shared" si="11"/>
        <v>PTE PARAM MEHROTRA </v>
      </c>
      <c r="L42" s="29" t="str">
        <f t="shared" si="11"/>
        <v>3SG RYAN LIM WEI</v>
      </c>
      <c r="M42" s="29" t="str">
        <f t="shared" si="11"/>
        <v>PTE WANG XINHANG</v>
      </c>
      <c r="N42" s="29" t="str">
        <f t="shared" si="11"/>
        <v>PTE CLARENCE ONG JUN YI </v>
      </c>
      <c r="O42" s="29" t="str">
        <f t="shared" si="11"/>
        <v>PTE OH EE BING</v>
      </c>
      <c r="P42" s="29" t="str">
        <f t="shared" si="11"/>
        <v>PTE CHEONG JUN KAI, HARRY</v>
      </c>
      <c r="Q42" s="29" t="str">
        <f t="shared" si="11"/>
        <v>LCP NICO CHUA WEE FONG </v>
      </c>
      <c r="R42" s="29" t="str">
        <f t="shared" si="11"/>
        <v>PTE BRYAN MARC MEHAR</v>
      </c>
      <c r="S42" s="29" t="str">
        <f t="shared" si="11"/>
        <v>PTE JULLION THNG AIK HONG </v>
      </c>
      <c r="T42" s="29" t="str">
        <f t="shared" si="11"/>
        <v>LCP JERRYL TAN MING JIE </v>
      </c>
      <c r="U42" s="29" t="str">
        <f t="shared" si="11"/>
        <v>LCP DYLAN TAN</v>
      </c>
      <c r="V42" s="29" t="str">
        <f t="shared" si="11"/>
        <v>PTE JEREMIAH FOO JI SHUAN</v>
      </c>
      <c r="W42" s="29" t="str">
        <f t="shared" ref="W42:AC42" si="12">IFERROR(INDEX($A$3:$A$38, MATCH(1, INDEX($F$3:$AR$38, 0, MATCH(W2, $F$2:$AX$2, 0)), 0)), INDEX($A$3:$A$38, MATCH(1, INDEX($F$3:$AR$38, 0, MATCH(X2&amp;" AM", $F$2:$AX$2, 0)), 0)))</f>
        <v>PTE MUHAMMAD NORSYAFIQ BIN SELAMAT</v>
      </c>
      <c r="X42" s="29" t="str">
        <f t="shared" si="12"/>
        <v>PTE SIDDARTH SREEKUMAR CHERUBAL </v>
      </c>
      <c r="Y42" s="29" t="str">
        <f t="shared" si="12"/>
        <v>PTE ASHRAVEN S/O SIVARAMAN</v>
      </c>
      <c r="Z42" s="29" t="str">
        <f t="shared" si="12"/>
        <v>PTE BARATHAN  S/O JEGANATHAN</v>
      </c>
      <c r="AA42" s="29" t="str">
        <f t="shared" si="12"/>
        <v>PTE BRYAN MARC MEHAR</v>
      </c>
      <c r="AB42" s="29" t="str">
        <f t="shared" si="12"/>
        <v>LCP NICO CHUA WEE FONG </v>
      </c>
      <c r="AC42" s="29" t="str">
        <f t="shared" si="12"/>
        <v>PTE EBRAHIM HAKEEM BIN AMEEHAR </v>
      </c>
      <c r="AD42" s="29" t="str">
        <f t="shared" ref="AD42:AR42" si="13">IFERROR(INDEX($A$3:$A$38, MATCH(1, INDEX($F$3:$AR$38, 0, MATCH(AD2, $F$2:$AX$2, 0)), 0)), INDEX($A$3:$A$38, MATCH(1, INDEX($F$3:$AR$38, 0, MATCH(AD2&amp;" AM", $F$2:$AX$2, 0)), 0)))</f>
        <v>CPL SURIAPRAKASH THRIUVALAKU</v>
      </c>
      <c r="AE42" s="29" t="str">
        <f t="shared" si="13"/>
        <v>LCP AL EZRA BIN MOHAMED AL JOHAN </v>
      </c>
      <c r="AF42" s="29" t="str">
        <f t="shared" si="13"/>
        <v>PTE RYAN TAY RUI YANG</v>
      </c>
      <c r="AG42" s="29" t="str">
        <f t="shared" si="13"/>
        <v>PTE CHEONG JUN KAI, HARRY</v>
      </c>
      <c r="AH42" s="29" t="str">
        <f t="shared" si="13"/>
        <v>PTE DARYL SEOW  SHI YU</v>
      </c>
      <c r="AI42" s="29" t="str">
        <f t="shared" si="13"/>
        <v>PTE JULLION THNG AIK HONG </v>
      </c>
      <c r="AJ42" s="29" t="str">
        <f t="shared" si="13"/>
        <v>PTE SHAVIN VALEN </v>
      </c>
      <c r="AK42" s="29" t="str">
        <f t="shared" si="13"/>
        <v>PTE BRYAN MARC MEHAR</v>
      </c>
      <c r="AL42" s="29" t="str">
        <f t="shared" si="13"/>
        <v>PTE CHONG SIANG NATHAN</v>
      </c>
      <c r="AM42" s="29" t="str">
        <f t="shared" si="13"/>
        <v>PTE HUANG JIANHAO</v>
      </c>
      <c r="AN42" s="29" t="str">
        <f t="shared" si="13"/>
        <v>LCP DYLAN TAN</v>
      </c>
      <c r="AO42" s="29" t="str">
        <f t="shared" si="13"/>
        <v>PTE CHEONG KAI JIE</v>
      </c>
      <c r="AP42" s="29" t="str">
        <f t="shared" si="13"/>
        <v>PTE MUHAMMAD NORSYAFIQ BIN SELAMAT</v>
      </c>
      <c r="AQ42" s="29" t="str">
        <f t="shared" si="13"/>
        <v>PTE TAN WEI JIE</v>
      </c>
      <c r="AR42" s="29" t="str">
        <f t="shared" si="13"/>
        <v>PTE MUHAMMAD HILAL IZDIHAR BIN MOHAMAD IZZUL SHAH</v>
      </c>
      <c r="AS42" s="29" t="str">
        <f t="array" ref="AS42">IFERROR(INDEX($A$3:$A$38, MATCH(1, INDEX($F$3:$AS$38, 0, MATCH(AS2, $F$2:$AX$2, 0)), 0)), INDEX($A$3:$A$38, MATCH(1, INDEX($F$3:$AR$38, 0, MATCH(AS2&amp;" AM", $F$2:$AX$2, 0)), 0)))</f>
        <v>LCP MITCHELL LIM </v>
      </c>
      <c r="AT42" s="29" t="str">
        <f t="shared" ref="AT42:AU42" si="14">IFERROR(INDEX($A$3:$A$38, MATCH(1, INDEX($F$3:$AR$38, 0, MATCH(AT2, $F$2:$AX$2, 0)), 0)), INDEX($A$3:$A$38, MATCH(1, INDEX($F$3:$AR$38, 0, MATCH(AT2&amp;" AM", $F$2:$AX$2, 0)), 0)))</f>
        <v>#N/A</v>
      </c>
      <c r="AU42" s="29" t="str">
        <f t="shared" si="14"/>
        <v>#N/A</v>
      </c>
      <c r="AV42" s="29" t="str">
        <f t="shared" ref="AV42:AY42" si="15">IFERROR(INDEX($A$3:$A$37, MATCH(1, INDEX($F$3:$AR$37, 0, MATCH(I3, $F$2:$AX$2, 0)), 0)), INDEX($A$3:$A$37, MATCH(1, INDEX($F$3:$AR$37, 0, MATCH(I3&amp;" AM", $F$2:$AX$2, 0)), 0)))</f>
        <v>#N/A</v>
      </c>
      <c r="AW42" s="29" t="str">
        <f t="shared" si="15"/>
        <v>#N/A</v>
      </c>
      <c r="AX42" s="29" t="str">
        <f t="shared" si="15"/>
        <v>#N/A</v>
      </c>
      <c r="AY42" s="29" t="str">
        <f t="shared" si="15"/>
        <v>#N/A</v>
      </c>
    </row>
    <row r="43">
      <c r="E43" s="46" t="s">
        <v>72</v>
      </c>
      <c r="F43" s="28" t="str">
        <f t="shared" ref="F43:AR43" si="16">INDEX($A$3:$A$38, MATCH("R", INDEX($F$3:$AR$38, 0, MATCH(F2, $F$2:$AX$2, 0)), 0))</f>
        <v>PTE CHONG SIANG NATHAN</v>
      </c>
      <c r="G43" s="28" t="str">
        <f t="shared" si="16"/>
        <v>PTE DARYL SEOW  SHI YU</v>
      </c>
      <c r="H43" s="28" t="str">
        <f t="shared" si="16"/>
        <v>PTE BARATHAN  S/O JEGANATHAN</v>
      </c>
      <c r="I43" s="28" t="str">
        <f t="shared" si="16"/>
        <v>PTE PARAM MEHROTRA </v>
      </c>
      <c r="J43" s="28" t="str">
        <f t="shared" si="16"/>
        <v>PTE BARATHAN  S/O JEGANATHAN</v>
      </c>
      <c r="K43" s="28" t="str">
        <f t="shared" si="16"/>
        <v>LCP ISAAC LOH KA LOK</v>
      </c>
      <c r="L43" s="28" t="str">
        <f t="shared" si="16"/>
        <v>CPL SURIAPRAKASH THRIUVALAKU</v>
      </c>
      <c r="M43" s="28" t="str">
        <f t="shared" si="16"/>
        <v>LCP MITCHELL LIM </v>
      </c>
      <c r="N43" s="28" t="str">
        <f t="shared" si="16"/>
        <v>PTE CHEONG KAI JIE</v>
      </c>
      <c r="O43" s="28" t="str">
        <f t="shared" si="16"/>
        <v>PTE MUHAMMAD NORSYAFIQ BIN SELAMAT</v>
      </c>
      <c r="P43" s="28" t="str">
        <f t="shared" si="16"/>
        <v>PTE ASHRAVEN S/O SIVARAMAN</v>
      </c>
      <c r="Q43" s="28" t="str">
        <f t="shared" si="16"/>
        <v>PTE SHAVIN VALEN </v>
      </c>
      <c r="R43" s="28" t="str">
        <f t="shared" si="16"/>
        <v>PTE EBRAHIM HAKEEM BIN AMEEHAR </v>
      </c>
      <c r="S43" s="28" t="str">
        <f t="shared" si="16"/>
        <v>LCP AL EZRA BIN MOHAMED AL JOHAN </v>
      </c>
      <c r="T43" s="28" t="str">
        <f t="shared" si="16"/>
        <v>PTE BRYAN MARC MEHAR</v>
      </c>
      <c r="U43" s="28" t="str">
        <f t="shared" si="16"/>
        <v>LCP NICO CHUA WEE FONG </v>
      </c>
      <c r="V43" s="28" t="str">
        <f t="shared" si="16"/>
        <v>LCP ISAAC LOH KA LOK</v>
      </c>
      <c r="W43" s="28" t="str">
        <f t="shared" si="16"/>
        <v>PTE CLARENCE ONG JUN YI </v>
      </c>
      <c r="X43" s="28" t="str">
        <f t="shared" si="16"/>
        <v>CPL SURIAPRAKASH THRIUVALAKU</v>
      </c>
      <c r="Y43" s="28" t="str">
        <f t="shared" si="16"/>
        <v>3SG RYAN LIM WEI</v>
      </c>
      <c r="Z43" s="28" t="str">
        <f t="shared" si="16"/>
        <v>PTE JULLION THNG AIK HONG </v>
      </c>
      <c r="AA43" s="28" t="str">
        <f t="shared" si="16"/>
        <v>PTE CHONG SIANG NATHAN</v>
      </c>
      <c r="AB43" s="28" t="str">
        <f t="shared" si="16"/>
        <v>PTE SUSHILTHERAN NAIR S/O SIRITHERAN </v>
      </c>
      <c r="AC43" s="28" t="str">
        <f t="shared" si="16"/>
        <v>PTE SIDDARTH SREEKUMAR CHERUBAL </v>
      </c>
      <c r="AD43" s="28" t="str">
        <f t="shared" si="16"/>
        <v>LCP DYLAN TAN</v>
      </c>
      <c r="AE43" s="28" t="str">
        <f t="shared" si="16"/>
        <v>PTE HUANG JIANHAO</v>
      </c>
      <c r="AF43" s="28" t="str">
        <f t="shared" si="16"/>
        <v>PTE CLARENCE ONG JUN YI </v>
      </c>
      <c r="AG43" s="28" t="str">
        <f t="shared" si="16"/>
        <v>PTE OH EE BING</v>
      </c>
      <c r="AH43" s="28" t="str">
        <f t="shared" si="16"/>
        <v>PTE RYAN TAY RUI YANG</v>
      </c>
      <c r="AI43" s="28" t="str">
        <f t="shared" si="16"/>
        <v>PTE WANG XINHANG</v>
      </c>
      <c r="AJ43" s="28" t="str">
        <f t="shared" si="16"/>
        <v>PTE TAN WEI JIE</v>
      </c>
      <c r="AK43" s="28" t="str">
        <f t="shared" si="16"/>
        <v>PTE PARAM MEHROTRA </v>
      </c>
      <c r="AL43" s="28" t="str">
        <f t="shared" si="16"/>
        <v>CPL SURIAPRAKASH THRIUVALAKU</v>
      </c>
      <c r="AM43" s="28" t="str">
        <f t="shared" si="16"/>
        <v>PTE BRYAN MARC MEHAR</v>
      </c>
      <c r="AN43" s="28" t="str">
        <f t="shared" si="16"/>
        <v>LCP NICO CHUA WEE FONG </v>
      </c>
      <c r="AO43" s="28" t="str">
        <f t="shared" si="16"/>
        <v>PTE JEREMIAH FOO JI SHUAN</v>
      </c>
      <c r="AP43" s="28" t="str">
        <f t="shared" si="16"/>
        <v>PTE DARYL SEOW  SHI YU</v>
      </c>
      <c r="AQ43" s="28" t="str">
        <f t="shared" si="16"/>
        <v>PTE SIDDARTH SREEKUMAR CHERUBAL </v>
      </c>
      <c r="AR43" s="28" t="str">
        <f t="shared" si="16"/>
        <v>PTE CHEONG JUN KAI, HARRY</v>
      </c>
      <c r="AS43" s="28" t="str">
        <f t="array" ref="AS43">INDEX($A$3:$A$38, MATCH("R", INDEX($F$3:$AS$38, 0, MATCH(AS2, $F$2:$AX$2, 0)), 0))</f>
        <v>PTE RYAN TAY RUI YANG</v>
      </c>
      <c r="AT43" s="28" t="str">
        <f t="shared" ref="AT43:AU43" si="17">INDEX($A$3:$A$38, MATCH("R", INDEX($F$3:$AR$38, 0, MATCH(AT2, $F$2:$AX$2, 0)), 0))</f>
        <v>#N/A</v>
      </c>
      <c r="AU43" s="28" t="str">
        <f t="shared" si="17"/>
        <v>#N/A</v>
      </c>
      <c r="AV43" s="28" t="str">
        <f t="shared" ref="AV43:AY43" si="18">INDEX($A$3:$A$37, MATCH("R", INDEX($F$3:$AR$37, 0, MATCH(I3, $F$2:$AX$2, 0)), 0))</f>
        <v>#N/A</v>
      </c>
      <c r="AW43" s="28" t="str">
        <f t="shared" si="18"/>
        <v>#N/A</v>
      </c>
      <c r="AX43" s="28" t="str">
        <f t="shared" si="18"/>
        <v>#N/A</v>
      </c>
      <c r="AY43" s="28" t="str">
        <f t="shared" si="18"/>
        <v>#N/A</v>
      </c>
    </row>
    <row r="44">
      <c r="A44" s="17" t="s">
        <v>232</v>
      </c>
      <c r="C44" s="49">
        <f>COUNTA($H$1:$AR1)</f>
        <v>37</v>
      </c>
      <c r="E44" s="46" t="s">
        <v>70</v>
      </c>
      <c r="F44" s="30" t="str">
        <f t="shared" ref="F44:AR44" si="19">INDEX($A$3:$A$38, MATCH("R2", INDEX($F$3:$AR$38, 0, MATCH(F2, $F$2:$AX$2, 0)), 0))</f>
        <v>PTE RYAN TAY RUI YANG</v>
      </c>
      <c r="G44" s="30" t="str">
        <f t="shared" si="19"/>
        <v>CPL SURIAPRAKASH THRIUVALAKU</v>
      </c>
      <c r="H44" s="30" t="str">
        <f t="shared" si="19"/>
        <v>LCP JERRYL TAN MING JIE </v>
      </c>
      <c r="I44" s="30" t="str">
        <f t="shared" si="19"/>
        <v>PTE MUHAMMAD HILAL IZDIHAR BIN MOHAMAD IZZUL SHAH</v>
      </c>
      <c r="J44" s="30" t="str">
        <f t="shared" si="19"/>
        <v>PTE SIDDARTH SREEKUMAR CHERUBAL </v>
      </c>
      <c r="K44" s="30" t="str">
        <f t="shared" si="19"/>
        <v>LCP MITCHELL LIM </v>
      </c>
      <c r="L44" s="30" t="str">
        <f t="shared" si="19"/>
        <v>LCP DYLAN TAN</v>
      </c>
      <c r="M44" s="30" t="str">
        <f t="shared" si="19"/>
        <v>PTE SUSHILTHERAN NAIR S/O SIRITHERAN </v>
      </c>
      <c r="N44" s="30" t="str">
        <f t="shared" si="19"/>
        <v>PTE JEREMIAH FOO JI SHUAN</v>
      </c>
      <c r="O44" s="30" t="str">
        <f t="shared" si="19"/>
        <v>PTE RYAN TAY RUI YANG</v>
      </c>
      <c r="P44" s="30" t="str">
        <f t="shared" si="19"/>
        <v>3SG RYAN LIM WEI</v>
      </c>
      <c r="Q44" s="30" t="str">
        <f t="shared" si="19"/>
        <v>PTE CHONG SIANG NATHAN</v>
      </c>
      <c r="R44" s="30" t="str">
        <f t="shared" si="19"/>
        <v>PTE PARAM MEHROTRA </v>
      </c>
      <c r="S44" s="30" t="str">
        <f t="shared" si="19"/>
        <v>PTE SIDDARTH SREEKUMAR CHERUBAL </v>
      </c>
      <c r="T44" s="30" t="str">
        <f t="shared" si="19"/>
        <v>PTE PARAM MEHROTRA </v>
      </c>
      <c r="U44" s="30" t="str">
        <f t="shared" si="19"/>
        <v>PTE SUSHILTHERAN NAIR S/O SIRITHERAN </v>
      </c>
      <c r="V44" s="30" t="str">
        <f t="shared" si="19"/>
        <v>PTE JULLION THNG AIK HONG </v>
      </c>
      <c r="W44" s="30" t="str">
        <f t="shared" si="19"/>
        <v>PTE OH EE BING</v>
      </c>
      <c r="X44" s="30" t="str">
        <f t="shared" si="19"/>
        <v>PTE WANG XINHANG</v>
      </c>
      <c r="Y44" s="30" t="str">
        <f t="shared" si="19"/>
        <v>PTE CHEONG JUN KAI, HARRY</v>
      </c>
      <c r="Z44" s="30" t="str">
        <f t="shared" si="19"/>
        <v>LCP ISAAC LOH KA LOK</v>
      </c>
      <c r="AA44" s="30" t="str">
        <f t="shared" si="19"/>
        <v>PTE EBRAHIM HAKEEM BIN AMEEHAR </v>
      </c>
      <c r="AB44" s="30" t="str">
        <f t="shared" si="19"/>
        <v>LCP JERRYL TAN MING JIE </v>
      </c>
      <c r="AC44" s="30" t="str">
        <f t="shared" si="19"/>
        <v>PTE BRYAN MARC MEHAR</v>
      </c>
      <c r="AD44" s="30" t="str">
        <f t="shared" si="19"/>
        <v>3SG RYAN LIM WEI</v>
      </c>
      <c r="AE44" s="30" t="str">
        <f t="shared" si="19"/>
        <v>PTE DARYL SEOW  SHI YU</v>
      </c>
      <c r="AF44" s="30" t="str">
        <f t="shared" si="19"/>
        <v>PTE MUHAMMAD HILAL IZDIHAR BIN MOHAMAD IZZUL SHAH</v>
      </c>
      <c r="AG44" s="30" t="str">
        <f t="shared" si="19"/>
        <v>PTE CHEONG KAI JIE</v>
      </c>
      <c r="AH44" s="30" t="str">
        <f t="shared" si="19"/>
        <v>PTE MUHAMMAD NORSYAFIQ BIN SELAMAT</v>
      </c>
      <c r="AI44" s="30" t="str">
        <f t="shared" si="19"/>
        <v>PTE BARATHAN  S/O JEGANATHAN</v>
      </c>
      <c r="AJ44" s="30" t="str">
        <f t="shared" si="19"/>
        <v>PTE CLARENCE ONG JUN YI </v>
      </c>
      <c r="AK44" s="30" t="str">
        <f t="shared" si="19"/>
        <v>PTE HUANG JIANHAO</v>
      </c>
      <c r="AL44" s="30" t="str">
        <f t="shared" si="19"/>
        <v>LCP AL EZRA BIN MOHAMED AL JOHAN </v>
      </c>
      <c r="AM44" s="30" t="str">
        <f t="shared" si="19"/>
        <v>LCP ISAAC LOH KA LOK</v>
      </c>
      <c r="AN44" s="30" t="str">
        <f t="shared" si="19"/>
        <v>LCP JERRYL TAN MING JIE </v>
      </c>
      <c r="AO44" s="30" t="str">
        <f t="shared" si="19"/>
        <v>PTE ASHRAVEN S/O SIVARAMAN</v>
      </c>
      <c r="AP44" s="30" t="str">
        <f t="shared" si="19"/>
        <v>PTE SUSHILTHERAN NAIR S/O SIRITHERAN </v>
      </c>
      <c r="AQ44" s="30" t="str">
        <f t="shared" si="19"/>
        <v>LCP JERRYL TAN MING JIE </v>
      </c>
      <c r="AR44" s="30" t="str">
        <f t="shared" si="19"/>
        <v>PTE WANG XINHANG</v>
      </c>
      <c r="AS44" s="30" t="str">
        <f t="array" ref="AS44">INDEX($A$3:$A$38, MATCH("R2", INDEX($F$3:$AS$38, 0, MATCH(AS2, $F$2:$AX$2, 0)), 0))</f>
        <v>PTE TAN WEI JIE</v>
      </c>
      <c r="AT44" s="30" t="str">
        <f t="shared" ref="AT44:AU44" si="20">INDEX($A$3:$A$38, MATCH("R2", INDEX($F$3:$AR$38, 0, MATCH(AT2, $F$2:$AX$2, 0)), 0))</f>
        <v>#N/A</v>
      </c>
      <c r="AU44" s="30" t="str">
        <f t="shared" si="20"/>
        <v>#N/A</v>
      </c>
      <c r="AV44" s="30" t="str">
        <f t="shared" ref="AV44:AY44" si="21">INDEX($A$3:$A$37, MATCH("R2", INDEX($F$3:$AR$37, 0, MATCH(I3, $F$2:$AX$2, 0)), 0))</f>
        <v>#N/A</v>
      </c>
      <c r="AW44" s="30" t="str">
        <f t="shared" si="21"/>
        <v>#N/A</v>
      </c>
      <c r="AX44" s="30" t="str">
        <f t="shared" si="21"/>
        <v>#N/A</v>
      </c>
      <c r="AY44" s="30" t="str">
        <f t="shared" si="21"/>
        <v>#N/A</v>
      </c>
    </row>
    <row r="45">
      <c r="A45" s="17" t="s">
        <v>154</v>
      </c>
      <c r="C45" s="50">
        <f>SUBTOTAL(103, $A$3:$A$37)
</f>
        <v>32</v>
      </c>
      <c r="J45" s="31"/>
    </row>
    <row r="46">
      <c r="J46" s="31"/>
    </row>
    <row r="47">
      <c r="H47" s="17" t="s">
        <v>525</v>
      </c>
      <c r="J47" s="31"/>
    </row>
    <row r="48">
      <c r="A48" s="26" t="s">
        <v>118</v>
      </c>
      <c r="H48" s="17" t="s">
        <v>526</v>
      </c>
      <c r="J48" s="31"/>
    </row>
    <row r="49">
      <c r="A49" s="25" t="s">
        <v>119</v>
      </c>
      <c r="H49" s="17" t="s">
        <v>527</v>
      </c>
      <c r="J49" s="31"/>
    </row>
    <row r="50">
      <c r="A50" s="22" t="s">
        <v>120</v>
      </c>
      <c r="J50" s="31"/>
    </row>
    <row r="51">
      <c r="A51" s="20" t="s">
        <v>121</v>
      </c>
      <c r="J51" s="31"/>
    </row>
    <row r="52">
      <c r="A52" s="23" t="s">
        <v>122</v>
      </c>
      <c r="J52" s="31"/>
    </row>
    <row r="53">
      <c r="A53" s="14" t="s">
        <v>123</v>
      </c>
      <c r="J53" s="31"/>
    </row>
    <row r="54">
      <c r="A54" s="9" t="s">
        <v>125</v>
      </c>
      <c r="J54" s="31"/>
    </row>
    <row r="55">
      <c r="A55" s="44" t="s">
        <v>126</v>
      </c>
      <c r="C55" s="31"/>
      <c r="J55" s="31"/>
    </row>
    <row r="56">
      <c r="A56" s="62" t="s">
        <v>203</v>
      </c>
      <c r="J56" s="31"/>
    </row>
    <row r="57">
      <c r="A57" s="70" t="s">
        <v>233</v>
      </c>
      <c r="J57" s="31"/>
    </row>
    <row r="58">
      <c r="A58" s="69" t="s">
        <v>234</v>
      </c>
      <c r="J58" s="31"/>
    </row>
    <row r="59">
      <c r="A59" s="27" t="s">
        <v>124</v>
      </c>
      <c r="J59" s="31"/>
    </row>
    <row r="60">
      <c r="A60" s="24" t="s">
        <v>528</v>
      </c>
      <c r="J60" s="31"/>
    </row>
    <row r="61">
      <c r="J61" s="31"/>
    </row>
    <row r="62">
      <c r="J62" s="31"/>
    </row>
    <row r="63">
      <c r="J63" s="31"/>
    </row>
    <row r="64">
      <c r="J64" s="31"/>
    </row>
    <row r="65">
      <c r="J65" s="31"/>
    </row>
    <row r="66">
      <c r="J66" s="31"/>
    </row>
    <row r="67">
      <c r="J67" s="31"/>
    </row>
    <row r="68">
      <c r="J68" s="31"/>
    </row>
    <row r="69">
      <c r="J69" s="31"/>
    </row>
    <row r="70">
      <c r="J70" s="31"/>
    </row>
    <row r="71">
      <c r="J71" s="31"/>
    </row>
    <row r="72">
      <c r="J72" s="31"/>
    </row>
    <row r="73">
      <c r="J73" s="31"/>
    </row>
    <row r="74">
      <c r="J74" s="31"/>
    </row>
    <row r="75">
      <c r="J75" s="31"/>
    </row>
    <row r="76">
      <c r="J76" s="31"/>
    </row>
    <row r="77">
      <c r="J77" s="31"/>
    </row>
    <row r="78">
      <c r="J78" s="31"/>
    </row>
    <row r="79">
      <c r="J79" s="31"/>
    </row>
    <row r="80">
      <c r="J80" s="31"/>
    </row>
    <row r="81">
      <c r="J81" s="31"/>
    </row>
    <row r="82">
      <c r="J82" s="31"/>
    </row>
    <row r="83">
      <c r="J83" s="31"/>
    </row>
    <row r="84">
      <c r="J84" s="31"/>
    </row>
    <row r="85">
      <c r="J85" s="31"/>
    </row>
    <row r="86">
      <c r="J86" s="31"/>
    </row>
    <row r="87">
      <c r="J87" s="31"/>
    </row>
    <row r="88">
      <c r="J88" s="31"/>
    </row>
    <row r="89">
      <c r="J89" s="31"/>
    </row>
    <row r="90">
      <c r="J90" s="31"/>
    </row>
    <row r="91">
      <c r="J91" s="31"/>
    </row>
    <row r="92">
      <c r="J92" s="31"/>
    </row>
    <row r="93">
      <c r="J93" s="31"/>
    </row>
    <row r="94">
      <c r="J94" s="31"/>
    </row>
    <row r="95">
      <c r="J95" s="31"/>
    </row>
    <row r="96">
      <c r="J96" s="31"/>
    </row>
    <row r="97">
      <c r="J97" s="31"/>
    </row>
    <row r="98">
      <c r="J98" s="31"/>
    </row>
    <row r="99">
      <c r="J99" s="31"/>
    </row>
    <row r="100">
      <c r="J100" s="31"/>
    </row>
    <row r="101">
      <c r="J101" s="31"/>
    </row>
    <row r="102">
      <c r="J102" s="31"/>
    </row>
    <row r="103">
      <c r="J103" s="31"/>
    </row>
    <row r="104">
      <c r="J104" s="31"/>
    </row>
    <row r="105">
      <c r="J105" s="31"/>
    </row>
    <row r="106">
      <c r="J106" s="31"/>
    </row>
    <row r="107">
      <c r="J107" s="31"/>
    </row>
    <row r="108">
      <c r="J108" s="31"/>
    </row>
    <row r="109">
      <c r="J109" s="31"/>
    </row>
    <row r="110">
      <c r="J110" s="31"/>
    </row>
    <row r="111">
      <c r="J111" s="31"/>
    </row>
    <row r="112">
      <c r="J112" s="31"/>
    </row>
    <row r="113">
      <c r="J113" s="31"/>
    </row>
    <row r="114">
      <c r="J114" s="31"/>
    </row>
    <row r="115">
      <c r="J115" s="31"/>
    </row>
    <row r="116">
      <c r="J116" s="31"/>
    </row>
    <row r="117">
      <c r="J117" s="31"/>
    </row>
    <row r="118">
      <c r="J118" s="31"/>
    </row>
    <row r="119">
      <c r="J119" s="31"/>
    </row>
    <row r="120">
      <c r="J120" s="31"/>
    </row>
    <row r="121">
      <c r="J121" s="31"/>
    </row>
    <row r="122">
      <c r="J122" s="31"/>
    </row>
    <row r="123">
      <c r="J123" s="31"/>
    </row>
    <row r="124">
      <c r="J124" s="31"/>
    </row>
    <row r="125">
      <c r="J125" s="31"/>
    </row>
    <row r="126">
      <c r="J126" s="31"/>
    </row>
    <row r="127">
      <c r="J127" s="31"/>
    </row>
    <row r="128">
      <c r="J128" s="31"/>
    </row>
    <row r="129">
      <c r="J129" s="31"/>
    </row>
    <row r="130">
      <c r="J130" s="31"/>
    </row>
    <row r="131">
      <c r="J131" s="31"/>
    </row>
    <row r="132">
      <c r="J132" s="31"/>
    </row>
    <row r="133">
      <c r="J133" s="31"/>
    </row>
    <row r="134">
      <c r="J134" s="31"/>
    </row>
    <row r="135">
      <c r="J135" s="31"/>
    </row>
    <row r="136">
      <c r="J136" s="31"/>
    </row>
    <row r="137">
      <c r="J137" s="31"/>
    </row>
    <row r="138">
      <c r="J138" s="31"/>
    </row>
    <row r="139">
      <c r="J139" s="31"/>
    </row>
    <row r="140">
      <c r="J140" s="31"/>
    </row>
    <row r="141">
      <c r="J141" s="31"/>
    </row>
    <row r="142">
      <c r="J142" s="31"/>
    </row>
    <row r="143">
      <c r="J143" s="31"/>
    </row>
    <row r="144">
      <c r="J144" s="31"/>
    </row>
    <row r="145">
      <c r="J145" s="31"/>
    </row>
    <row r="146">
      <c r="J146" s="31"/>
    </row>
    <row r="147">
      <c r="J147" s="31"/>
    </row>
    <row r="148">
      <c r="J148" s="31"/>
    </row>
    <row r="149">
      <c r="J149" s="31"/>
    </row>
    <row r="150">
      <c r="J150" s="31"/>
    </row>
    <row r="151">
      <c r="J151" s="31"/>
    </row>
    <row r="152">
      <c r="J152" s="31"/>
    </row>
    <row r="153">
      <c r="J153" s="31"/>
    </row>
    <row r="154">
      <c r="J154" s="31"/>
    </row>
    <row r="155">
      <c r="J155" s="31"/>
    </row>
    <row r="156">
      <c r="J156" s="31"/>
    </row>
    <row r="157">
      <c r="J157" s="31"/>
    </row>
    <row r="158">
      <c r="J158" s="31"/>
    </row>
    <row r="159">
      <c r="J159" s="31"/>
    </row>
    <row r="160">
      <c r="J160" s="31"/>
    </row>
    <row r="161">
      <c r="J161" s="31"/>
    </row>
    <row r="162">
      <c r="J162" s="31"/>
    </row>
    <row r="163">
      <c r="J163" s="31"/>
    </row>
    <row r="164">
      <c r="J164" s="31"/>
    </row>
    <row r="165">
      <c r="J165" s="31"/>
    </row>
    <row r="166">
      <c r="J166" s="31"/>
    </row>
    <row r="167">
      <c r="J167" s="31"/>
    </row>
    <row r="168">
      <c r="J168" s="31"/>
    </row>
    <row r="169">
      <c r="J169" s="31"/>
    </row>
    <row r="170">
      <c r="J170" s="31"/>
    </row>
    <row r="171">
      <c r="J171" s="31"/>
    </row>
    <row r="172">
      <c r="J172" s="31"/>
    </row>
    <row r="173">
      <c r="J173" s="31"/>
    </row>
    <row r="174">
      <c r="J174" s="31"/>
    </row>
    <row r="175">
      <c r="J175" s="31"/>
    </row>
    <row r="176">
      <c r="J176" s="31"/>
    </row>
    <row r="177">
      <c r="J177" s="31"/>
    </row>
    <row r="178">
      <c r="J178" s="31"/>
    </row>
    <row r="179">
      <c r="J179" s="31"/>
    </row>
    <row r="180">
      <c r="J180" s="31"/>
    </row>
    <row r="181">
      <c r="J181" s="31"/>
    </row>
    <row r="182">
      <c r="J182" s="31"/>
    </row>
    <row r="183">
      <c r="J183" s="31"/>
    </row>
    <row r="184">
      <c r="J184" s="31"/>
    </row>
    <row r="185">
      <c r="J185" s="31"/>
    </row>
    <row r="186">
      <c r="J186" s="31"/>
    </row>
    <row r="187">
      <c r="J187" s="31"/>
    </row>
    <row r="188">
      <c r="J188" s="31"/>
    </row>
    <row r="189">
      <c r="J189" s="31"/>
    </row>
    <row r="190">
      <c r="J190" s="31"/>
    </row>
    <row r="191">
      <c r="J191" s="31"/>
    </row>
    <row r="192">
      <c r="J192" s="31"/>
    </row>
    <row r="193">
      <c r="J193" s="31"/>
    </row>
    <row r="194">
      <c r="J194" s="31"/>
    </row>
    <row r="195">
      <c r="J195" s="31"/>
    </row>
    <row r="196">
      <c r="J196" s="31"/>
    </row>
    <row r="197">
      <c r="J197" s="31"/>
    </row>
    <row r="198">
      <c r="J198" s="31"/>
    </row>
    <row r="199">
      <c r="J199" s="31"/>
    </row>
    <row r="200">
      <c r="J200" s="31"/>
    </row>
    <row r="201">
      <c r="J201" s="31"/>
    </row>
    <row r="202">
      <c r="J202" s="31"/>
    </row>
    <row r="203">
      <c r="J203" s="31"/>
    </row>
    <row r="204">
      <c r="J204" s="31"/>
    </row>
    <row r="205">
      <c r="J205" s="31"/>
    </row>
    <row r="206">
      <c r="J206" s="31"/>
    </row>
    <row r="207">
      <c r="J207" s="31"/>
    </row>
    <row r="208">
      <c r="J208" s="31"/>
    </row>
    <row r="209">
      <c r="J209" s="31"/>
    </row>
    <row r="210">
      <c r="J210" s="31"/>
    </row>
    <row r="211">
      <c r="J211" s="31"/>
    </row>
    <row r="212">
      <c r="J212" s="31"/>
    </row>
    <row r="213">
      <c r="J213" s="31"/>
    </row>
    <row r="214">
      <c r="J214" s="31"/>
    </row>
    <row r="215">
      <c r="J215" s="31"/>
    </row>
    <row r="216">
      <c r="J216" s="31"/>
    </row>
    <row r="217">
      <c r="J217" s="31"/>
    </row>
    <row r="218">
      <c r="J218" s="31"/>
    </row>
    <row r="219">
      <c r="J219" s="31"/>
    </row>
    <row r="220">
      <c r="J220" s="31"/>
    </row>
    <row r="221">
      <c r="J221" s="31"/>
    </row>
    <row r="222">
      <c r="J222" s="31"/>
    </row>
    <row r="223">
      <c r="J223" s="31"/>
    </row>
    <row r="224">
      <c r="J224" s="31"/>
    </row>
    <row r="225">
      <c r="J225" s="31"/>
    </row>
    <row r="226">
      <c r="J226" s="31"/>
    </row>
    <row r="227">
      <c r="J227" s="31"/>
    </row>
    <row r="228">
      <c r="J228" s="31"/>
    </row>
    <row r="229">
      <c r="J229" s="31"/>
    </row>
    <row r="230">
      <c r="J230" s="31"/>
    </row>
    <row r="231">
      <c r="J231" s="31"/>
    </row>
    <row r="232">
      <c r="J232" s="31"/>
    </row>
    <row r="233">
      <c r="J233" s="31"/>
    </row>
    <row r="234">
      <c r="J234" s="31"/>
    </row>
    <row r="235">
      <c r="J235" s="31"/>
    </row>
    <row r="236">
      <c r="J236" s="31"/>
    </row>
    <row r="237">
      <c r="J237" s="31"/>
    </row>
    <row r="238">
      <c r="J238" s="31"/>
    </row>
    <row r="239">
      <c r="J239" s="31"/>
    </row>
    <row r="240">
      <c r="J240" s="31"/>
    </row>
    <row r="241">
      <c r="J241" s="31"/>
    </row>
    <row r="242">
      <c r="J242" s="31"/>
    </row>
    <row r="243">
      <c r="J243" s="31"/>
    </row>
    <row r="244">
      <c r="J244" s="31"/>
    </row>
    <row r="245">
      <c r="J245" s="31"/>
    </row>
    <row r="246">
      <c r="J246" s="31"/>
    </row>
    <row r="247">
      <c r="J247" s="31"/>
    </row>
    <row r="248">
      <c r="J248" s="31"/>
    </row>
    <row r="249">
      <c r="J249" s="31"/>
    </row>
    <row r="250">
      <c r="J250" s="31"/>
    </row>
    <row r="251">
      <c r="J251" s="31"/>
    </row>
    <row r="252">
      <c r="J252" s="31"/>
    </row>
    <row r="253">
      <c r="J253" s="31"/>
    </row>
    <row r="254">
      <c r="J254" s="31"/>
    </row>
    <row r="255">
      <c r="J255" s="31"/>
    </row>
    <row r="256">
      <c r="J256" s="31"/>
    </row>
    <row r="257">
      <c r="J257" s="31"/>
    </row>
    <row r="258">
      <c r="J258" s="31"/>
    </row>
    <row r="259">
      <c r="J259" s="31"/>
    </row>
    <row r="260">
      <c r="J260" s="31"/>
    </row>
    <row r="261">
      <c r="J261" s="31"/>
    </row>
    <row r="262">
      <c r="J262" s="31"/>
    </row>
    <row r="263">
      <c r="J263" s="31"/>
    </row>
    <row r="264">
      <c r="J264" s="31"/>
    </row>
    <row r="265">
      <c r="J265" s="31"/>
    </row>
    <row r="266">
      <c r="J266" s="31"/>
    </row>
    <row r="267">
      <c r="J267" s="31"/>
    </row>
    <row r="268">
      <c r="J268" s="31"/>
    </row>
    <row r="269">
      <c r="J269" s="31"/>
    </row>
    <row r="270">
      <c r="J270" s="31"/>
    </row>
    <row r="271">
      <c r="J271" s="31"/>
    </row>
    <row r="272">
      <c r="J272" s="31"/>
    </row>
    <row r="273">
      <c r="J273" s="31"/>
    </row>
    <row r="274">
      <c r="J274" s="31"/>
    </row>
    <row r="275">
      <c r="J275" s="31"/>
    </row>
    <row r="276">
      <c r="J276" s="31"/>
    </row>
    <row r="277">
      <c r="J277" s="31"/>
    </row>
    <row r="278">
      <c r="J278" s="31"/>
    </row>
    <row r="279">
      <c r="J279" s="31"/>
    </row>
    <row r="280">
      <c r="J280" s="31"/>
    </row>
    <row r="281">
      <c r="J281" s="31"/>
    </row>
    <row r="282">
      <c r="J282" s="31"/>
    </row>
    <row r="283">
      <c r="J283" s="31"/>
    </row>
    <row r="284">
      <c r="J284" s="31"/>
    </row>
    <row r="285">
      <c r="J285" s="31"/>
    </row>
    <row r="286">
      <c r="J286" s="31"/>
    </row>
    <row r="287">
      <c r="J287" s="31"/>
    </row>
    <row r="288">
      <c r="J288" s="31"/>
    </row>
    <row r="289">
      <c r="J289" s="31"/>
    </row>
    <row r="290">
      <c r="J290" s="31"/>
    </row>
    <row r="291">
      <c r="J291" s="31"/>
    </row>
    <row r="292">
      <c r="J292" s="31"/>
    </row>
    <row r="293">
      <c r="J293" s="31"/>
    </row>
    <row r="294">
      <c r="J294" s="31"/>
    </row>
    <row r="295">
      <c r="J295" s="31"/>
    </row>
    <row r="296">
      <c r="J296" s="31"/>
    </row>
    <row r="297">
      <c r="J297" s="31"/>
    </row>
    <row r="298">
      <c r="J298" s="31"/>
    </row>
    <row r="299">
      <c r="J299" s="31"/>
    </row>
    <row r="300">
      <c r="J300" s="31"/>
    </row>
    <row r="301">
      <c r="J301" s="31"/>
    </row>
    <row r="302">
      <c r="J302" s="31"/>
    </row>
    <row r="303">
      <c r="J303" s="31"/>
    </row>
    <row r="304">
      <c r="J304" s="31"/>
    </row>
    <row r="305">
      <c r="J305" s="31"/>
    </row>
    <row r="306">
      <c r="J306" s="31"/>
    </row>
    <row r="307">
      <c r="J307" s="31"/>
    </row>
    <row r="308">
      <c r="J308" s="31"/>
    </row>
    <row r="309">
      <c r="J309" s="31"/>
    </row>
    <row r="310">
      <c r="J310" s="31"/>
    </row>
    <row r="311">
      <c r="J311" s="31"/>
    </row>
    <row r="312">
      <c r="J312" s="31"/>
    </row>
    <row r="313">
      <c r="J313" s="31"/>
    </row>
    <row r="314">
      <c r="J314" s="31"/>
    </row>
    <row r="315">
      <c r="J315" s="31"/>
    </row>
    <row r="316">
      <c r="J316" s="31"/>
    </row>
    <row r="317">
      <c r="J317" s="31"/>
    </row>
    <row r="318">
      <c r="J318" s="31"/>
    </row>
    <row r="319">
      <c r="J319" s="31"/>
    </row>
    <row r="320">
      <c r="J320" s="31"/>
    </row>
    <row r="321">
      <c r="J321" s="31"/>
    </row>
    <row r="322">
      <c r="J322" s="31"/>
    </row>
    <row r="323">
      <c r="J323" s="31"/>
    </row>
    <row r="324">
      <c r="J324" s="31"/>
    </row>
    <row r="325">
      <c r="J325" s="31"/>
    </row>
    <row r="326">
      <c r="J326" s="31"/>
    </row>
    <row r="327">
      <c r="J327" s="31"/>
    </row>
    <row r="328">
      <c r="J328" s="31"/>
    </row>
    <row r="329">
      <c r="J329" s="31"/>
    </row>
    <row r="330">
      <c r="J330" s="31"/>
    </row>
    <row r="331">
      <c r="J331" s="31"/>
    </row>
    <row r="332">
      <c r="J332" s="31"/>
    </row>
    <row r="333">
      <c r="J333" s="31"/>
    </row>
    <row r="334">
      <c r="J334" s="31"/>
    </row>
    <row r="335">
      <c r="J335" s="31"/>
    </row>
    <row r="336">
      <c r="J336" s="31"/>
    </row>
    <row r="337">
      <c r="J337" s="31"/>
    </row>
    <row r="338">
      <c r="J338" s="31"/>
    </row>
    <row r="339">
      <c r="J339" s="31"/>
    </row>
    <row r="340">
      <c r="J340" s="31"/>
    </row>
    <row r="341">
      <c r="J341" s="31"/>
    </row>
    <row r="342">
      <c r="J342" s="31"/>
    </row>
    <row r="343">
      <c r="J343" s="31"/>
    </row>
    <row r="344">
      <c r="J344" s="31"/>
    </row>
    <row r="345">
      <c r="J345" s="31"/>
    </row>
    <row r="346">
      <c r="J346" s="31"/>
    </row>
    <row r="347">
      <c r="J347" s="31"/>
    </row>
    <row r="348">
      <c r="J348" s="31"/>
    </row>
    <row r="349">
      <c r="J349" s="31"/>
    </row>
    <row r="350">
      <c r="J350" s="31"/>
    </row>
    <row r="351">
      <c r="J351" s="31"/>
    </row>
    <row r="352">
      <c r="J352" s="31"/>
    </row>
    <row r="353">
      <c r="J353" s="31"/>
    </row>
    <row r="354">
      <c r="J354" s="31"/>
    </row>
    <row r="355">
      <c r="J355" s="31"/>
    </row>
    <row r="356">
      <c r="J356" s="31"/>
    </row>
    <row r="357">
      <c r="J357" s="31"/>
    </row>
    <row r="358">
      <c r="J358" s="31"/>
    </row>
    <row r="359">
      <c r="J359" s="31"/>
    </row>
    <row r="360">
      <c r="J360" s="31"/>
    </row>
    <row r="361">
      <c r="J361" s="31"/>
    </row>
    <row r="362">
      <c r="J362" s="31"/>
    </row>
    <row r="363">
      <c r="J363" s="31"/>
    </row>
    <row r="364">
      <c r="J364" s="31"/>
    </row>
    <row r="365">
      <c r="J365" s="31"/>
    </row>
    <row r="366">
      <c r="J366" s="31"/>
    </row>
    <row r="367">
      <c r="J367" s="31"/>
    </row>
    <row r="368">
      <c r="J368" s="31"/>
    </row>
    <row r="369">
      <c r="J369" s="31"/>
    </row>
    <row r="370">
      <c r="J370" s="31"/>
    </row>
    <row r="371">
      <c r="J371" s="31"/>
    </row>
    <row r="372">
      <c r="J372" s="31"/>
    </row>
    <row r="373">
      <c r="J373" s="31"/>
    </row>
    <row r="374">
      <c r="J374" s="31"/>
    </row>
    <row r="375">
      <c r="J375" s="31"/>
    </row>
    <row r="376">
      <c r="J376" s="31"/>
    </row>
    <row r="377">
      <c r="J377" s="31"/>
    </row>
    <row r="378">
      <c r="J378" s="31"/>
    </row>
    <row r="379">
      <c r="J379" s="31"/>
    </row>
    <row r="380">
      <c r="J380" s="31"/>
    </row>
    <row r="381">
      <c r="J381" s="31"/>
    </row>
    <row r="382">
      <c r="J382" s="31"/>
    </row>
    <row r="383">
      <c r="J383" s="31"/>
    </row>
    <row r="384">
      <c r="J384" s="31"/>
    </row>
    <row r="385">
      <c r="J385" s="31"/>
    </row>
    <row r="386">
      <c r="J386" s="31"/>
    </row>
    <row r="387">
      <c r="J387" s="31"/>
    </row>
    <row r="388">
      <c r="J388" s="31"/>
    </row>
    <row r="389">
      <c r="J389" s="31"/>
    </row>
    <row r="390">
      <c r="J390" s="31"/>
    </row>
    <row r="391">
      <c r="J391" s="31"/>
    </row>
    <row r="392">
      <c r="J392" s="31"/>
    </row>
    <row r="393">
      <c r="J393" s="31"/>
    </row>
    <row r="394">
      <c r="J394" s="31"/>
    </row>
    <row r="395">
      <c r="J395" s="31"/>
    </row>
    <row r="396">
      <c r="J396" s="31"/>
    </row>
    <row r="397">
      <c r="J397" s="31"/>
    </row>
    <row r="398">
      <c r="J398" s="31"/>
    </row>
    <row r="399">
      <c r="J399" s="31"/>
    </row>
    <row r="400">
      <c r="J400" s="31"/>
    </row>
    <row r="401">
      <c r="J401" s="31"/>
    </row>
    <row r="402">
      <c r="J402" s="31"/>
    </row>
    <row r="403">
      <c r="J403" s="31"/>
    </row>
    <row r="404">
      <c r="J404" s="31"/>
    </row>
    <row r="405">
      <c r="J405" s="31"/>
    </row>
    <row r="406">
      <c r="J406" s="31"/>
    </row>
    <row r="407">
      <c r="J407" s="31"/>
    </row>
    <row r="408">
      <c r="J408" s="31"/>
    </row>
    <row r="409">
      <c r="J409" s="31"/>
    </row>
    <row r="410">
      <c r="J410" s="31"/>
    </row>
    <row r="411">
      <c r="J411" s="31"/>
    </row>
    <row r="412">
      <c r="J412" s="31"/>
    </row>
    <row r="413">
      <c r="J413" s="31"/>
    </row>
    <row r="414">
      <c r="J414" s="31"/>
    </row>
    <row r="415">
      <c r="J415" s="31"/>
    </row>
    <row r="416">
      <c r="J416" s="31"/>
    </row>
    <row r="417">
      <c r="J417" s="31"/>
    </row>
    <row r="418">
      <c r="J418" s="31"/>
    </row>
    <row r="419">
      <c r="J419" s="31"/>
    </row>
    <row r="420">
      <c r="J420" s="31"/>
    </row>
    <row r="421">
      <c r="J421" s="31"/>
    </row>
    <row r="422">
      <c r="J422" s="31"/>
    </row>
    <row r="423">
      <c r="J423" s="31"/>
    </row>
    <row r="424">
      <c r="J424" s="31"/>
    </row>
    <row r="425">
      <c r="J425" s="31"/>
    </row>
    <row r="426">
      <c r="J426" s="31"/>
    </row>
    <row r="427">
      <c r="J427" s="31"/>
    </row>
    <row r="428">
      <c r="J428" s="31"/>
    </row>
    <row r="429">
      <c r="J429" s="31"/>
    </row>
    <row r="430">
      <c r="J430" s="31"/>
    </row>
    <row r="431">
      <c r="J431" s="31"/>
    </row>
    <row r="432">
      <c r="J432" s="31"/>
    </row>
    <row r="433">
      <c r="J433" s="31"/>
    </row>
    <row r="434">
      <c r="J434" s="31"/>
    </row>
    <row r="435">
      <c r="J435" s="31"/>
    </row>
    <row r="436">
      <c r="J436" s="31"/>
    </row>
    <row r="437">
      <c r="J437" s="31"/>
    </row>
    <row r="438">
      <c r="J438" s="31"/>
    </row>
    <row r="439">
      <c r="J439" s="31"/>
    </row>
    <row r="440">
      <c r="J440" s="31"/>
    </row>
    <row r="441">
      <c r="J441" s="31"/>
    </row>
    <row r="442">
      <c r="J442" s="31"/>
    </row>
    <row r="443">
      <c r="J443" s="31"/>
    </row>
    <row r="444">
      <c r="J444" s="31"/>
    </row>
    <row r="445">
      <c r="J445" s="31"/>
    </row>
    <row r="446">
      <c r="J446" s="31"/>
    </row>
    <row r="447">
      <c r="J447" s="31"/>
    </row>
    <row r="448">
      <c r="J448" s="31"/>
    </row>
    <row r="449">
      <c r="J449" s="31"/>
    </row>
    <row r="450">
      <c r="J450" s="31"/>
    </row>
    <row r="451">
      <c r="J451" s="31"/>
    </row>
    <row r="452">
      <c r="J452" s="31"/>
    </row>
    <row r="453">
      <c r="J453" s="31"/>
    </row>
    <row r="454">
      <c r="J454" s="31"/>
    </row>
    <row r="455">
      <c r="J455" s="31"/>
    </row>
    <row r="456">
      <c r="J456" s="31"/>
    </row>
    <row r="457">
      <c r="J457" s="31"/>
    </row>
    <row r="458">
      <c r="J458" s="31"/>
    </row>
    <row r="459">
      <c r="J459" s="31"/>
    </row>
    <row r="460">
      <c r="J460" s="31"/>
    </row>
    <row r="461">
      <c r="J461" s="31"/>
    </row>
    <row r="462">
      <c r="J462" s="31"/>
    </row>
    <row r="463">
      <c r="J463" s="31"/>
    </row>
    <row r="464">
      <c r="J464" s="31"/>
    </row>
    <row r="465">
      <c r="J465" s="31"/>
    </row>
    <row r="466">
      <c r="J466" s="31"/>
    </row>
    <row r="467">
      <c r="J467" s="31"/>
    </row>
    <row r="468">
      <c r="J468" s="31"/>
    </row>
    <row r="469">
      <c r="J469" s="31"/>
    </row>
    <row r="470">
      <c r="J470" s="31"/>
    </row>
    <row r="471">
      <c r="J471" s="31"/>
    </row>
    <row r="472">
      <c r="J472" s="31"/>
    </row>
    <row r="473">
      <c r="J473" s="31"/>
    </row>
    <row r="474">
      <c r="J474" s="31"/>
    </row>
    <row r="475">
      <c r="J475" s="31"/>
    </row>
    <row r="476">
      <c r="J476" s="31"/>
    </row>
    <row r="477">
      <c r="J477" s="31"/>
    </row>
    <row r="478">
      <c r="J478" s="31"/>
    </row>
    <row r="479">
      <c r="J479" s="31"/>
    </row>
    <row r="480">
      <c r="J480" s="31"/>
    </row>
    <row r="481">
      <c r="J481" s="31"/>
    </row>
    <row r="482">
      <c r="J482" s="31"/>
    </row>
    <row r="483">
      <c r="J483" s="31"/>
    </row>
    <row r="484">
      <c r="J484" s="31"/>
    </row>
    <row r="485">
      <c r="J485" s="31"/>
    </row>
    <row r="486">
      <c r="J486" s="31"/>
    </row>
    <row r="487">
      <c r="J487" s="31"/>
    </row>
    <row r="488">
      <c r="J488" s="31"/>
    </row>
    <row r="489">
      <c r="J489" s="31"/>
    </row>
    <row r="490">
      <c r="J490" s="31"/>
    </row>
    <row r="491">
      <c r="J491" s="31"/>
    </row>
    <row r="492">
      <c r="J492" s="31"/>
    </row>
    <row r="493">
      <c r="J493" s="31"/>
    </row>
    <row r="494">
      <c r="J494" s="31"/>
    </row>
    <row r="495">
      <c r="J495" s="31"/>
    </row>
    <row r="496">
      <c r="J496" s="31"/>
    </row>
    <row r="497">
      <c r="J497" s="31"/>
    </row>
    <row r="498">
      <c r="J498" s="31"/>
    </row>
    <row r="499">
      <c r="J499" s="31"/>
    </row>
    <row r="500">
      <c r="J500" s="31"/>
    </row>
    <row r="501">
      <c r="J501" s="31"/>
    </row>
    <row r="502">
      <c r="J502" s="31"/>
    </row>
    <row r="503">
      <c r="J503" s="31"/>
    </row>
    <row r="504">
      <c r="J504" s="31"/>
    </row>
    <row r="505">
      <c r="J505" s="31"/>
    </row>
    <row r="506">
      <c r="J506" s="31"/>
    </row>
    <row r="507">
      <c r="J507" s="31"/>
    </row>
    <row r="508">
      <c r="J508" s="31"/>
    </row>
    <row r="509">
      <c r="J509" s="31"/>
    </row>
    <row r="510">
      <c r="J510" s="31"/>
    </row>
    <row r="511">
      <c r="J511" s="31"/>
    </row>
    <row r="512">
      <c r="J512" s="31"/>
    </row>
    <row r="513">
      <c r="J513" s="31"/>
    </row>
    <row r="514">
      <c r="J514" s="31"/>
    </row>
    <row r="515">
      <c r="J515" s="31"/>
    </row>
    <row r="516">
      <c r="J516" s="31"/>
    </row>
    <row r="517">
      <c r="J517" s="31"/>
    </row>
    <row r="518">
      <c r="J518" s="31"/>
    </row>
    <row r="519">
      <c r="J519" s="31"/>
    </row>
    <row r="520">
      <c r="J520" s="31"/>
    </row>
    <row r="521">
      <c r="J521" s="31"/>
    </row>
    <row r="522">
      <c r="J522" s="31"/>
    </row>
    <row r="523">
      <c r="J523" s="31"/>
    </row>
    <row r="524">
      <c r="J524" s="31"/>
    </row>
    <row r="525">
      <c r="J525" s="31"/>
    </row>
    <row r="526">
      <c r="J526" s="31"/>
    </row>
    <row r="527">
      <c r="J527" s="31"/>
    </row>
    <row r="528">
      <c r="J528" s="31"/>
    </row>
    <row r="529">
      <c r="J529" s="31"/>
    </row>
    <row r="530">
      <c r="J530" s="31"/>
    </row>
    <row r="531">
      <c r="J531" s="31"/>
    </row>
    <row r="532">
      <c r="J532" s="31"/>
    </row>
    <row r="533">
      <c r="J533" s="31"/>
    </row>
    <row r="534">
      <c r="J534" s="31"/>
    </row>
    <row r="535">
      <c r="J535" s="31"/>
    </row>
    <row r="536">
      <c r="J536" s="31"/>
    </row>
    <row r="537">
      <c r="J537" s="31"/>
    </row>
    <row r="538">
      <c r="J538" s="31"/>
    </row>
    <row r="539">
      <c r="J539" s="31"/>
    </row>
    <row r="540">
      <c r="J540" s="31"/>
    </row>
    <row r="541">
      <c r="J541" s="31"/>
    </row>
    <row r="542">
      <c r="J542" s="31"/>
    </row>
    <row r="543">
      <c r="J543" s="31"/>
    </row>
    <row r="544">
      <c r="J544" s="31"/>
    </row>
    <row r="545">
      <c r="J545" s="31"/>
    </row>
    <row r="546">
      <c r="J546" s="31"/>
    </row>
    <row r="547">
      <c r="J547" s="31"/>
    </row>
    <row r="548">
      <c r="J548" s="31"/>
    </row>
    <row r="549">
      <c r="J549" s="31"/>
    </row>
    <row r="550">
      <c r="J550" s="31"/>
    </row>
    <row r="551">
      <c r="J551" s="31"/>
    </row>
    <row r="552">
      <c r="J552" s="31"/>
    </row>
    <row r="553">
      <c r="J553" s="31"/>
    </row>
    <row r="554">
      <c r="J554" s="31"/>
    </row>
    <row r="555">
      <c r="J555" s="31"/>
    </row>
    <row r="556">
      <c r="J556" s="31"/>
    </row>
    <row r="557">
      <c r="J557" s="31"/>
    </row>
    <row r="558">
      <c r="J558" s="31"/>
    </row>
    <row r="559">
      <c r="J559" s="31"/>
    </row>
    <row r="560">
      <c r="J560" s="31"/>
    </row>
    <row r="561">
      <c r="J561" s="31"/>
    </row>
    <row r="562">
      <c r="J562" s="31"/>
    </row>
    <row r="563">
      <c r="J563" s="31"/>
    </row>
    <row r="564">
      <c r="J564" s="31"/>
    </row>
    <row r="565">
      <c r="J565" s="31"/>
    </row>
    <row r="566">
      <c r="J566" s="31"/>
    </row>
    <row r="567">
      <c r="J567" s="31"/>
    </row>
    <row r="568">
      <c r="J568" s="31"/>
    </row>
    <row r="569">
      <c r="J569" s="31"/>
    </row>
    <row r="570">
      <c r="J570" s="31"/>
    </row>
    <row r="571">
      <c r="J571" s="31"/>
    </row>
    <row r="572">
      <c r="J572" s="31"/>
    </row>
    <row r="573">
      <c r="J573" s="31"/>
    </row>
    <row r="574">
      <c r="J574" s="31"/>
    </row>
    <row r="575">
      <c r="J575" s="31"/>
    </row>
    <row r="576">
      <c r="J576" s="31"/>
    </row>
    <row r="577">
      <c r="J577" s="31"/>
    </row>
    <row r="578">
      <c r="J578" s="31"/>
    </row>
    <row r="579">
      <c r="J579" s="31"/>
    </row>
    <row r="580">
      <c r="J580" s="31"/>
    </row>
    <row r="581">
      <c r="J581" s="31"/>
    </row>
    <row r="582">
      <c r="J582" s="31"/>
    </row>
    <row r="583">
      <c r="J583" s="31"/>
    </row>
    <row r="584">
      <c r="J584" s="31"/>
    </row>
    <row r="585">
      <c r="J585" s="31"/>
    </row>
    <row r="586">
      <c r="J586" s="31"/>
    </row>
    <row r="587">
      <c r="J587" s="31"/>
    </row>
    <row r="588">
      <c r="J588" s="31"/>
    </row>
    <row r="589">
      <c r="J589" s="31"/>
    </row>
    <row r="590">
      <c r="J590" s="31"/>
    </row>
    <row r="591">
      <c r="J591" s="31"/>
    </row>
    <row r="592">
      <c r="J592" s="31"/>
    </row>
    <row r="593">
      <c r="J593" s="31"/>
    </row>
    <row r="594">
      <c r="J594" s="31"/>
    </row>
    <row r="595">
      <c r="J595" s="31"/>
    </row>
    <row r="596">
      <c r="J596" s="31"/>
    </row>
    <row r="597">
      <c r="J597" s="31"/>
    </row>
    <row r="598">
      <c r="J598" s="31"/>
    </row>
    <row r="599">
      <c r="J599" s="31"/>
    </row>
    <row r="600">
      <c r="J600" s="31"/>
    </row>
    <row r="601">
      <c r="J601" s="31"/>
    </row>
    <row r="602">
      <c r="J602" s="31"/>
    </row>
    <row r="603">
      <c r="J603" s="31"/>
    </row>
    <row r="604">
      <c r="J604" s="31"/>
    </row>
    <row r="605">
      <c r="J605" s="31"/>
    </row>
    <row r="606">
      <c r="J606" s="31"/>
    </row>
    <row r="607">
      <c r="J607" s="31"/>
    </row>
    <row r="608">
      <c r="J608" s="31"/>
    </row>
    <row r="609">
      <c r="J609" s="31"/>
    </row>
    <row r="610">
      <c r="J610" s="31"/>
    </row>
    <row r="611">
      <c r="J611" s="31"/>
    </row>
    <row r="612">
      <c r="J612" s="31"/>
    </row>
    <row r="613">
      <c r="J613" s="31"/>
    </row>
    <row r="614">
      <c r="J614" s="31"/>
    </row>
    <row r="615">
      <c r="J615" s="31"/>
    </row>
    <row r="616">
      <c r="J616" s="31"/>
    </row>
    <row r="617">
      <c r="J617" s="31"/>
    </row>
    <row r="618">
      <c r="J618" s="31"/>
    </row>
    <row r="619">
      <c r="J619" s="31"/>
    </row>
    <row r="620">
      <c r="J620" s="31"/>
    </row>
    <row r="621">
      <c r="J621" s="31"/>
    </row>
    <row r="622">
      <c r="J622" s="31"/>
    </row>
    <row r="623">
      <c r="J623" s="31"/>
    </row>
    <row r="624">
      <c r="J624" s="31"/>
    </row>
    <row r="625">
      <c r="J625" s="31"/>
    </row>
    <row r="626">
      <c r="J626" s="31"/>
    </row>
    <row r="627">
      <c r="J627" s="31"/>
    </row>
    <row r="628">
      <c r="J628" s="31"/>
    </row>
    <row r="629">
      <c r="J629" s="31"/>
    </row>
    <row r="630">
      <c r="J630" s="31"/>
    </row>
    <row r="631">
      <c r="J631" s="31"/>
    </row>
    <row r="632">
      <c r="J632" s="31"/>
    </row>
    <row r="633">
      <c r="J633" s="31"/>
    </row>
    <row r="634">
      <c r="J634" s="31"/>
    </row>
    <row r="635">
      <c r="J635" s="31"/>
    </row>
    <row r="636">
      <c r="J636" s="31"/>
    </row>
    <row r="637">
      <c r="J637" s="31"/>
    </row>
    <row r="638">
      <c r="J638" s="31"/>
    </row>
    <row r="639">
      <c r="J639" s="31"/>
    </row>
    <row r="640">
      <c r="J640" s="31"/>
    </row>
    <row r="641">
      <c r="J641" s="31"/>
    </row>
    <row r="642">
      <c r="J642" s="31"/>
    </row>
    <row r="643">
      <c r="J643" s="31"/>
    </row>
    <row r="644">
      <c r="J644" s="31"/>
    </row>
    <row r="645">
      <c r="J645" s="31"/>
    </row>
    <row r="646">
      <c r="J646" s="31"/>
    </row>
    <row r="647">
      <c r="J647" s="31"/>
    </row>
    <row r="648">
      <c r="J648" s="31"/>
    </row>
    <row r="649">
      <c r="J649" s="31"/>
    </row>
    <row r="650">
      <c r="J650" s="31"/>
    </row>
    <row r="651">
      <c r="J651" s="31"/>
    </row>
    <row r="652">
      <c r="J652" s="31"/>
    </row>
    <row r="653">
      <c r="J653" s="31"/>
    </row>
    <row r="654">
      <c r="J654" s="31"/>
    </row>
    <row r="655">
      <c r="J655" s="31"/>
    </row>
    <row r="656">
      <c r="J656" s="31"/>
    </row>
    <row r="657">
      <c r="J657" s="31"/>
    </row>
    <row r="658">
      <c r="J658" s="31"/>
    </row>
    <row r="659">
      <c r="J659" s="31"/>
    </row>
    <row r="660">
      <c r="J660" s="31"/>
    </row>
    <row r="661">
      <c r="J661" s="31"/>
    </row>
    <row r="662">
      <c r="J662" s="31"/>
    </row>
    <row r="663">
      <c r="J663" s="31"/>
    </row>
    <row r="664">
      <c r="J664" s="31"/>
    </row>
    <row r="665">
      <c r="J665" s="31"/>
    </row>
    <row r="666">
      <c r="J666" s="31"/>
    </row>
    <row r="667">
      <c r="J667" s="31"/>
    </row>
    <row r="668">
      <c r="J668" s="31"/>
    </row>
    <row r="669">
      <c r="J669" s="31"/>
    </row>
    <row r="670">
      <c r="J670" s="31"/>
    </row>
    <row r="671">
      <c r="J671" s="31"/>
    </row>
    <row r="672">
      <c r="J672" s="31"/>
    </row>
    <row r="673">
      <c r="J673" s="31"/>
    </row>
    <row r="674">
      <c r="J674" s="31"/>
    </row>
    <row r="675">
      <c r="J675" s="31"/>
    </row>
    <row r="676">
      <c r="J676" s="31"/>
    </row>
    <row r="677">
      <c r="J677" s="31"/>
    </row>
    <row r="678">
      <c r="J678" s="31"/>
    </row>
    <row r="679">
      <c r="J679" s="31"/>
    </row>
    <row r="680">
      <c r="J680" s="31"/>
    </row>
    <row r="681">
      <c r="J681" s="31"/>
    </row>
    <row r="682">
      <c r="J682" s="31"/>
    </row>
    <row r="683">
      <c r="J683" s="31"/>
    </row>
    <row r="684">
      <c r="J684" s="31"/>
    </row>
    <row r="685">
      <c r="J685" s="31"/>
    </row>
    <row r="686">
      <c r="J686" s="31"/>
    </row>
    <row r="687">
      <c r="J687" s="31"/>
    </row>
    <row r="688">
      <c r="J688" s="31"/>
    </row>
    <row r="689">
      <c r="J689" s="31"/>
    </row>
    <row r="690">
      <c r="J690" s="31"/>
    </row>
    <row r="691">
      <c r="J691" s="31"/>
    </row>
    <row r="692">
      <c r="J692" s="31"/>
    </row>
    <row r="693">
      <c r="J693" s="31"/>
    </row>
    <row r="694">
      <c r="J694" s="31"/>
    </row>
    <row r="695">
      <c r="J695" s="31"/>
    </row>
    <row r="696">
      <c r="J696" s="31"/>
    </row>
    <row r="697">
      <c r="J697" s="31"/>
    </row>
    <row r="698">
      <c r="J698" s="31"/>
    </row>
    <row r="699">
      <c r="J699" s="31"/>
    </row>
    <row r="700">
      <c r="J700" s="31"/>
    </row>
    <row r="701">
      <c r="J701" s="31"/>
    </row>
    <row r="702">
      <c r="J702" s="31"/>
    </row>
    <row r="703">
      <c r="J703" s="31"/>
    </row>
    <row r="704">
      <c r="J704" s="31"/>
    </row>
    <row r="705">
      <c r="J705" s="31"/>
    </row>
    <row r="706">
      <c r="J706" s="31"/>
    </row>
    <row r="707">
      <c r="J707" s="31"/>
    </row>
    <row r="708">
      <c r="J708" s="31"/>
    </row>
    <row r="709">
      <c r="J709" s="31"/>
    </row>
    <row r="710">
      <c r="J710" s="31"/>
    </row>
    <row r="711">
      <c r="J711" s="31"/>
    </row>
    <row r="712">
      <c r="J712" s="31"/>
    </row>
    <row r="713">
      <c r="J713" s="31"/>
    </row>
    <row r="714">
      <c r="J714" s="31"/>
    </row>
    <row r="715">
      <c r="J715" s="31"/>
    </row>
    <row r="716">
      <c r="J716" s="31"/>
    </row>
    <row r="717">
      <c r="J717" s="31"/>
    </row>
    <row r="718">
      <c r="J718" s="31"/>
    </row>
    <row r="719">
      <c r="J719" s="31"/>
    </row>
    <row r="720">
      <c r="J720" s="31"/>
    </row>
    <row r="721">
      <c r="J721" s="31"/>
    </row>
    <row r="722">
      <c r="J722" s="31"/>
    </row>
    <row r="723">
      <c r="J723" s="31"/>
    </row>
    <row r="724">
      <c r="J724" s="31"/>
    </row>
    <row r="725">
      <c r="J725" s="31"/>
    </row>
    <row r="726">
      <c r="J726" s="31"/>
    </row>
    <row r="727">
      <c r="J727" s="31"/>
    </row>
    <row r="728">
      <c r="J728" s="31"/>
    </row>
    <row r="729">
      <c r="J729" s="31"/>
    </row>
    <row r="730">
      <c r="J730" s="31"/>
    </row>
    <row r="731">
      <c r="J731" s="31"/>
    </row>
    <row r="732">
      <c r="J732" s="31"/>
    </row>
    <row r="733">
      <c r="J733" s="31"/>
    </row>
    <row r="734">
      <c r="J734" s="31"/>
    </row>
    <row r="735">
      <c r="J735" s="31"/>
    </row>
    <row r="736">
      <c r="J736" s="31"/>
    </row>
    <row r="737">
      <c r="J737" s="31"/>
    </row>
    <row r="738">
      <c r="J738" s="31"/>
    </row>
    <row r="739">
      <c r="J739" s="31"/>
    </row>
    <row r="740">
      <c r="J740" s="31"/>
    </row>
    <row r="741">
      <c r="J741" s="31"/>
    </row>
    <row r="742">
      <c r="J742" s="31"/>
    </row>
    <row r="743">
      <c r="J743" s="31"/>
    </row>
    <row r="744">
      <c r="J744" s="31"/>
    </row>
    <row r="745">
      <c r="J745" s="31"/>
    </row>
    <row r="746">
      <c r="J746" s="31"/>
    </row>
    <row r="747">
      <c r="J747" s="31"/>
    </row>
    <row r="748">
      <c r="J748" s="31"/>
    </row>
    <row r="749">
      <c r="J749" s="31"/>
    </row>
    <row r="750">
      <c r="J750" s="31"/>
    </row>
    <row r="751">
      <c r="J751" s="31"/>
    </row>
    <row r="752">
      <c r="J752" s="31"/>
    </row>
    <row r="753">
      <c r="J753" s="31"/>
    </row>
    <row r="754">
      <c r="J754" s="31"/>
    </row>
    <row r="755">
      <c r="J755" s="31"/>
    </row>
    <row r="756">
      <c r="J756" s="31"/>
    </row>
    <row r="757">
      <c r="J757" s="31"/>
    </row>
    <row r="758">
      <c r="J758" s="31"/>
    </row>
    <row r="759">
      <c r="J759" s="31"/>
    </row>
    <row r="760">
      <c r="J760" s="31"/>
    </row>
    <row r="761">
      <c r="J761" s="31"/>
    </row>
    <row r="762">
      <c r="J762" s="31"/>
    </row>
    <row r="763">
      <c r="J763" s="31"/>
    </row>
    <row r="764">
      <c r="J764" s="31"/>
    </row>
    <row r="765">
      <c r="J765" s="31"/>
    </row>
    <row r="766">
      <c r="J766" s="31"/>
    </row>
    <row r="767">
      <c r="J767" s="31"/>
    </row>
    <row r="768">
      <c r="J768" s="31"/>
    </row>
    <row r="769">
      <c r="J769" s="31"/>
    </row>
    <row r="770">
      <c r="J770" s="31"/>
    </row>
    <row r="771">
      <c r="J771" s="31"/>
    </row>
    <row r="772">
      <c r="J772" s="31"/>
    </row>
    <row r="773">
      <c r="J773" s="31"/>
    </row>
    <row r="774">
      <c r="J774" s="31"/>
    </row>
    <row r="775">
      <c r="J775" s="31"/>
    </row>
    <row r="776">
      <c r="J776" s="31"/>
    </row>
    <row r="777">
      <c r="J777" s="31"/>
    </row>
    <row r="778">
      <c r="J778" s="31"/>
    </row>
    <row r="779">
      <c r="J779" s="31"/>
    </row>
    <row r="780">
      <c r="J780" s="31"/>
    </row>
    <row r="781">
      <c r="J781" s="31"/>
    </row>
    <row r="782">
      <c r="J782" s="31"/>
    </row>
    <row r="783">
      <c r="J783" s="31"/>
    </row>
    <row r="784">
      <c r="J784" s="31"/>
    </row>
    <row r="785">
      <c r="J785" s="31"/>
    </row>
    <row r="786">
      <c r="J786" s="31"/>
    </row>
    <row r="787">
      <c r="J787" s="31"/>
    </row>
    <row r="788">
      <c r="J788" s="31"/>
    </row>
    <row r="789">
      <c r="J789" s="31"/>
    </row>
    <row r="790">
      <c r="J790" s="31"/>
    </row>
    <row r="791">
      <c r="J791" s="31"/>
    </row>
    <row r="792">
      <c r="J792" s="31"/>
    </row>
    <row r="793">
      <c r="J793" s="31"/>
    </row>
    <row r="794">
      <c r="J794" s="31"/>
    </row>
    <row r="795">
      <c r="J795" s="31"/>
    </row>
    <row r="796">
      <c r="J796" s="31"/>
    </row>
    <row r="797">
      <c r="J797" s="31"/>
    </row>
    <row r="798">
      <c r="J798" s="31"/>
    </row>
    <row r="799">
      <c r="J799" s="31"/>
    </row>
    <row r="800">
      <c r="J800" s="31"/>
    </row>
    <row r="801">
      <c r="J801" s="31"/>
    </row>
    <row r="802">
      <c r="J802" s="31"/>
    </row>
    <row r="803">
      <c r="J803" s="31"/>
    </row>
    <row r="804">
      <c r="J804" s="31"/>
    </row>
    <row r="805">
      <c r="J805" s="31"/>
    </row>
    <row r="806">
      <c r="J806" s="31"/>
    </row>
    <row r="807">
      <c r="J807" s="31"/>
    </row>
    <row r="808">
      <c r="J808" s="31"/>
    </row>
    <row r="809">
      <c r="J809" s="31"/>
    </row>
    <row r="810">
      <c r="J810" s="31"/>
    </row>
    <row r="811">
      <c r="J811" s="31"/>
    </row>
    <row r="812">
      <c r="J812" s="31"/>
    </row>
    <row r="813">
      <c r="J813" s="31"/>
    </row>
    <row r="814">
      <c r="J814" s="31"/>
    </row>
    <row r="815">
      <c r="J815" s="31"/>
    </row>
    <row r="816">
      <c r="J816" s="31"/>
    </row>
    <row r="817">
      <c r="J817" s="31"/>
    </row>
    <row r="818">
      <c r="J818" s="31"/>
    </row>
    <row r="819">
      <c r="J819" s="31"/>
    </row>
    <row r="820">
      <c r="J820" s="31"/>
    </row>
    <row r="821">
      <c r="J821" s="31"/>
    </row>
    <row r="822">
      <c r="J822" s="31"/>
    </row>
    <row r="823">
      <c r="J823" s="31"/>
    </row>
    <row r="824">
      <c r="J824" s="31"/>
    </row>
    <row r="825">
      <c r="J825" s="31"/>
    </row>
    <row r="826">
      <c r="J826" s="31"/>
    </row>
    <row r="827">
      <c r="J827" s="31"/>
    </row>
    <row r="828">
      <c r="J828" s="31"/>
    </row>
    <row r="829">
      <c r="J829" s="31"/>
    </row>
    <row r="830">
      <c r="J830" s="31"/>
    </row>
    <row r="831">
      <c r="J831" s="31"/>
    </row>
    <row r="832">
      <c r="J832" s="31"/>
    </row>
    <row r="833">
      <c r="J833" s="31"/>
    </row>
    <row r="834">
      <c r="J834" s="31"/>
    </row>
    <row r="835">
      <c r="J835" s="31"/>
    </row>
    <row r="836">
      <c r="J836" s="31"/>
    </row>
    <row r="837">
      <c r="J837" s="31"/>
    </row>
    <row r="838">
      <c r="J838" s="31"/>
    </row>
    <row r="839">
      <c r="J839" s="31"/>
    </row>
    <row r="840">
      <c r="J840" s="31"/>
    </row>
    <row r="841">
      <c r="J841" s="31"/>
    </row>
    <row r="842">
      <c r="J842" s="31"/>
    </row>
    <row r="843">
      <c r="J843" s="31"/>
    </row>
    <row r="844">
      <c r="J844" s="31"/>
    </row>
    <row r="845">
      <c r="J845" s="31"/>
    </row>
    <row r="846">
      <c r="J846" s="31"/>
    </row>
    <row r="847">
      <c r="J847" s="31"/>
    </row>
    <row r="848">
      <c r="J848" s="31"/>
    </row>
    <row r="849">
      <c r="J849" s="31"/>
    </row>
    <row r="850">
      <c r="J850" s="31"/>
    </row>
    <row r="851">
      <c r="J851" s="31"/>
    </row>
    <row r="852">
      <c r="J852" s="31"/>
    </row>
    <row r="853">
      <c r="J853" s="31"/>
    </row>
    <row r="854">
      <c r="J854" s="31"/>
    </row>
    <row r="855">
      <c r="J855" s="31"/>
    </row>
    <row r="856">
      <c r="J856" s="31"/>
    </row>
    <row r="857">
      <c r="J857" s="31"/>
    </row>
    <row r="858">
      <c r="J858" s="31"/>
    </row>
    <row r="859">
      <c r="J859" s="31"/>
    </row>
    <row r="860">
      <c r="J860" s="31"/>
    </row>
    <row r="861">
      <c r="J861" s="31"/>
    </row>
    <row r="862">
      <c r="J862" s="31"/>
    </row>
    <row r="863">
      <c r="J863" s="31"/>
    </row>
    <row r="864">
      <c r="J864" s="31"/>
    </row>
    <row r="865">
      <c r="J865" s="31"/>
    </row>
    <row r="866">
      <c r="J866" s="31"/>
    </row>
    <row r="867">
      <c r="J867" s="31"/>
    </row>
    <row r="868">
      <c r="J868" s="31"/>
    </row>
    <row r="869">
      <c r="J869" s="31"/>
    </row>
    <row r="870">
      <c r="J870" s="31"/>
    </row>
    <row r="871">
      <c r="J871" s="31"/>
    </row>
    <row r="872">
      <c r="J872" s="31"/>
    </row>
    <row r="873">
      <c r="J873" s="31"/>
    </row>
    <row r="874">
      <c r="J874" s="31"/>
    </row>
    <row r="875">
      <c r="J875" s="31"/>
    </row>
    <row r="876">
      <c r="J876" s="31"/>
    </row>
    <row r="877">
      <c r="J877" s="31"/>
    </row>
    <row r="878">
      <c r="J878" s="31"/>
    </row>
    <row r="879">
      <c r="J879" s="31"/>
    </row>
    <row r="880">
      <c r="J880" s="31"/>
    </row>
    <row r="881">
      <c r="J881" s="31"/>
    </row>
    <row r="882">
      <c r="J882" s="31"/>
    </row>
    <row r="883">
      <c r="J883" s="31"/>
    </row>
    <row r="884">
      <c r="J884" s="31"/>
    </row>
    <row r="885">
      <c r="J885" s="31"/>
    </row>
    <row r="886">
      <c r="J886" s="31"/>
    </row>
    <row r="887">
      <c r="J887" s="31"/>
    </row>
    <row r="888">
      <c r="J888" s="31"/>
    </row>
    <row r="889">
      <c r="J889" s="31"/>
    </row>
    <row r="890">
      <c r="J890" s="31"/>
    </row>
    <row r="891">
      <c r="J891" s="31"/>
    </row>
    <row r="892">
      <c r="J892" s="31"/>
    </row>
    <row r="893">
      <c r="J893" s="31"/>
    </row>
    <row r="894">
      <c r="J894" s="31"/>
    </row>
    <row r="895">
      <c r="J895" s="31"/>
    </row>
    <row r="896">
      <c r="J896" s="31"/>
    </row>
    <row r="897">
      <c r="J897" s="31"/>
    </row>
    <row r="898">
      <c r="J898" s="31"/>
    </row>
    <row r="899">
      <c r="J899" s="31"/>
    </row>
    <row r="900">
      <c r="J900" s="31"/>
    </row>
    <row r="901">
      <c r="J901" s="31"/>
    </row>
    <row r="902">
      <c r="J902" s="31"/>
    </row>
    <row r="903">
      <c r="J903" s="31"/>
    </row>
    <row r="904">
      <c r="J904" s="31"/>
    </row>
    <row r="905">
      <c r="J905" s="31"/>
    </row>
    <row r="906">
      <c r="J906" s="31"/>
    </row>
    <row r="907">
      <c r="J907" s="31"/>
    </row>
    <row r="908">
      <c r="J908" s="31"/>
    </row>
    <row r="909">
      <c r="J909" s="31"/>
    </row>
    <row r="910">
      <c r="J910" s="31"/>
    </row>
    <row r="911">
      <c r="J911" s="31"/>
    </row>
    <row r="912">
      <c r="J912" s="31"/>
    </row>
    <row r="913">
      <c r="J913" s="31"/>
    </row>
    <row r="914">
      <c r="J914" s="31"/>
    </row>
    <row r="915">
      <c r="J915" s="31"/>
    </row>
    <row r="916">
      <c r="J916" s="31"/>
    </row>
    <row r="917">
      <c r="J917" s="31"/>
    </row>
    <row r="918">
      <c r="J918" s="31"/>
    </row>
    <row r="919">
      <c r="J919" s="31"/>
    </row>
    <row r="920">
      <c r="J920" s="31"/>
    </row>
    <row r="921">
      <c r="J921" s="31"/>
    </row>
    <row r="922">
      <c r="J922" s="31"/>
    </row>
    <row r="923">
      <c r="J923" s="31"/>
    </row>
    <row r="924">
      <c r="J924" s="31"/>
    </row>
    <row r="925">
      <c r="J925" s="31"/>
    </row>
    <row r="926">
      <c r="J926" s="31"/>
    </row>
    <row r="927">
      <c r="J927" s="31"/>
    </row>
    <row r="928">
      <c r="J928" s="31"/>
    </row>
    <row r="929">
      <c r="J929" s="31"/>
    </row>
    <row r="930">
      <c r="J930" s="31"/>
    </row>
    <row r="931">
      <c r="J931" s="31"/>
    </row>
    <row r="932">
      <c r="J932" s="31"/>
    </row>
    <row r="933">
      <c r="J933" s="31"/>
    </row>
    <row r="934">
      <c r="J934" s="31"/>
    </row>
    <row r="935">
      <c r="J935" s="31"/>
    </row>
    <row r="936">
      <c r="J936" s="31"/>
    </row>
    <row r="937">
      <c r="J937" s="31"/>
    </row>
    <row r="938">
      <c r="J938" s="31"/>
    </row>
    <row r="939">
      <c r="J939" s="31"/>
    </row>
    <row r="940">
      <c r="J940" s="31"/>
    </row>
    <row r="941">
      <c r="J941" s="31"/>
    </row>
    <row r="942">
      <c r="J942" s="31"/>
    </row>
    <row r="943">
      <c r="J943" s="31"/>
    </row>
    <row r="944">
      <c r="J944" s="31"/>
    </row>
    <row r="945">
      <c r="J945" s="31"/>
    </row>
    <row r="946">
      <c r="J946" s="31"/>
    </row>
    <row r="947">
      <c r="J947" s="31"/>
    </row>
    <row r="948">
      <c r="J948" s="31"/>
    </row>
    <row r="949">
      <c r="J949" s="31"/>
    </row>
    <row r="950">
      <c r="J950" s="31"/>
    </row>
    <row r="951">
      <c r="J951" s="31"/>
    </row>
    <row r="952">
      <c r="J952" s="31"/>
    </row>
    <row r="953">
      <c r="J953" s="31"/>
    </row>
    <row r="954">
      <c r="J954" s="31"/>
    </row>
    <row r="955">
      <c r="J955" s="31"/>
    </row>
    <row r="956">
      <c r="J956" s="31"/>
    </row>
    <row r="957">
      <c r="J957" s="31"/>
    </row>
    <row r="958">
      <c r="J958" s="31"/>
    </row>
    <row r="959">
      <c r="J959" s="31"/>
    </row>
    <row r="960">
      <c r="J960" s="31"/>
    </row>
    <row r="961">
      <c r="J961" s="31"/>
    </row>
    <row r="962">
      <c r="J962" s="31"/>
    </row>
    <row r="963">
      <c r="J963" s="31"/>
    </row>
    <row r="964">
      <c r="J964" s="31"/>
    </row>
    <row r="965">
      <c r="J965" s="31"/>
    </row>
    <row r="966">
      <c r="J966" s="31"/>
    </row>
    <row r="967">
      <c r="J967" s="31"/>
    </row>
    <row r="968">
      <c r="J968" s="31"/>
    </row>
    <row r="969">
      <c r="J969" s="31"/>
    </row>
    <row r="970">
      <c r="J970" s="31"/>
    </row>
    <row r="971">
      <c r="J971" s="31"/>
    </row>
    <row r="972">
      <c r="J972" s="31"/>
    </row>
    <row r="973">
      <c r="J973" s="31"/>
    </row>
    <row r="974">
      <c r="J974" s="31"/>
    </row>
    <row r="975">
      <c r="J975" s="31"/>
    </row>
    <row r="976">
      <c r="J976" s="31"/>
    </row>
    <row r="977">
      <c r="J977" s="31"/>
    </row>
    <row r="978">
      <c r="J978" s="31"/>
    </row>
    <row r="979">
      <c r="J979" s="31"/>
    </row>
    <row r="980">
      <c r="J980" s="31"/>
    </row>
    <row r="981">
      <c r="J981" s="31"/>
    </row>
    <row r="982">
      <c r="J982" s="31"/>
    </row>
    <row r="983">
      <c r="J983" s="31"/>
    </row>
    <row r="984">
      <c r="J984" s="31"/>
    </row>
    <row r="985">
      <c r="J985" s="31"/>
    </row>
    <row r="986">
      <c r="J986" s="31"/>
    </row>
    <row r="987">
      <c r="J987" s="31"/>
    </row>
    <row r="988">
      <c r="J988" s="31"/>
    </row>
    <row r="989">
      <c r="J989" s="31"/>
    </row>
    <row r="990">
      <c r="J990" s="31"/>
    </row>
    <row r="991">
      <c r="J991" s="31"/>
    </row>
    <row r="992">
      <c r="J992" s="31"/>
    </row>
    <row r="993">
      <c r="J993" s="31"/>
    </row>
    <row r="994">
      <c r="J994" s="31"/>
    </row>
    <row r="995">
      <c r="J995" s="31"/>
    </row>
    <row r="996">
      <c r="J996" s="31"/>
    </row>
    <row r="997">
      <c r="J997" s="31"/>
    </row>
    <row r="998">
      <c r="J998" s="31"/>
    </row>
    <row r="999">
      <c r="J999" s="31"/>
    </row>
  </sheetData>
  <mergeCells count="5">
    <mergeCell ref="A1:A2"/>
    <mergeCell ref="B1:B2"/>
    <mergeCell ref="C1:C2"/>
    <mergeCell ref="D1:D2"/>
    <mergeCell ref="E1:E2"/>
  </mergeCells>
  <conditionalFormatting sqref="F3:AU38 AV3:AY31">
    <cfRule type="cellIs" dxfId="3" priority="1" operator="equal">
      <formula>1</formula>
    </cfRule>
  </conditionalFormatting>
  <conditionalFormatting sqref="F3:AU38 AV8:AW8 AV37:AY37">
    <cfRule type="cellIs" dxfId="4" priority="2" operator="equal">
      <formula>"R"</formula>
    </cfRule>
  </conditionalFormatting>
  <conditionalFormatting sqref="B3:B31 C3:C38 B37">
    <cfRule type="cellIs" dxfId="5" priority="3" operator="greaterThanOrEqual">
      <formula>3</formula>
    </cfRule>
  </conditionalFormatting>
  <conditionalFormatting sqref="B3:B24 B26:B31 B37">
    <cfRule type="cellIs" dxfId="6" priority="4" operator="lessThan">
      <formula>1</formula>
    </cfRule>
  </conditionalFormatting>
  <conditionalFormatting sqref="B3:B32 C3:C41 B37">
    <cfRule type="cellIs" dxfId="7" priority="5" operator="equal">
      <formula>0</formula>
    </cfRule>
  </conditionalFormatting>
  <conditionalFormatting sqref="B3:B31 C3:C38 B37">
    <cfRule type="cellIs" dxfId="8" priority="6" operator="lessThan">
      <formula>2</formula>
    </cfRule>
  </conditionalFormatting>
  <conditionalFormatting sqref="B3:B31 C3:C38 B37">
    <cfRule type="cellIs" dxfId="9" priority="7" operator="lessThan">
      <formula>3</formula>
    </cfRule>
  </conditionalFormatting>
  <conditionalFormatting sqref="B3:B32 C3:C41 B37">
    <cfRule type="containsBlanks" dxfId="6" priority="8">
      <formula>LEN(TRIM(B3))=0</formula>
    </cfRule>
  </conditionalFormatting>
  <conditionalFormatting sqref="F3:AU38 AV8:AW8 AV37:AY37">
    <cfRule type="cellIs" dxfId="10" priority="9" operator="equal">
      <formula>"R2"</formula>
    </cfRule>
  </conditionalFormatting>
  <conditionalFormatting sqref="F39:AY41">
    <cfRule type="cellIs" dxfId="7" priority="10" operator="lessThan">
      <formula>1</formula>
    </cfRule>
  </conditionalFormatting>
  <conditionalFormatting sqref="F39:AY39">
    <cfRule type="cellIs" dxfId="3" priority="11" operator="equal">
      <formula>1</formula>
    </cfRule>
  </conditionalFormatting>
  <conditionalFormatting sqref="F39:AY41">
    <cfRule type="cellIs" dxfId="11" priority="12" operator="greaterThan">
      <formula>1</formula>
    </cfRule>
  </conditionalFormatting>
  <conditionalFormatting sqref="D3:E41">
    <cfRule type="cellIs" dxfId="9" priority="13" operator="equal">
      <formula>1</formula>
    </cfRule>
  </conditionalFormatting>
  <conditionalFormatting sqref="F4:AR5 F25:AY25 AB31:AB36 F33:AA36 AC33:AY36 F38:AY41">
    <cfRule type="cellIs" dxfId="7" priority="14" operator="lessThan">
      <formula>1</formula>
    </cfRule>
  </conditionalFormatting>
  <conditionalFormatting sqref="F4:AR5 F25:AY25 AB31:AB36 F33:AA36 AC33:AY36 F38:AY41">
    <cfRule type="cellIs" dxfId="12" priority="15" operator="equal">
      <formula>1</formula>
    </cfRule>
  </conditionalFormatting>
  <conditionalFormatting sqref="F4:AR5 F25:AY25 AB31:AB36 F33:AA36 AC33:AY36 F38:AY41">
    <cfRule type="cellIs" dxfId="11" priority="16" operator="greaterThan">
      <formula>1</formula>
    </cfRule>
  </conditionalFormatting>
  <conditionalFormatting sqref="D3:D41 E3:E38">
    <cfRule type="cellIs" dxfId="7" priority="17" operator="equal">
      <formula>0</formula>
    </cfRule>
  </conditionalFormatting>
  <conditionalFormatting sqref="D3:D41 E3:E38">
    <cfRule type="cellIs" dxfId="4" priority="18" operator="equal">
      <formula>2</formula>
    </cfRule>
  </conditionalFormatting>
  <conditionalFormatting sqref="E3:E41">
    <cfRule type="cellIs" dxfId="7" priority="19" operator="equal">
      <formula>0</formula>
    </cfRule>
  </conditionalFormatting>
  <conditionalFormatting sqref="E3:E41">
    <cfRule type="cellIs" dxfId="4" priority="20" operator="greaterThanOrEqual">
      <formula>2</formula>
    </cfRule>
  </conditionalFormatting>
  <conditionalFormatting sqref="C44">
    <cfRule type="notContainsBlanks" dxfId="3" priority="21">
      <formula>LEN(TRIM(C44))&gt;0</formula>
    </cfRule>
  </conditionalFormatting>
  <conditionalFormatting sqref="AS2:AY2">
    <cfRule type="containsText" dxfId="13" priority="22" operator="containsText" text="(PAM)">
      <formula>NOT(ISERROR(SEARCH(("(PAM)"),(AS2))))</formula>
    </cfRule>
  </conditionalFormatting>
  <conditionalFormatting sqref="AS2:AY2">
    <cfRule type="containsText" dxfId="13" priority="23" operator="containsText" text="(PPM)">
      <formula>NOT(ISERROR(SEARCH(("(PPM)"),(AS2))))</formula>
    </cfRule>
  </conditionalFormatting>
  <conditionalFormatting sqref="F2:AY2">
    <cfRule type="containsText" dxfId="13" priority="24" operator="containsText" text="PAM">
      <formula>NOT(ISERROR(SEARCH(("PAM"),(F2))))</formula>
    </cfRule>
  </conditionalFormatting>
  <conditionalFormatting sqref="F2:AY2">
    <cfRule type="containsText" dxfId="13" priority="25" operator="containsText" text="PPM">
      <formula>NOT(ISERROR(SEARCH(("PPM"),(F2))))</formula>
    </cfRule>
  </conditionalFormatting>
  <conditionalFormatting sqref="F2:AY2">
    <cfRule type="containsText" dxfId="11" priority="26" operator="containsText" text="(AM)">
      <formula>NOT(ISERROR(SEARCH(("(AM)"),(F2))))</formula>
    </cfRule>
  </conditionalFormatting>
  <conditionalFormatting sqref="F2:AY2">
    <cfRule type="containsText" dxfId="7" priority="27" operator="containsText" text="(PM)">
      <formula>NOT(ISERROR(SEARCH(("(PM)"),(F2))))</formula>
    </cfRule>
  </conditionalFormatting>
  <conditionalFormatting sqref="F2:AY2">
    <cfRule type="notContainsText" dxfId="15" priority="28" operator="notContains" text="(AM)">
      <formula>ISERROR(SEARCH(("(AM)"),(F2)))</formula>
    </cfRule>
  </conditionalFormatting>
  <conditionalFormatting sqref="F2:AY2">
    <cfRule type="notContainsText" dxfId="15" priority="29" operator="notContains" text="(PM)">
      <formula>ISERROR(SEARCH(("(PM)"),(F2)))</formula>
    </cfRule>
  </conditionalFormatting>
  <conditionalFormatting sqref="F2:AY2">
    <cfRule type="notContainsText" dxfId="15" priority="30" operator="notContains" text="(PM)">
      <formula>ISERROR(SEARCH(("(PM)"),(F2)))</formula>
    </cfRule>
  </conditionalFormatting>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26.75"/>
    <col customWidth="1" min="2" max="2" width="11.38"/>
    <col customWidth="1" min="4" max="4" width="14.13"/>
    <col customWidth="1" min="6" max="7" width="8.63"/>
    <col customWidth="1" min="8" max="8" width="5.0"/>
    <col customWidth="1" min="9" max="11" width="8.63"/>
    <col customWidth="1" min="12" max="12" width="8.38"/>
    <col customWidth="1" min="13" max="13" width="8.25"/>
    <col customWidth="1" min="14" max="44" width="8.63"/>
    <col customWidth="1" min="45" max="45" width="9.5"/>
    <col customWidth="1" hidden="1" min="46" max="51" width="9.5"/>
  </cols>
  <sheetData>
    <row r="1">
      <c r="A1" s="1" t="s">
        <v>0</v>
      </c>
      <c r="B1" s="1" t="s">
        <v>1</v>
      </c>
      <c r="C1" s="1" t="s">
        <v>2</v>
      </c>
      <c r="D1" s="1" t="s">
        <v>3</v>
      </c>
      <c r="E1" s="1" t="s">
        <v>4</v>
      </c>
      <c r="F1" s="2" t="s">
        <v>422</v>
      </c>
      <c r="G1" s="2" t="s">
        <v>422</v>
      </c>
      <c r="H1" s="2" t="s">
        <v>529</v>
      </c>
      <c r="I1" s="2" t="s">
        <v>423</v>
      </c>
      <c r="J1" s="2" t="s">
        <v>424</v>
      </c>
      <c r="K1" s="2" t="s">
        <v>425</v>
      </c>
      <c r="L1" s="2" t="s">
        <v>426</v>
      </c>
      <c r="M1" s="2" t="s">
        <v>427</v>
      </c>
      <c r="N1" s="2" t="s">
        <v>420</v>
      </c>
      <c r="O1" s="2" t="s">
        <v>422</v>
      </c>
      <c r="P1" s="2" t="s">
        <v>422</v>
      </c>
      <c r="Q1" s="2" t="s">
        <v>529</v>
      </c>
      <c r="R1" s="2" t="s">
        <v>423</v>
      </c>
      <c r="S1" s="2" t="s">
        <v>424</v>
      </c>
      <c r="T1" s="2" t="s">
        <v>425</v>
      </c>
      <c r="U1" s="2" t="s">
        <v>426</v>
      </c>
      <c r="V1" s="2" t="s">
        <v>427</v>
      </c>
      <c r="W1" s="2" t="s">
        <v>420</v>
      </c>
      <c r="X1" s="2" t="s">
        <v>422</v>
      </c>
      <c r="Y1" s="2" t="s">
        <v>422</v>
      </c>
      <c r="Z1" s="2" t="s">
        <v>529</v>
      </c>
      <c r="AA1" s="2" t="s">
        <v>423</v>
      </c>
      <c r="AB1" s="2" t="s">
        <v>424</v>
      </c>
      <c r="AC1" s="2" t="s">
        <v>425</v>
      </c>
      <c r="AD1" s="2" t="s">
        <v>426</v>
      </c>
      <c r="AE1" s="2" t="s">
        <v>427</v>
      </c>
      <c r="AF1" s="2" t="s">
        <v>420</v>
      </c>
      <c r="AG1" s="2" t="s">
        <v>422</v>
      </c>
      <c r="AH1" s="2" t="s">
        <v>422</v>
      </c>
      <c r="AI1" s="2" t="s">
        <v>529</v>
      </c>
      <c r="AJ1" s="2" t="s">
        <v>423</v>
      </c>
      <c r="AK1" s="2" t="s">
        <v>424</v>
      </c>
      <c r="AL1" s="2" t="s">
        <v>425</v>
      </c>
      <c r="AM1" s="2" t="s">
        <v>426</v>
      </c>
      <c r="AN1" s="2" t="s">
        <v>427</v>
      </c>
      <c r="AO1" s="2" t="s">
        <v>420</v>
      </c>
      <c r="AP1" s="2" t="s">
        <v>422</v>
      </c>
      <c r="AQ1" s="2" t="s">
        <v>422</v>
      </c>
      <c r="AR1" s="2" t="s">
        <v>529</v>
      </c>
      <c r="AS1" s="2" t="s">
        <v>423</v>
      </c>
      <c r="AT1" s="54" t="s">
        <v>423</v>
      </c>
      <c r="AU1" s="54" t="s">
        <v>424</v>
      </c>
      <c r="AV1" s="54" t="s">
        <v>425</v>
      </c>
      <c r="AW1" s="55" t="s">
        <v>8</v>
      </c>
      <c r="AX1" s="55" t="s">
        <v>7</v>
      </c>
      <c r="AY1" s="55" t="s">
        <v>8</v>
      </c>
    </row>
    <row r="2">
      <c r="F2" s="88" t="s">
        <v>530</v>
      </c>
      <c r="G2" s="88" t="s">
        <v>531</v>
      </c>
      <c r="H2" s="88" t="s">
        <v>532</v>
      </c>
      <c r="I2" s="88" t="s">
        <v>533</v>
      </c>
      <c r="J2" s="87">
        <v>45964.0</v>
      </c>
      <c r="K2" s="87">
        <v>45965.0</v>
      </c>
      <c r="L2" s="87">
        <v>45966.0</v>
      </c>
      <c r="M2" s="87">
        <v>45967.0</v>
      </c>
      <c r="N2" s="87">
        <v>45968.0</v>
      </c>
      <c r="O2" s="88" t="s">
        <v>534</v>
      </c>
      <c r="P2" s="88" t="s">
        <v>535</v>
      </c>
      <c r="Q2" s="88" t="s">
        <v>536</v>
      </c>
      <c r="R2" s="88" t="s">
        <v>537</v>
      </c>
      <c r="S2" s="87">
        <v>45971.0</v>
      </c>
      <c r="T2" s="87">
        <v>45972.0</v>
      </c>
      <c r="U2" s="87">
        <v>45973.0</v>
      </c>
      <c r="V2" s="87">
        <v>45974.0</v>
      </c>
      <c r="W2" s="87">
        <v>45975.0</v>
      </c>
      <c r="X2" s="88" t="s">
        <v>538</v>
      </c>
      <c r="Y2" s="88" t="s">
        <v>539</v>
      </c>
      <c r="Z2" s="88" t="s">
        <v>540</v>
      </c>
      <c r="AA2" s="88" t="s">
        <v>541</v>
      </c>
      <c r="AB2" s="87">
        <v>45978.0</v>
      </c>
      <c r="AC2" s="87">
        <v>45979.0</v>
      </c>
      <c r="AD2" s="87">
        <v>45980.0</v>
      </c>
      <c r="AE2" s="87">
        <v>45981.0</v>
      </c>
      <c r="AF2" s="87">
        <v>45982.0</v>
      </c>
      <c r="AG2" s="88" t="s">
        <v>542</v>
      </c>
      <c r="AH2" s="88" t="s">
        <v>543</v>
      </c>
      <c r="AI2" s="88" t="s">
        <v>544</v>
      </c>
      <c r="AJ2" s="88" t="s">
        <v>545</v>
      </c>
      <c r="AK2" s="87">
        <v>45985.0</v>
      </c>
      <c r="AL2" s="87">
        <v>45986.0</v>
      </c>
      <c r="AM2" s="87">
        <v>45987.0</v>
      </c>
      <c r="AN2" s="87">
        <v>45988.0</v>
      </c>
      <c r="AO2" s="87">
        <v>45989.0</v>
      </c>
      <c r="AP2" s="88" t="s">
        <v>546</v>
      </c>
      <c r="AQ2" s="88" t="s">
        <v>547</v>
      </c>
      <c r="AR2" s="88" t="s">
        <v>548</v>
      </c>
      <c r="AS2" s="88" t="s">
        <v>549</v>
      </c>
      <c r="AT2" s="51"/>
      <c r="AU2" s="51"/>
      <c r="AV2" s="51" t="s">
        <v>252</v>
      </c>
      <c r="AW2" s="51" t="s">
        <v>253</v>
      </c>
      <c r="AX2" s="51" t="s">
        <v>252</v>
      </c>
      <c r="AY2" s="51" t="s">
        <v>253</v>
      </c>
    </row>
    <row r="3">
      <c r="A3" s="39" t="s">
        <v>500</v>
      </c>
      <c r="B3" s="40">
        <f t="shared" ref="B3:B8" si="1">SUM(C3:D3)</f>
        <v>3</v>
      </c>
      <c r="C3" s="10">
        <f t="shared" ref="C3:C17" si="2">SUM(F3:AS3)</f>
        <v>1</v>
      </c>
      <c r="D3" s="11">
        <f t="array" ref="D3">SUM(IF(F3:AS3="R",1,0))</f>
        <v>2</v>
      </c>
      <c r="E3" s="11">
        <f t="array" ref="E3">SUM(IF(F3:AS3="R2",1,0))</f>
        <v>0</v>
      </c>
      <c r="F3" s="24"/>
      <c r="G3" s="121"/>
      <c r="H3" s="121"/>
      <c r="I3" s="135"/>
      <c r="J3" s="136" t="s">
        <v>39</v>
      </c>
      <c r="K3" s="16"/>
      <c r="L3" s="21"/>
      <c r="M3" s="16"/>
      <c r="N3" s="136"/>
      <c r="O3" s="24">
        <v>1.0</v>
      </c>
      <c r="P3" s="24"/>
      <c r="Q3" s="121"/>
      <c r="R3" s="135"/>
      <c r="S3" s="136"/>
      <c r="T3" s="135"/>
      <c r="U3" s="135"/>
      <c r="V3" s="135"/>
      <c r="W3" s="16"/>
      <c r="X3" s="121"/>
      <c r="Y3" s="24" t="s">
        <v>39</v>
      </c>
      <c r="Z3" s="121"/>
      <c r="AA3" s="135"/>
      <c r="AB3" s="135"/>
      <c r="AC3" s="16"/>
      <c r="AD3" s="16"/>
      <c r="AE3" s="136"/>
      <c r="AF3" s="135"/>
      <c r="AG3" s="135"/>
      <c r="AH3" s="135"/>
      <c r="AI3" s="135"/>
      <c r="AJ3" s="135"/>
      <c r="AK3" s="135"/>
      <c r="AL3" s="16"/>
      <c r="AM3" s="135"/>
      <c r="AN3" s="135"/>
      <c r="AO3" s="135"/>
      <c r="AP3" s="135"/>
      <c r="AQ3" s="135"/>
      <c r="AR3" s="135"/>
      <c r="AS3" s="135"/>
    </row>
    <row r="4">
      <c r="A4" s="25" t="s">
        <v>501</v>
      </c>
      <c r="B4" s="10">
        <f t="shared" si="1"/>
        <v>2</v>
      </c>
      <c r="C4" s="10">
        <f t="shared" si="2"/>
        <v>1</v>
      </c>
      <c r="D4" s="11">
        <f t="array" ref="D4">SUM(IF(F4:AS4="R",1,0))</f>
        <v>1</v>
      </c>
      <c r="E4" s="11">
        <f t="array" ref="E4">SUM(IF(F4:AS4="R2",1,0))</f>
        <v>1</v>
      </c>
      <c r="F4" s="135"/>
      <c r="G4" s="135"/>
      <c r="H4" s="135"/>
      <c r="I4" s="135"/>
      <c r="J4" s="136"/>
      <c r="K4" s="135"/>
      <c r="L4" s="135"/>
      <c r="M4" s="136" t="s">
        <v>40</v>
      </c>
      <c r="N4" s="135"/>
      <c r="O4" s="135"/>
      <c r="P4" s="135"/>
      <c r="Q4" s="135"/>
      <c r="R4" s="135"/>
      <c r="S4" s="135"/>
      <c r="T4" s="135"/>
      <c r="U4" s="135"/>
      <c r="V4" s="135"/>
      <c r="W4" s="135"/>
      <c r="X4" s="135"/>
      <c r="Y4" s="135"/>
      <c r="Z4" s="135"/>
      <c r="AA4" s="135"/>
      <c r="AB4" s="135"/>
      <c r="AC4" s="135"/>
      <c r="AD4" s="135"/>
      <c r="AE4" s="135"/>
      <c r="AF4" s="135"/>
      <c r="AG4" s="135"/>
      <c r="AH4" s="135"/>
      <c r="AI4" s="135"/>
      <c r="AJ4" s="135"/>
      <c r="AK4" s="136" t="s">
        <v>39</v>
      </c>
      <c r="AL4" s="135"/>
      <c r="AM4" s="136"/>
      <c r="AN4" s="136">
        <v>1.0</v>
      </c>
      <c r="AO4" s="135"/>
      <c r="AP4" s="135"/>
      <c r="AQ4" s="135"/>
      <c r="AR4" s="135"/>
      <c r="AS4" s="135"/>
    </row>
    <row r="5">
      <c r="A5" s="25" t="s">
        <v>502</v>
      </c>
      <c r="B5" s="10">
        <f t="shared" si="1"/>
        <v>2</v>
      </c>
      <c r="C5" s="10">
        <f t="shared" si="2"/>
        <v>1</v>
      </c>
      <c r="D5" s="11">
        <f t="array" ref="D5">SUM(IF(F5:AS5="R",1,0))</f>
        <v>1</v>
      </c>
      <c r="E5" s="11">
        <f t="array" ref="E5">SUM(IF(F5:AS5="R2",1,0))</f>
        <v>1</v>
      </c>
      <c r="F5" s="135"/>
      <c r="G5" s="135"/>
      <c r="H5" s="135"/>
      <c r="I5" s="135"/>
      <c r="J5" s="136" t="s">
        <v>40</v>
      </c>
      <c r="K5" s="135"/>
      <c r="L5" s="135"/>
      <c r="M5" s="135"/>
      <c r="N5" s="135"/>
      <c r="O5" s="136"/>
      <c r="P5" s="136"/>
      <c r="Q5" s="135"/>
      <c r="R5" s="135"/>
      <c r="S5" s="135"/>
      <c r="T5" s="135"/>
      <c r="U5" s="135"/>
      <c r="V5" s="135"/>
      <c r="W5" s="136"/>
      <c r="X5" s="135"/>
      <c r="Y5" s="135"/>
      <c r="Z5" s="135"/>
      <c r="AA5" s="135"/>
      <c r="AB5" s="136" t="s">
        <v>39</v>
      </c>
      <c r="AC5" s="135"/>
      <c r="AD5" s="135"/>
      <c r="AE5" s="136"/>
      <c r="AF5" s="135"/>
      <c r="AG5" s="136"/>
      <c r="AH5" s="135"/>
      <c r="AI5" s="135"/>
      <c r="AJ5" s="135"/>
      <c r="AK5" s="135"/>
      <c r="AL5" s="135"/>
      <c r="AM5" s="136">
        <v>1.0</v>
      </c>
      <c r="AN5" s="135"/>
      <c r="AO5" s="136"/>
      <c r="AP5" s="135"/>
      <c r="AQ5" s="136"/>
      <c r="AR5" s="135"/>
      <c r="AS5" s="135"/>
    </row>
    <row r="6">
      <c r="A6" s="14" t="s">
        <v>503</v>
      </c>
      <c r="B6" s="10">
        <f t="shared" si="1"/>
        <v>2</v>
      </c>
      <c r="C6" s="10">
        <f t="shared" si="2"/>
        <v>1</v>
      </c>
      <c r="D6" s="11">
        <f t="array" ref="D6">SUM(IF(F6:AS6="R",1,0))</f>
        <v>1</v>
      </c>
      <c r="E6" s="11">
        <f t="array" ref="E6">SUM(IF(F6:AS6="R2",1,0))</f>
        <v>1</v>
      </c>
      <c r="F6" s="135"/>
      <c r="G6" s="136"/>
      <c r="H6" s="135"/>
      <c r="I6" s="135"/>
      <c r="J6" s="135"/>
      <c r="K6" s="136"/>
      <c r="L6" s="136"/>
      <c r="M6" s="136" t="s">
        <v>39</v>
      </c>
      <c r="N6" s="136"/>
      <c r="O6" s="135"/>
      <c r="P6" s="135"/>
      <c r="Q6" s="135"/>
      <c r="R6" s="135"/>
      <c r="S6" s="135"/>
      <c r="T6" s="135"/>
      <c r="U6" s="135"/>
      <c r="V6" s="136"/>
      <c r="W6" s="135"/>
      <c r="X6" s="135"/>
      <c r="Y6" s="135"/>
      <c r="Z6" s="135"/>
      <c r="AA6" s="135"/>
      <c r="AB6" s="135"/>
      <c r="AC6" s="135"/>
      <c r="AD6" s="135"/>
      <c r="AE6" s="135"/>
      <c r="AF6" s="136">
        <v>1.0</v>
      </c>
      <c r="AG6" s="135"/>
      <c r="AH6" s="135"/>
      <c r="AI6" s="135"/>
      <c r="AJ6" s="135"/>
      <c r="AK6" s="135"/>
      <c r="AL6" s="135"/>
      <c r="AM6" s="135"/>
      <c r="AN6" s="135"/>
      <c r="AO6" s="136" t="s">
        <v>40</v>
      </c>
      <c r="AP6" s="135"/>
      <c r="AQ6" s="135"/>
      <c r="AR6" s="135"/>
      <c r="AS6" s="135"/>
    </row>
    <row r="7">
      <c r="A7" s="14" t="s">
        <v>504</v>
      </c>
      <c r="B7" s="10">
        <f t="shared" si="1"/>
        <v>2</v>
      </c>
      <c r="C7" s="10">
        <f t="shared" si="2"/>
        <v>1</v>
      </c>
      <c r="D7" s="11">
        <f t="array" ref="D7">SUM(IF(F7:AS7="R",1,0))</f>
        <v>1</v>
      </c>
      <c r="E7" s="11">
        <f t="array" ref="E7">SUM(IF(F7:AS7="R2",1,0))</f>
        <v>1</v>
      </c>
      <c r="F7" s="135"/>
      <c r="G7" s="136" t="s">
        <v>39</v>
      </c>
      <c r="H7" s="135"/>
      <c r="I7" s="135"/>
      <c r="J7" s="16"/>
      <c r="K7" s="24">
        <v>1.0</v>
      </c>
      <c r="L7" s="16"/>
      <c r="M7" s="16"/>
      <c r="N7" s="21"/>
      <c r="O7" s="135"/>
      <c r="P7" s="135"/>
      <c r="Q7" s="135"/>
      <c r="R7" s="135"/>
      <c r="S7" s="16"/>
      <c r="T7" s="24"/>
      <c r="U7" s="16"/>
      <c r="V7" s="16"/>
      <c r="W7" s="135"/>
      <c r="X7" s="135"/>
      <c r="Y7" s="135"/>
      <c r="Z7" s="135"/>
      <c r="AA7" s="135"/>
      <c r="AB7" s="24" t="s">
        <v>40</v>
      </c>
      <c r="AC7" s="16"/>
      <c r="AD7" s="16"/>
      <c r="AE7" s="16"/>
      <c r="AF7" s="16"/>
      <c r="AG7" s="21"/>
      <c r="AH7" s="16"/>
      <c r="AI7" s="16"/>
      <c r="AJ7" s="16"/>
      <c r="AK7" s="16"/>
      <c r="AL7" s="16"/>
      <c r="AM7" s="16"/>
      <c r="AN7" s="16"/>
      <c r="AO7" s="21"/>
      <c r="AP7" s="16"/>
      <c r="AQ7" s="16"/>
      <c r="AR7" s="16"/>
      <c r="AS7" s="16"/>
    </row>
    <row r="8">
      <c r="A8" s="122" t="s">
        <v>505</v>
      </c>
      <c r="B8" s="10">
        <f t="shared" si="1"/>
        <v>2</v>
      </c>
      <c r="C8" s="10">
        <f t="shared" si="2"/>
        <v>1</v>
      </c>
      <c r="D8" s="11">
        <f t="array" ref="D8">SUM(IF(F8:AS8="R",1,0))</f>
        <v>1</v>
      </c>
      <c r="E8" s="11">
        <f t="array" ref="E8">SUM(IF(F8:AS8="R2",1,0))</f>
        <v>1</v>
      </c>
      <c r="F8" s="135"/>
      <c r="G8" s="136">
        <v>1.0</v>
      </c>
      <c r="H8" s="135"/>
      <c r="I8" s="135"/>
      <c r="J8" s="135"/>
      <c r="K8" s="135"/>
      <c r="L8" s="135"/>
      <c r="M8" s="135"/>
      <c r="N8" s="135"/>
      <c r="O8" s="135"/>
      <c r="P8" s="135"/>
      <c r="Q8" s="135"/>
      <c r="R8" s="135"/>
      <c r="S8" s="135"/>
      <c r="T8" s="135"/>
      <c r="U8" s="135"/>
      <c r="V8" s="135"/>
      <c r="W8" s="135"/>
      <c r="X8" s="135"/>
      <c r="Y8" s="135"/>
      <c r="Z8" s="135"/>
      <c r="AA8" s="136" t="s">
        <v>39</v>
      </c>
      <c r="AB8" s="135"/>
      <c r="AC8" s="135"/>
      <c r="AD8" s="135"/>
      <c r="AE8" s="135"/>
      <c r="AF8" s="136" t="s">
        <v>40</v>
      </c>
      <c r="AG8" s="135"/>
      <c r="AH8" s="135"/>
      <c r="AI8" s="135"/>
      <c r="AJ8" s="135"/>
      <c r="AK8" s="135"/>
      <c r="AL8" s="135"/>
      <c r="AM8" s="135"/>
      <c r="AN8" s="135"/>
      <c r="AO8" s="135"/>
      <c r="AP8" s="135"/>
      <c r="AQ8" s="135"/>
      <c r="AR8" s="135"/>
      <c r="AS8" s="135"/>
    </row>
    <row r="9">
      <c r="A9" s="27" t="s">
        <v>469</v>
      </c>
      <c r="B9" s="10"/>
      <c r="C9" s="10">
        <f t="shared" si="2"/>
        <v>1</v>
      </c>
      <c r="D9" s="11">
        <f t="array" ref="D9">SUM(IF(F9:AS9="R",1,0))</f>
        <v>2</v>
      </c>
      <c r="E9" s="11">
        <f t="array" ref="E9">SUM(IF(F9:AS9="R2",1,0))</f>
        <v>1</v>
      </c>
      <c r="F9" s="16"/>
      <c r="G9" s="16"/>
      <c r="H9" s="16"/>
      <c r="I9" s="16"/>
      <c r="J9" s="16"/>
      <c r="K9" s="16"/>
      <c r="L9" s="16"/>
      <c r="M9" s="16"/>
      <c r="N9" s="16"/>
      <c r="O9" s="16"/>
      <c r="P9" s="16"/>
      <c r="Q9" s="16"/>
      <c r="R9" s="16"/>
      <c r="S9" s="16"/>
      <c r="T9" s="16"/>
      <c r="U9" s="16"/>
      <c r="V9" s="24"/>
      <c r="W9" s="136" t="s">
        <v>39</v>
      </c>
      <c r="X9" s="135"/>
      <c r="Y9" s="135"/>
      <c r="Z9" s="135"/>
      <c r="AA9" s="135"/>
      <c r="AB9" s="121"/>
      <c r="AC9" s="16"/>
      <c r="AD9" s="24" t="s">
        <v>39</v>
      </c>
      <c r="AE9" s="121"/>
      <c r="AF9" s="135"/>
      <c r="AG9" s="135"/>
      <c r="AH9" s="135"/>
      <c r="AI9" s="135"/>
      <c r="AJ9" s="135"/>
      <c r="AK9" s="121"/>
      <c r="AL9" s="24">
        <v>1.0</v>
      </c>
      <c r="AM9" s="121"/>
      <c r="AN9" s="24" t="s">
        <v>40</v>
      </c>
      <c r="AO9" s="135"/>
      <c r="AP9" s="135"/>
      <c r="AQ9" s="135"/>
      <c r="AR9" s="135"/>
      <c r="AS9" s="135"/>
    </row>
    <row r="10">
      <c r="A10" s="125" t="s">
        <v>506</v>
      </c>
      <c r="B10" s="10">
        <f>SUM(C10:D10)</f>
        <v>2</v>
      </c>
      <c r="C10" s="10">
        <f t="shared" si="2"/>
        <v>1</v>
      </c>
      <c r="D10" s="11">
        <f t="array" ref="D10">SUM(IF(F10:AS10="R",1,0))</f>
        <v>1</v>
      </c>
      <c r="E10" s="11">
        <f t="array" ref="E10">SUM(IF(F10:AS10="R2",1,0))</f>
        <v>1</v>
      </c>
      <c r="F10" s="136" t="s">
        <v>40</v>
      </c>
      <c r="G10" s="135"/>
      <c r="H10" s="135"/>
      <c r="I10" s="135"/>
      <c r="J10" s="135"/>
      <c r="K10" s="135"/>
      <c r="L10" s="135"/>
      <c r="M10" s="135"/>
      <c r="N10" s="135"/>
      <c r="O10" s="136"/>
      <c r="P10" s="135"/>
      <c r="Q10" s="135"/>
      <c r="R10" s="135"/>
      <c r="S10" s="135"/>
      <c r="T10" s="135"/>
      <c r="U10" s="136"/>
      <c r="V10" s="135"/>
      <c r="W10" s="135"/>
      <c r="X10" s="135"/>
      <c r="Y10" s="135"/>
      <c r="Z10" s="135"/>
      <c r="AA10" s="135"/>
      <c r="AB10" s="135"/>
      <c r="AC10" s="135"/>
      <c r="AD10" s="135"/>
      <c r="AE10" s="136">
        <v>1.0</v>
      </c>
      <c r="AF10" s="135"/>
      <c r="AG10" s="135"/>
      <c r="AH10" s="135"/>
      <c r="AI10" s="135"/>
      <c r="AJ10" s="135"/>
      <c r="AK10" s="135"/>
      <c r="AL10" s="135"/>
      <c r="AM10" s="136" t="s">
        <v>39</v>
      </c>
      <c r="AN10" s="135"/>
      <c r="AO10" s="135"/>
      <c r="AP10" s="135"/>
      <c r="AQ10" s="135"/>
      <c r="AR10" s="135"/>
      <c r="AS10" s="136"/>
    </row>
    <row r="11">
      <c r="A11" s="125" t="s">
        <v>507</v>
      </c>
      <c r="B11" s="10"/>
      <c r="C11" s="10">
        <f t="shared" si="2"/>
        <v>1</v>
      </c>
      <c r="D11" s="11">
        <f t="array" ref="D11">SUM(IF(F11:AS11="R",1,0))</f>
        <v>1</v>
      </c>
      <c r="E11" s="11">
        <f t="array" ref="E11">SUM(IF(F11:AS11="R2",1,0))</f>
        <v>2</v>
      </c>
      <c r="F11" s="135"/>
      <c r="G11" s="135"/>
      <c r="H11" s="135"/>
      <c r="I11" s="135"/>
      <c r="J11" s="136"/>
      <c r="K11" s="136"/>
      <c r="L11" s="135"/>
      <c r="M11" s="135"/>
      <c r="N11" s="136"/>
      <c r="O11" s="135"/>
      <c r="P11" s="136" t="s">
        <v>40</v>
      </c>
      <c r="Q11" s="135"/>
      <c r="R11" s="135"/>
      <c r="S11" s="135"/>
      <c r="T11" s="135"/>
      <c r="U11" s="136"/>
      <c r="V11" s="135"/>
      <c r="W11" s="135"/>
      <c r="X11" s="135"/>
      <c r="Y11" s="135"/>
      <c r="Z11" s="135"/>
      <c r="AA11" s="135"/>
      <c r="AB11" s="136">
        <v>1.0</v>
      </c>
      <c r="AC11" s="135"/>
      <c r="AD11" s="135"/>
      <c r="AE11" s="136" t="s">
        <v>39</v>
      </c>
      <c r="AF11" s="135"/>
      <c r="AG11" s="135"/>
      <c r="AH11" s="135"/>
      <c r="AI11" s="135"/>
      <c r="AJ11" s="136" t="s">
        <v>40</v>
      </c>
      <c r="AK11" s="135"/>
      <c r="AL11" s="135"/>
      <c r="AM11" s="136"/>
      <c r="AN11" s="135"/>
      <c r="AO11" s="136"/>
      <c r="AP11" s="135"/>
      <c r="AQ11" s="135"/>
      <c r="AR11" s="135"/>
      <c r="AS11" s="135"/>
    </row>
    <row r="12">
      <c r="A12" s="126" t="s">
        <v>508</v>
      </c>
      <c r="B12" s="10"/>
      <c r="C12" s="10">
        <f t="shared" si="2"/>
        <v>0</v>
      </c>
      <c r="D12" s="11">
        <f t="array" ref="D12">SUM(IF(F12:AS12="R",1,0))</f>
        <v>0</v>
      </c>
      <c r="E12" s="11">
        <f t="array" ref="E12">SUM(IF(F12:AS12="R2",1,0))</f>
        <v>0</v>
      </c>
      <c r="F12" s="135"/>
      <c r="G12" s="135"/>
      <c r="H12" s="135"/>
      <c r="I12" s="135"/>
      <c r="J12" s="135"/>
      <c r="K12" s="16"/>
      <c r="L12" s="16"/>
      <c r="M12" s="16"/>
      <c r="N12" s="135"/>
      <c r="O12" s="135"/>
      <c r="P12" s="135"/>
      <c r="Q12" s="135"/>
      <c r="R12" s="135"/>
      <c r="S12" s="135"/>
      <c r="T12" s="135"/>
      <c r="U12" s="136"/>
      <c r="V12" s="135"/>
      <c r="W12" s="135"/>
      <c r="X12" s="135"/>
      <c r="Y12" s="135"/>
      <c r="Z12" s="135"/>
      <c r="AA12" s="135"/>
      <c r="AB12" s="135"/>
      <c r="AC12" s="135"/>
      <c r="AD12" s="135"/>
      <c r="AE12" s="135"/>
      <c r="AF12" s="135"/>
      <c r="AG12" s="135"/>
      <c r="AH12" s="135"/>
      <c r="AI12" s="135"/>
      <c r="AJ12" s="135"/>
      <c r="AK12" s="135"/>
      <c r="AL12" s="135"/>
      <c r="AM12" s="135"/>
      <c r="AN12" s="135"/>
      <c r="AO12" s="135"/>
      <c r="AP12" s="135"/>
      <c r="AQ12" s="135"/>
      <c r="AR12" s="135"/>
      <c r="AS12" s="135"/>
    </row>
    <row r="13">
      <c r="A13" s="127" t="s">
        <v>509</v>
      </c>
      <c r="B13" s="10"/>
      <c r="C13" s="10">
        <f t="shared" si="2"/>
        <v>1</v>
      </c>
      <c r="D13" s="11">
        <f t="array" ref="D13">SUM(IF(F13:AS13="R",1,0))</f>
        <v>2</v>
      </c>
      <c r="E13" s="11">
        <f t="array" ref="E13">SUM(IF(F13:AS13="R2",1,0))</f>
        <v>1</v>
      </c>
      <c r="F13" s="135"/>
      <c r="G13" s="135"/>
      <c r="H13" s="135"/>
      <c r="I13" s="135"/>
      <c r="J13" s="135"/>
      <c r="K13" s="135"/>
      <c r="L13" s="136" t="s">
        <v>39</v>
      </c>
      <c r="M13" s="135"/>
      <c r="N13" s="136"/>
      <c r="O13" s="135"/>
      <c r="P13" s="135"/>
      <c r="Q13" s="135"/>
      <c r="R13" s="135"/>
      <c r="S13" s="136">
        <v>1.0</v>
      </c>
      <c r="T13" s="135"/>
      <c r="U13" s="136"/>
      <c r="V13" s="135"/>
      <c r="W13" s="135"/>
      <c r="X13" s="135"/>
      <c r="Y13" s="136" t="s">
        <v>40</v>
      </c>
      <c r="Z13" s="135"/>
      <c r="AA13" s="135"/>
      <c r="AB13" s="135"/>
      <c r="AC13" s="135"/>
      <c r="AD13" s="135"/>
      <c r="AE13" s="135"/>
      <c r="AF13" s="135"/>
      <c r="AG13" s="135"/>
      <c r="AH13" s="135"/>
      <c r="AI13" s="135"/>
      <c r="AJ13" s="135"/>
      <c r="AK13" s="135"/>
      <c r="AL13" s="136" t="s">
        <v>39</v>
      </c>
      <c r="AM13" s="135"/>
      <c r="AN13" s="135"/>
      <c r="AO13" s="135"/>
      <c r="AP13" s="135"/>
      <c r="AQ13" s="135"/>
      <c r="AR13" s="135"/>
      <c r="AS13" s="135"/>
    </row>
    <row r="14">
      <c r="A14" s="128" t="s">
        <v>510</v>
      </c>
      <c r="B14" s="10">
        <f>SUM(C14:D14)</f>
        <v>2</v>
      </c>
      <c r="C14" s="10">
        <f t="shared" si="2"/>
        <v>1</v>
      </c>
      <c r="D14" s="11">
        <f t="array" ref="D14">SUM(IF(F14:AS14="R",1,0))</f>
        <v>1</v>
      </c>
      <c r="E14" s="11">
        <f t="array" ref="E14">SUM(IF(F14:AS14="R2",1,0))</f>
        <v>2</v>
      </c>
      <c r="F14" s="16"/>
      <c r="G14" s="16"/>
      <c r="H14" s="16"/>
      <c r="I14" s="16"/>
      <c r="J14" s="16"/>
      <c r="K14" s="16"/>
      <c r="L14" s="16"/>
      <c r="M14" s="16"/>
      <c r="N14" s="135"/>
      <c r="O14" s="136"/>
      <c r="P14" s="135"/>
      <c r="Q14" s="136">
        <v>1.0</v>
      </c>
      <c r="R14" s="135"/>
      <c r="S14" s="135"/>
      <c r="T14" s="136"/>
      <c r="U14" s="135"/>
      <c r="V14" s="135"/>
      <c r="W14" s="135"/>
      <c r="X14" s="136" t="s">
        <v>40</v>
      </c>
      <c r="Y14" s="135"/>
      <c r="Z14" s="136" t="s">
        <v>40</v>
      </c>
      <c r="AA14" s="135"/>
      <c r="AB14" s="135"/>
      <c r="AC14" s="135"/>
      <c r="AD14" s="135"/>
      <c r="AE14" s="135"/>
      <c r="AF14" s="135"/>
      <c r="AG14" s="136"/>
      <c r="AH14" s="135"/>
      <c r="AI14" s="135"/>
      <c r="AJ14" s="135"/>
      <c r="AK14" s="135"/>
      <c r="AL14" s="135"/>
      <c r="AM14" s="135"/>
      <c r="AN14" s="135"/>
      <c r="AO14" s="135"/>
      <c r="AP14" s="135"/>
      <c r="AQ14" s="135"/>
      <c r="AR14" s="136" t="s">
        <v>39</v>
      </c>
      <c r="AS14" s="135"/>
    </row>
    <row r="15">
      <c r="A15" s="20" t="s">
        <v>471</v>
      </c>
      <c r="B15" s="10"/>
      <c r="C15" s="10">
        <f t="shared" si="2"/>
        <v>1</v>
      </c>
      <c r="D15" s="11">
        <f t="array" ref="D15">SUM(IF(F15:AS15="R",1,0))</f>
        <v>0</v>
      </c>
      <c r="E15" s="11">
        <f t="array" ref="E15">SUM(IF(F15:AS15="R2",1,0))</f>
        <v>2</v>
      </c>
      <c r="F15" s="135"/>
      <c r="G15" s="135"/>
      <c r="H15" s="135"/>
      <c r="I15" s="136" t="s">
        <v>40</v>
      </c>
      <c r="J15" s="135"/>
      <c r="K15" s="16"/>
      <c r="L15" s="16"/>
      <c r="M15" s="16"/>
      <c r="N15" s="136"/>
      <c r="O15" s="135"/>
      <c r="P15" s="135"/>
      <c r="Q15" s="135"/>
      <c r="R15" s="135"/>
      <c r="S15" s="135"/>
      <c r="T15" s="135"/>
      <c r="U15" s="135"/>
      <c r="V15" s="136">
        <v>1.0</v>
      </c>
      <c r="W15" s="135"/>
      <c r="X15" s="135"/>
      <c r="Y15" s="135"/>
      <c r="Z15" s="135"/>
      <c r="AA15" s="135"/>
      <c r="AB15" s="16"/>
      <c r="AC15" s="16"/>
      <c r="AD15" s="16"/>
      <c r="AE15" s="16"/>
      <c r="AF15" s="135"/>
      <c r="AG15" s="135"/>
      <c r="AH15" s="136" t="s">
        <v>40</v>
      </c>
      <c r="AI15" s="135"/>
      <c r="AJ15" s="135"/>
      <c r="AK15" s="135"/>
      <c r="AL15" s="16"/>
      <c r="AM15" s="135"/>
      <c r="AN15" s="16"/>
      <c r="AO15" s="135"/>
      <c r="AP15" s="135"/>
      <c r="AQ15" s="135"/>
      <c r="AR15" s="135"/>
      <c r="AS15" s="135"/>
    </row>
    <row r="16" ht="15.0" customHeight="1">
      <c r="A16" s="26" t="s">
        <v>511</v>
      </c>
      <c r="B16" s="10">
        <f>SUM(C16:D16)</f>
        <v>3</v>
      </c>
      <c r="C16" s="10">
        <f t="shared" si="2"/>
        <v>1</v>
      </c>
      <c r="D16" s="11">
        <f t="array" ref="D16">SUM(IF(F16:AS16="R",1,0))</f>
        <v>2</v>
      </c>
      <c r="E16" s="11">
        <f t="array" ref="E16">SUM(IF(F16:AS16="R2",1,0))</f>
        <v>1</v>
      </c>
      <c r="F16" s="136" t="s">
        <v>39</v>
      </c>
      <c r="G16" s="135"/>
      <c r="H16" s="16"/>
      <c r="I16" s="16"/>
      <c r="J16" s="135"/>
      <c r="K16" s="137"/>
      <c r="L16" s="138"/>
      <c r="M16" s="138"/>
      <c r="N16" s="138"/>
      <c r="O16" s="137"/>
      <c r="P16" s="138"/>
      <c r="Q16" s="137" t="s">
        <v>40</v>
      </c>
      <c r="R16" s="135"/>
      <c r="S16" s="135"/>
      <c r="T16" s="135"/>
      <c r="U16" s="135"/>
      <c r="V16" s="135"/>
      <c r="W16" s="135"/>
      <c r="X16" s="136" t="s">
        <v>39</v>
      </c>
      <c r="Y16" s="135"/>
      <c r="Z16" s="139"/>
      <c r="AA16" s="140"/>
      <c r="AB16" s="139"/>
      <c r="AC16" s="140"/>
      <c r="AD16" s="139"/>
      <c r="AE16" s="139"/>
      <c r="AF16" s="139"/>
      <c r="AG16" s="135"/>
      <c r="AH16" s="135"/>
      <c r="AI16" s="136">
        <v>1.0</v>
      </c>
      <c r="AJ16" s="135"/>
      <c r="AK16" s="135"/>
      <c r="AL16" s="135"/>
      <c r="AM16" s="135"/>
      <c r="AN16" s="135"/>
      <c r="AO16" s="135"/>
      <c r="AP16" s="135"/>
      <c r="AQ16" s="135"/>
      <c r="AR16" s="16"/>
      <c r="AS16" s="16"/>
    </row>
    <row r="17" hidden="1">
      <c r="A17" s="26" t="s">
        <v>512</v>
      </c>
      <c r="B17" s="10"/>
      <c r="C17" s="10">
        <f t="shared" si="2"/>
        <v>0</v>
      </c>
      <c r="D17" s="11">
        <f t="array" ref="D17">SUM(IF(F17:AS17="R",1,0))</f>
        <v>0</v>
      </c>
      <c r="E17" s="11">
        <f t="array" ref="E17">SUM(IF(F17:AS17="R2",1,0))</f>
        <v>0</v>
      </c>
      <c r="F17" s="135"/>
      <c r="G17" s="135"/>
      <c r="H17" s="135"/>
      <c r="I17" s="135"/>
      <c r="J17" s="135"/>
      <c r="K17" s="137"/>
      <c r="L17" s="138"/>
      <c r="M17" s="138"/>
      <c r="N17" s="138"/>
      <c r="O17" s="138"/>
      <c r="P17" s="138"/>
      <c r="Q17" s="138"/>
      <c r="R17" s="135"/>
      <c r="S17" s="135"/>
      <c r="T17" s="135"/>
      <c r="U17" s="135"/>
      <c r="V17" s="135"/>
      <c r="W17" s="135"/>
      <c r="X17" s="135"/>
      <c r="Y17" s="135"/>
      <c r="Z17" s="139"/>
      <c r="AA17" s="139"/>
      <c r="AB17" s="139"/>
      <c r="AC17" s="139"/>
      <c r="AD17" s="139"/>
      <c r="AE17" s="139"/>
      <c r="AF17" s="139"/>
      <c r="AG17" s="135"/>
      <c r="AH17" s="135"/>
      <c r="AI17" s="135"/>
      <c r="AJ17" s="135"/>
      <c r="AK17" s="135"/>
      <c r="AL17" s="135"/>
      <c r="AM17" s="136"/>
      <c r="AN17" s="135"/>
      <c r="AO17" s="135"/>
      <c r="AP17" s="135"/>
      <c r="AQ17" s="135"/>
      <c r="AR17" s="135"/>
      <c r="AS17" s="135"/>
    </row>
    <row r="18">
      <c r="A18" s="22" t="s">
        <v>550</v>
      </c>
      <c r="B18" s="10">
        <f t="shared" ref="B18:B20" si="3">SUM(C18:D18)</f>
        <v>1</v>
      </c>
      <c r="C18" s="10">
        <f>SUM(H18:AS18)</f>
        <v>1</v>
      </c>
      <c r="D18" s="11">
        <f t="array" ref="D18">SUM(IF(F18:AS18="R",1,0))</f>
        <v>0</v>
      </c>
      <c r="E18" s="11">
        <f t="array" ref="E18">SUM(IF(F18:AS18="R2",1,0))</f>
        <v>2</v>
      </c>
      <c r="F18" s="135"/>
      <c r="G18" s="135"/>
      <c r="H18" s="135"/>
      <c r="I18" s="135"/>
      <c r="J18" s="135"/>
      <c r="K18" s="135"/>
      <c r="L18" s="135"/>
      <c r="M18" s="135"/>
      <c r="N18" s="135"/>
      <c r="O18" s="135"/>
      <c r="P18" s="135"/>
      <c r="Q18" s="135"/>
      <c r="R18" s="135"/>
      <c r="S18" s="136"/>
      <c r="T18" s="136" t="s">
        <v>40</v>
      </c>
      <c r="U18" s="135"/>
      <c r="V18" s="135"/>
      <c r="W18" s="135"/>
      <c r="X18" s="135"/>
      <c r="Y18" s="135"/>
      <c r="Z18" s="135"/>
      <c r="AA18" s="135"/>
      <c r="AB18" s="135"/>
      <c r="AC18" s="135"/>
      <c r="AD18" s="135"/>
      <c r="AE18" s="135"/>
      <c r="AF18" s="135"/>
      <c r="AG18" s="135"/>
      <c r="AH18" s="135"/>
      <c r="AI18" s="135"/>
      <c r="AJ18" s="135"/>
      <c r="AK18" s="135"/>
      <c r="AL18" s="135"/>
      <c r="AM18" s="136"/>
      <c r="AN18" s="135"/>
      <c r="AO18" s="135"/>
      <c r="AP18" s="135"/>
      <c r="AQ18" s="136" t="s">
        <v>40</v>
      </c>
      <c r="AR18" s="135"/>
      <c r="AS18" s="136">
        <v>1.0</v>
      </c>
    </row>
    <row r="19">
      <c r="A19" s="25" t="s">
        <v>551</v>
      </c>
      <c r="B19" s="10">
        <f t="shared" si="3"/>
        <v>3</v>
      </c>
      <c r="C19" s="10">
        <f t="shared" ref="C19:C27" si="4">SUM(F19:AS19)</f>
        <v>1</v>
      </c>
      <c r="D19" s="11">
        <f t="array" ref="D19">SUM(IF(F19:AS19="R",1,0))</f>
        <v>2</v>
      </c>
      <c r="E19" s="11">
        <f t="array" ref="E19">SUM(IF(F19:AS19="R2",1,0))</f>
        <v>0</v>
      </c>
      <c r="F19" s="135"/>
      <c r="G19" s="135"/>
      <c r="H19" s="135"/>
      <c r="I19" s="135"/>
      <c r="J19" s="135"/>
      <c r="K19" s="136"/>
      <c r="L19" s="135"/>
      <c r="M19" s="135"/>
      <c r="N19" s="135"/>
      <c r="O19" s="135"/>
      <c r="P19" s="135"/>
      <c r="Q19" s="135"/>
      <c r="R19" s="135"/>
      <c r="S19" s="136"/>
      <c r="T19" s="136" t="s">
        <v>39</v>
      </c>
      <c r="U19" s="135"/>
      <c r="V19" s="135"/>
      <c r="W19" s="135"/>
      <c r="X19" s="135"/>
      <c r="Y19" s="135"/>
      <c r="Z19" s="135"/>
      <c r="AA19" s="135"/>
      <c r="AB19" s="136"/>
      <c r="AC19" s="135"/>
      <c r="AD19" s="135"/>
      <c r="AE19" s="136"/>
      <c r="AF19" s="135"/>
      <c r="AG19" s="135"/>
      <c r="AH19" s="135"/>
      <c r="AI19" s="135"/>
      <c r="AJ19" s="135"/>
      <c r="AK19" s="136">
        <v>1.0</v>
      </c>
      <c r="AL19" s="136"/>
      <c r="AM19" s="136"/>
      <c r="AN19" s="136" t="s">
        <v>39</v>
      </c>
      <c r="AO19" s="135"/>
      <c r="AP19" s="135"/>
      <c r="AQ19" s="135"/>
      <c r="AR19" s="135"/>
      <c r="AS19" s="135"/>
    </row>
    <row r="20">
      <c r="A20" s="26" t="s">
        <v>513</v>
      </c>
      <c r="B20" s="10">
        <f t="shared" si="3"/>
        <v>2</v>
      </c>
      <c r="C20" s="10">
        <f t="shared" si="4"/>
        <v>1</v>
      </c>
      <c r="D20" s="11">
        <f t="array" ref="D20">SUM(IF(F20:AS20="R",1,0))</f>
        <v>1</v>
      </c>
      <c r="E20" s="11">
        <f t="array" ref="E20">SUM(IF(F20:AS20="R2",1,0))</f>
        <v>3</v>
      </c>
      <c r="F20" s="136"/>
      <c r="G20" s="135"/>
      <c r="H20" s="21"/>
      <c r="I20" s="16"/>
      <c r="J20" s="135"/>
      <c r="K20" s="137"/>
      <c r="L20" s="138"/>
      <c r="M20" s="138"/>
      <c r="N20" s="138"/>
      <c r="O20" s="137" t="s">
        <v>39</v>
      </c>
      <c r="P20" s="138"/>
      <c r="Q20" s="105"/>
      <c r="R20" s="16"/>
      <c r="S20" s="135"/>
      <c r="T20" s="136"/>
      <c r="U20" s="135"/>
      <c r="V20" s="136"/>
      <c r="W20" s="135"/>
      <c r="X20" s="135"/>
      <c r="Y20" s="135"/>
      <c r="Z20" s="140">
        <v>1.0</v>
      </c>
      <c r="AA20" s="139"/>
      <c r="AB20" s="139"/>
      <c r="AC20" s="139"/>
      <c r="AD20" s="139"/>
      <c r="AE20" s="139"/>
      <c r="AF20" s="139"/>
      <c r="AG20" s="136" t="s">
        <v>40</v>
      </c>
      <c r="AH20" s="135"/>
      <c r="AI20" s="136" t="s">
        <v>40</v>
      </c>
      <c r="AJ20" s="135"/>
      <c r="AK20" s="135"/>
      <c r="AL20" s="135"/>
      <c r="AM20" s="135"/>
      <c r="AN20" s="135"/>
      <c r="AO20" s="135"/>
      <c r="AP20" s="136" t="s">
        <v>40</v>
      </c>
      <c r="AQ20" s="135"/>
      <c r="AR20" s="16"/>
      <c r="AS20" s="16"/>
    </row>
    <row r="21">
      <c r="A21" s="26" t="s">
        <v>552</v>
      </c>
      <c r="B21" s="10"/>
      <c r="C21" s="10">
        <f t="shared" si="4"/>
        <v>0</v>
      </c>
      <c r="D21" s="11">
        <f t="array" ref="D21">SUM(IF(F21:AS21="R",1,0))</f>
        <v>0</v>
      </c>
      <c r="E21" s="11">
        <f t="array" ref="E21">SUM(IF(F21:AS21="R2",1,0))</f>
        <v>0</v>
      </c>
      <c r="F21" s="135"/>
      <c r="G21" s="135"/>
      <c r="H21" s="135"/>
      <c r="I21" s="135"/>
      <c r="J21" s="135"/>
      <c r="K21" s="135"/>
      <c r="L21" s="135"/>
      <c r="M21" s="135"/>
      <c r="N21" s="135"/>
      <c r="O21" s="135"/>
      <c r="P21" s="135"/>
      <c r="Q21" s="135"/>
      <c r="R21" s="135"/>
      <c r="S21" s="135"/>
      <c r="T21" s="135"/>
      <c r="U21" s="135"/>
      <c r="V21" s="135"/>
      <c r="W21" s="135"/>
      <c r="X21" s="135"/>
      <c r="Y21" s="135"/>
      <c r="Z21" s="135"/>
      <c r="AA21" s="135"/>
      <c r="AB21" s="135"/>
      <c r="AC21" s="135"/>
      <c r="AD21" s="135"/>
      <c r="AE21" s="135"/>
      <c r="AF21" s="135"/>
      <c r="AG21" s="135"/>
      <c r="AH21" s="135"/>
      <c r="AI21" s="135"/>
      <c r="AJ21" s="135"/>
      <c r="AK21" s="135"/>
      <c r="AL21" s="135"/>
      <c r="AM21" s="135"/>
      <c r="AN21" s="135"/>
      <c r="AO21" s="135"/>
      <c r="AP21" s="136"/>
      <c r="AQ21" s="135"/>
      <c r="AR21" s="135"/>
      <c r="AS21" s="135"/>
    </row>
    <row r="22">
      <c r="A22" s="25" t="s">
        <v>514</v>
      </c>
      <c r="B22" s="10">
        <f>SUM(C22:D22)</f>
        <v>2</v>
      </c>
      <c r="C22" s="10">
        <f t="shared" si="4"/>
        <v>1</v>
      </c>
      <c r="D22" s="11">
        <f t="array" ref="D22">SUM(IF(F22:AS22="R",1,0))</f>
        <v>1</v>
      </c>
      <c r="E22" s="11">
        <f t="array" ref="E22">SUM(IF(F22:AS22="R2",1,0))</f>
        <v>1</v>
      </c>
      <c r="F22" s="135"/>
      <c r="G22" s="135"/>
      <c r="H22" s="136"/>
      <c r="I22" s="135"/>
      <c r="J22" s="136"/>
      <c r="K22" s="16"/>
      <c r="L22" s="16"/>
      <c r="M22" s="16"/>
      <c r="N22" s="136" t="s">
        <v>39</v>
      </c>
      <c r="O22" s="135"/>
      <c r="P22" s="135"/>
      <c r="Q22" s="135"/>
      <c r="R22" s="135"/>
      <c r="S22" s="136" t="s">
        <v>40</v>
      </c>
      <c r="T22" s="135"/>
      <c r="U22" s="136">
        <v>1.0</v>
      </c>
      <c r="V22" s="135"/>
      <c r="W22" s="135"/>
      <c r="X22" s="135"/>
      <c r="Y22" s="135"/>
      <c r="Z22" s="135"/>
      <c r="AA22" s="136"/>
      <c r="AB22" s="135"/>
      <c r="AC22" s="135"/>
      <c r="AD22" s="136"/>
      <c r="AE22" s="135"/>
      <c r="AF22" s="135"/>
      <c r="AG22" s="135"/>
      <c r="AH22" s="135"/>
      <c r="AI22" s="135"/>
      <c r="AJ22" s="135"/>
      <c r="AK22" s="135"/>
      <c r="AL22" s="135"/>
      <c r="AM22" s="136"/>
      <c r="AN22" s="135"/>
      <c r="AO22" s="135"/>
      <c r="AP22" s="135"/>
      <c r="AQ22" s="135"/>
      <c r="AR22" s="135"/>
      <c r="AS22" s="135"/>
    </row>
    <row r="23">
      <c r="A23" s="25" t="s">
        <v>515</v>
      </c>
      <c r="B23" s="10"/>
      <c r="C23" s="10">
        <f t="shared" si="4"/>
        <v>1</v>
      </c>
      <c r="D23" s="11">
        <f t="array" ref="D23">SUM(IF(F23:AS23="R",1,0))</f>
        <v>2</v>
      </c>
      <c r="E23" s="11">
        <f t="array" ref="E23">SUM(IF(F23:AS23="R2",1,0))</f>
        <v>2</v>
      </c>
      <c r="F23" s="135"/>
      <c r="G23" s="135"/>
      <c r="H23" s="135"/>
      <c r="I23" s="135"/>
      <c r="J23" s="135"/>
      <c r="K23" s="16"/>
      <c r="L23" s="21" t="s">
        <v>40</v>
      </c>
      <c r="M23" s="16"/>
      <c r="N23" s="135"/>
      <c r="O23" s="135"/>
      <c r="P23" s="136" t="s">
        <v>39</v>
      </c>
      <c r="Q23" s="135"/>
      <c r="R23" s="135"/>
      <c r="S23" s="135"/>
      <c r="T23" s="136">
        <v>1.0</v>
      </c>
      <c r="U23" s="135"/>
      <c r="V23" s="136" t="s">
        <v>39</v>
      </c>
      <c r="W23" s="135"/>
      <c r="X23" s="135"/>
      <c r="Y23" s="135"/>
      <c r="Z23" s="135"/>
      <c r="AA23" s="135"/>
      <c r="AB23" s="136"/>
      <c r="AC23" s="135"/>
      <c r="AD23" s="135"/>
      <c r="AE23" s="136" t="s">
        <v>40</v>
      </c>
      <c r="AF23" s="135"/>
      <c r="AG23" s="135"/>
      <c r="AH23" s="135"/>
      <c r="AI23" s="135"/>
      <c r="AJ23" s="135"/>
      <c r="AK23" s="135"/>
      <c r="AL23" s="135"/>
      <c r="AM23" s="135"/>
      <c r="AN23" s="136"/>
      <c r="AO23" s="135"/>
      <c r="AP23" s="16"/>
      <c r="AQ23" s="16"/>
      <c r="AR23" s="16"/>
      <c r="AS23" s="16"/>
    </row>
    <row r="24">
      <c r="A24" s="9" t="s">
        <v>473</v>
      </c>
      <c r="B24" s="10">
        <f>SUM(C24:D24)</f>
        <v>2</v>
      </c>
      <c r="C24" s="10">
        <f t="shared" si="4"/>
        <v>1</v>
      </c>
      <c r="D24" s="11">
        <f t="array" ref="D24">SUM(IF(F24:AS24="R",1,0))</f>
        <v>1</v>
      </c>
      <c r="E24" s="11">
        <f t="array" ref="E24">SUM(IF(F24:AS24="R2",1,0))</f>
        <v>1</v>
      </c>
      <c r="F24" s="135"/>
      <c r="G24" s="135"/>
      <c r="H24" s="135"/>
      <c r="I24" s="136"/>
      <c r="J24" s="135"/>
      <c r="K24" s="135"/>
      <c r="L24" s="135"/>
      <c r="M24" s="135"/>
      <c r="N24" s="135"/>
      <c r="O24" s="135"/>
      <c r="P24" s="136">
        <v>1.0</v>
      </c>
      <c r="Q24" s="135"/>
      <c r="R24" s="135"/>
      <c r="S24" s="135"/>
      <c r="T24" s="135"/>
      <c r="U24" s="135"/>
      <c r="V24" s="135"/>
      <c r="W24" s="135"/>
      <c r="X24" s="135"/>
      <c r="Y24" s="135"/>
      <c r="Z24" s="135"/>
      <c r="AA24" s="136" t="s">
        <v>40</v>
      </c>
      <c r="AB24" s="135"/>
      <c r="AC24" s="135"/>
      <c r="AD24" s="135"/>
      <c r="AE24" s="135"/>
      <c r="AF24" s="135"/>
      <c r="AG24" s="135"/>
      <c r="AH24" s="136" t="s">
        <v>39</v>
      </c>
      <c r="AI24" s="135"/>
      <c r="AJ24" s="135"/>
      <c r="AK24" s="16"/>
      <c r="AL24" s="16"/>
      <c r="AM24" s="16"/>
      <c r="AN24" s="16"/>
      <c r="AO24" s="16"/>
      <c r="AP24" s="16"/>
      <c r="AQ24" s="16"/>
      <c r="AR24" s="135"/>
      <c r="AS24" s="135"/>
    </row>
    <row r="25">
      <c r="A25" s="9" t="s">
        <v>516</v>
      </c>
      <c r="B25" s="28"/>
      <c r="C25" s="10">
        <f t="shared" si="4"/>
        <v>2</v>
      </c>
      <c r="D25" s="11">
        <f t="array" ref="D25">SUM(IF(F25:AS25="R",1,0))</f>
        <v>1</v>
      </c>
      <c r="E25" s="11">
        <f t="array" ref="E25">SUM(IF(F25:AS25="R2",1,0))</f>
        <v>1</v>
      </c>
      <c r="F25" s="136"/>
      <c r="G25" s="135"/>
      <c r="H25" s="135"/>
      <c r="I25" s="135"/>
      <c r="J25" s="135"/>
      <c r="K25" s="135"/>
      <c r="L25" s="24">
        <v>1.0</v>
      </c>
      <c r="M25" s="135"/>
      <c r="N25" s="135"/>
      <c r="O25" s="135"/>
      <c r="P25" s="135"/>
      <c r="Q25" s="135"/>
      <c r="R25" s="135"/>
      <c r="S25" s="135"/>
      <c r="T25" s="135"/>
      <c r="U25" s="24" t="s">
        <v>39</v>
      </c>
      <c r="V25" s="135"/>
      <c r="W25" s="135"/>
      <c r="X25" s="135"/>
      <c r="Y25" s="135"/>
      <c r="Z25" s="135"/>
      <c r="AA25" s="135"/>
      <c r="AB25" s="135"/>
      <c r="AC25" s="135"/>
      <c r="AD25" s="24">
        <v>1.0</v>
      </c>
      <c r="AE25" s="135"/>
      <c r="AF25" s="135"/>
      <c r="AG25" s="135"/>
      <c r="AH25" s="136"/>
      <c r="AI25" s="135"/>
      <c r="AJ25" s="135"/>
      <c r="AK25" s="135"/>
      <c r="AL25" s="135"/>
      <c r="AM25" s="136" t="s">
        <v>40</v>
      </c>
      <c r="AN25" s="135"/>
      <c r="AO25" s="135"/>
      <c r="AP25" s="135"/>
      <c r="AQ25" s="136"/>
      <c r="AR25" s="135"/>
      <c r="AS25" s="135"/>
    </row>
    <row r="26">
      <c r="A26" s="62" t="s">
        <v>517</v>
      </c>
      <c r="B26" s="10"/>
      <c r="C26" s="10">
        <f t="shared" si="4"/>
        <v>1</v>
      </c>
      <c r="D26" s="11">
        <f t="array" ref="D26">SUM(IF(F26:AS26="R",1,0))</f>
        <v>1</v>
      </c>
      <c r="E26" s="11">
        <f t="array" ref="E26">SUM(IF(F26:AS26="R2",1,0))</f>
        <v>1</v>
      </c>
      <c r="F26" s="135"/>
      <c r="G26" s="135"/>
      <c r="H26" s="135"/>
      <c r="I26" s="135"/>
      <c r="J26" s="135"/>
      <c r="K26" s="135"/>
      <c r="L26" s="136"/>
      <c r="M26" s="135"/>
      <c r="N26" s="135"/>
      <c r="O26" s="135"/>
      <c r="P26" s="135"/>
      <c r="Q26" s="135"/>
      <c r="R26" s="24">
        <v>1.0</v>
      </c>
      <c r="S26" s="16"/>
      <c r="T26" s="16"/>
      <c r="U26" s="21"/>
      <c r="V26" s="16"/>
      <c r="W26" s="16"/>
      <c r="X26" s="135"/>
      <c r="Y26" s="135"/>
      <c r="Z26" s="135"/>
      <c r="AA26" s="135"/>
      <c r="AB26" s="135"/>
      <c r="AC26" s="135"/>
      <c r="AD26" s="136"/>
      <c r="AE26" s="135"/>
      <c r="AF26" s="135"/>
      <c r="AG26" s="135"/>
      <c r="AH26" s="135"/>
      <c r="AI26" s="135"/>
      <c r="AJ26" s="24" t="s">
        <v>39</v>
      </c>
      <c r="AK26" s="135"/>
      <c r="AL26" s="135"/>
      <c r="AM26" s="135"/>
      <c r="AN26" s="136"/>
      <c r="AO26" s="135"/>
      <c r="AP26" s="135"/>
      <c r="AQ26" s="135"/>
      <c r="AR26" s="135"/>
      <c r="AS26" s="24" t="s">
        <v>40</v>
      </c>
    </row>
    <row r="27">
      <c r="A27" s="62" t="s">
        <v>518</v>
      </c>
      <c r="B27" s="10">
        <f>SUM(C27:D27)</f>
        <v>2</v>
      </c>
      <c r="C27" s="10">
        <f t="shared" si="4"/>
        <v>1</v>
      </c>
      <c r="D27" s="11">
        <f t="array" ref="D27">SUM(IF(F27:AS27="R",1,0))</f>
        <v>1</v>
      </c>
      <c r="E27" s="11">
        <f t="array" ref="E27">SUM(IF(F27:AS27="R2",1,0))</f>
        <v>1</v>
      </c>
      <c r="F27" s="24"/>
      <c r="G27" s="135"/>
      <c r="H27" s="24">
        <v>1.0</v>
      </c>
      <c r="I27" s="135"/>
      <c r="J27" s="135"/>
      <c r="K27" s="16"/>
      <c r="L27" s="16"/>
      <c r="M27" s="16"/>
      <c r="N27" s="135"/>
      <c r="O27" s="24" t="s">
        <v>40</v>
      </c>
      <c r="P27" s="135"/>
      <c r="Q27" s="121"/>
      <c r="R27" s="135"/>
      <c r="S27" s="135"/>
      <c r="T27" s="135"/>
      <c r="U27" s="135"/>
      <c r="V27" s="135"/>
      <c r="W27" s="16"/>
      <c r="X27" s="16"/>
      <c r="Y27" s="16"/>
      <c r="Z27" s="24" t="s">
        <v>39</v>
      </c>
      <c r="AA27" s="135"/>
      <c r="AB27" s="135"/>
      <c r="AC27" s="136"/>
      <c r="AD27" s="135"/>
      <c r="AE27" s="135"/>
      <c r="AF27" s="135"/>
      <c r="AG27" s="121"/>
      <c r="AH27" s="135"/>
      <c r="AI27" s="121"/>
      <c r="AJ27" s="135"/>
      <c r="AK27" s="135"/>
      <c r="AL27" s="135"/>
      <c r="AM27" s="135"/>
      <c r="AN27" s="135"/>
      <c r="AO27" s="135"/>
      <c r="AP27" s="24"/>
      <c r="AQ27" s="135"/>
      <c r="AR27" s="24"/>
      <c r="AS27" s="135"/>
    </row>
    <row r="28">
      <c r="A28" s="62" t="s">
        <v>519</v>
      </c>
      <c r="B28" s="10"/>
      <c r="C28" s="10">
        <f>SUM(H28:AS28)</f>
        <v>1</v>
      </c>
      <c r="D28" s="11">
        <f t="array" ref="D28">SUM(IF(F28:AS28="R",1,0))</f>
        <v>2</v>
      </c>
      <c r="E28" s="11">
        <f t="array" ref="E28">SUM(IF(F28:AS28="R2",1,0))</f>
        <v>1</v>
      </c>
      <c r="F28" s="135"/>
      <c r="G28" s="135"/>
      <c r="H28" s="135"/>
      <c r="I28" s="135"/>
      <c r="J28" s="16"/>
      <c r="K28" s="16"/>
      <c r="L28" s="21"/>
      <c r="M28" s="16"/>
      <c r="N28" s="16"/>
      <c r="O28" s="135"/>
      <c r="P28" s="135"/>
      <c r="Q28" s="135"/>
      <c r="R28" s="136" t="s">
        <v>39</v>
      </c>
      <c r="S28" s="135"/>
      <c r="T28" s="121"/>
      <c r="U28" s="136"/>
      <c r="V28" s="24" t="s">
        <v>40</v>
      </c>
      <c r="W28" s="135"/>
      <c r="X28" s="135"/>
      <c r="Y28" s="135"/>
      <c r="Z28" s="135"/>
      <c r="AA28" s="135"/>
      <c r="AB28" s="135"/>
      <c r="AC28" s="24">
        <v>1.0</v>
      </c>
      <c r="AD28" s="136"/>
      <c r="AE28" s="135"/>
      <c r="AF28" s="16"/>
      <c r="AG28" s="135"/>
      <c r="AH28" s="135"/>
      <c r="AI28" s="135"/>
      <c r="AJ28" s="135"/>
      <c r="AK28" s="135"/>
      <c r="AL28" s="135"/>
      <c r="AM28" s="135"/>
      <c r="AN28" s="136"/>
      <c r="AO28" s="136" t="s">
        <v>39</v>
      </c>
      <c r="AP28" s="135"/>
      <c r="AQ28" s="136"/>
      <c r="AR28" s="135"/>
      <c r="AS28" s="135"/>
    </row>
    <row r="29">
      <c r="A29" s="62" t="s">
        <v>520</v>
      </c>
      <c r="B29" s="10">
        <f t="shared" ref="B29:B30" si="5">SUM(C29:D29)</f>
        <v>2</v>
      </c>
      <c r="C29" s="10">
        <f t="shared" ref="C29:C38" si="6">SUM(F29:AS29)</f>
        <v>1</v>
      </c>
      <c r="D29" s="11">
        <f t="array" ref="D29">SUM(IF(F29:AS29="R",1,0))</f>
        <v>1</v>
      </c>
      <c r="E29" s="11">
        <f t="array" ref="E29">SUM(IF(F29:AS29="R2",1,0))</f>
        <v>2</v>
      </c>
      <c r="F29" s="135"/>
      <c r="G29" s="136"/>
      <c r="H29" s="135"/>
      <c r="I29" s="135"/>
      <c r="J29" s="135"/>
      <c r="K29" s="136" t="s">
        <v>40</v>
      </c>
      <c r="L29" s="135"/>
      <c r="M29" s="135"/>
      <c r="N29" s="43"/>
      <c r="O29" s="135"/>
      <c r="P29" s="135"/>
      <c r="Q29" s="135"/>
      <c r="R29" s="136" t="s">
        <v>40</v>
      </c>
      <c r="S29" s="135"/>
      <c r="T29" s="135"/>
      <c r="U29" s="135"/>
      <c r="V29" s="135"/>
      <c r="W29" s="16"/>
      <c r="X29" s="135"/>
      <c r="Y29" s="136">
        <v>1.0</v>
      </c>
      <c r="Z29" s="135"/>
      <c r="AA29" s="135"/>
      <c r="AB29" s="135"/>
      <c r="AC29" s="136" t="s">
        <v>39</v>
      </c>
      <c r="AD29" s="135"/>
      <c r="AE29" s="135"/>
      <c r="AF29" s="135"/>
      <c r="AG29" s="135"/>
      <c r="AH29" s="135"/>
      <c r="AI29" s="135"/>
      <c r="AJ29" s="135"/>
      <c r="AK29" s="135"/>
      <c r="AL29" s="135"/>
      <c r="AM29" s="135"/>
      <c r="AN29" s="135"/>
      <c r="AO29" s="135"/>
      <c r="AP29" s="135"/>
      <c r="AQ29" s="135"/>
      <c r="AR29" s="135"/>
      <c r="AS29" s="135"/>
    </row>
    <row r="30">
      <c r="A30" s="26" t="s">
        <v>553</v>
      </c>
      <c r="B30" s="10">
        <f t="shared" si="5"/>
        <v>2</v>
      </c>
      <c r="C30" s="10">
        <f t="shared" si="6"/>
        <v>1</v>
      </c>
      <c r="D30" s="11">
        <f t="array" ref="D30">SUM(IF(F30:AS30="R",1,0))</f>
        <v>1</v>
      </c>
      <c r="E30" s="11">
        <f t="array" ref="E30">SUM(IF(F30:AS30="R2",1,0))</f>
        <v>1</v>
      </c>
      <c r="F30" s="135"/>
      <c r="G30" s="135"/>
      <c r="H30" s="136"/>
      <c r="I30" s="135"/>
      <c r="J30" s="135"/>
      <c r="K30" s="135"/>
      <c r="L30" s="136"/>
      <c r="M30" s="135"/>
      <c r="N30" s="135"/>
      <c r="O30" s="135"/>
      <c r="P30" s="136"/>
      <c r="Q30" s="135"/>
      <c r="R30" s="135"/>
      <c r="S30" s="135"/>
      <c r="T30" s="135"/>
      <c r="U30" s="135"/>
      <c r="V30" s="135"/>
      <c r="W30" s="135"/>
      <c r="X30" s="135"/>
      <c r="Y30" s="136"/>
      <c r="Z30" s="135"/>
      <c r="AA30" s="135"/>
      <c r="AB30" s="135"/>
      <c r="AC30" s="135"/>
      <c r="AD30" s="136"/>
      <c r="AE30" s="135"/>
      <c r="AF30" s="135"/>
      <c r="AG30" s="136"/>
      <c r="AH30" s="135"/>
      <c r="AI30" s="136" t="s">
        <v>39</v>
      </c>
      <c r="AJ30" s="135"/>
      <c r="AK30" s="135"/>
      <c r="AL30" s="135"/>
      <c r="AM30" s="135"/>
      <c r="AN30" s="136"/>
      <c r="AO30" s="135"/>
      <c r="AP30" s="136">
        <v>1.0</v>
      </c>
      <c r="AQ30" s="135"/>
      <c r="AR30" s="136" t="s">
        <v>40</v>
      </c>
      <c r="AS30" s="135"/>
    </row>
    <row r="31">
      <c r="A31" s="26" t="s">
        <v>475</v>
      </c>
      <c r="B31" s="10"/>
      <c r="C31" s="10">
        <f t="shared" si="6"/>
        <v>3</v>
      </c>
      <c r="D31" s="11">
        <f t="array" ref="D31">SUM(IF(F31:AS31="R",1,0))</f>
        <v>2</v>
      </c>
      <c r="E31" s="11">
        <f t="array" ref="E31">SUM(IF(F31:AS31="R2",1,0))</f>
        <v>1</v>
      </c>
      <c r="F31" s="136">
        <v>1.0</v>
      </c>
      <c r="G31" s="135"/>
      <c r="H31" s="136" t="s">
        <v>40</v>
      </c>
      <c r="I31" s="135"/>
      <c r="J31" s="135"/>
      <c r="K31" s="135"/>
      <c r="L31" s="135"/>
      <c r="M31" s="135"/>
      <c r="N31" s="135"/>
      <c r="O31" s="136"/>
      <c r="P31" s="135"/>
      <c r="Q31" s="136" t="s">
        <v>39</v>
      </c>
      <c r="R31" s="135"/>
      <c r="S31" s="135"/>
      <c r="T31" s="135"/>
      <c r="U31" s="135"/>
      <c r="V31" s="135"/>
      <c r="W31" s="135"/>
      <c r="X31" s="136">
        <v>1.0</v>
      </c>
      <c r="Y31" s="136"/>
      <c r="Z31" s="135"/>
      <c r="AA31" s="135"/>
      <c r="AB31" s="135"/>
      <c r="AC31" s="135"/>
      <c r="AD31" s="135"/>
      <c r="AE31" s="135"/>
      <c r="AF31" s="135"/>
      <c r="AG31" s="136" t="s">
        <v>39</v>
      </c>
      <c r="AH31" s="135"/>
      <c r="AI31" s="135"/>
      <c r="AJ31" s="135"/>
      <c r="AK31" s="135"/>
      <c r="AL31" s="135"/>
      <c r="AM31" s="135"/>
      <c r="AN31" s="135"/>
      <c r="AO31" s="135"/>
      <c r="AP31" s="135"/>
      <c r="AQ31" s="135"/>
      <c r="AR31" s="136">
        <v>1.0</v>
      </c>
      <c r="AS31" s="135"/>
    </row>
    <row r="32">
      <c r="A32" s="27" t="s">
        <v>476</v>
      </c>
      <c r="B32" s="10" t="str">
        <f>SUM(B4:B37)</f>
        <v>#REF!</v>
      </c>
      <c r="C32" s="10">
        <f t="shared" si="6"/>
        <v>2</v>
      </c>
      <c r="D32" s="11">
        <f t="array" ref="D32">SUM(IF(F32:AS32="R",1,0))</f>
        <v>1</v>
      </c>
      <c r="E32" s="11">
        <f t="array" ref="E32">SUM(IF(F32:AS32="R2",1,0))</f>
        <v>1</v>
      </c>
      <c r="F32" s="136"/>
      <c r="G32" s="136" t="s">
        <v>40</v>
      </c>
      <c r="H32" s="136"/>
      <c r="I32" s="135"/>
      <c r="J32" s="135"/>
      <c r="K32" s="135"/>
      <c r="L32" s="135"/>
      <c r="M32" s="135"/>
      <c r="N32" s="136">
        <v>1.0</v>
      </c>
      <c r="O32" s="135"/>
      <c r="P32" s="135"/>
      <c r="Q32" s="135"/>
      <c r="R32" s="135"/>
      <c r="S32" s="135"/>
      <c r="T32" s="135"/>
      <c r="U32" s="135"/>
      <c r="V32" s="135"/>
      <c r="W32" s="135"/>
      <c r="X32" s="135"/>
      <c r="Y32" s="136"/>
      <c r="Z32" s="135"/>
      <c r="AA32" s="135"/>
      <c r="AB32" s="135"/>
      <c r="AC32" s="135"/>
      <c r="AD32" s="135"/>
      <c r="AE32" s="135"/>
      <c r="AF32" s="136" t="s">
        <v>39</v>
      </c>
      <c r="AG32" s="135"/>
      <c r="AH32" s="136"/>
      <c r="AI32" s="136"/>
      <c r="AJ32" s="135"/>
      <c r="AK32" s="135"/>
      <c r="AL32" s="135"/>
      <c r="AM32" s="135"/>
      <c r="AN32" s="135"/>
      <c r="AO32" s="135"/>
      <c r="AP32" s="135"/>
      <c r="AQ32" s="136">
        <v>1.0</v>
      </c>
      <c r="AR32" s="135"/>
      <c r="AS32" s="135"/>
    </row>
    <row r="33">
      <c r="A33" s="27" t="s">
        <v>522</v>
      </c>
      <c r="B33" s="28" t="str">
        <f t="shared" ref="B33:B34" si="7">SUM(#REF!)</f>
        <v>#REF!</v>
      </c>
      <c r="C33" s="10">
        <f t="shared" si="6"/>
        <v>2</v>
      </c>
      <c r="D33" s="11">
        <f t="array" ref="D33">SUM(IF(F33:AS33="R",1,0))</f>
        <v>0</v>
      </c>
      <c r="E33" s="11">
        <f t="array" ref="E33">SUM(IF(F33:AS33="R2",1,0))</f>
        <v>2</v>
      </c>
      <c r="F33" s="16"/>
      <c r="G33" s="16"/>
      <c r="H33" s="16"/>
      <c r="I33" s="16"/>
      <c r="J33" s="16"/>
      <c r="K33" s="16"/>
      <c r="L33" s="16"/>
      <c r="M33" s="16"/>
      <c r="N33" s="136" t="s">
        <v>40</v>
      </c>
      <c r="O33" s="16"/>
      <c r="P33" s="21"/>
      <c r="Q33" s="16"/>
      <c r="R33" s="16"/>
      <c r="S33" s="135"/>
      <c r="T33" s="24"/>
      <c r="U33" s="135"/>
      <c r="V33" s="135"/>
      <c r="W33" s="24">
        <v>1.0</v>
      </c>
      <c r="X33" s="16"/>
      <c r="Y33" s="21"/>
      <c r="Z33" s="16"/>
      <c r="AA33" s="16"/>
      <c r="AB33" s="135"/>
      <c r="AC33" s="24" t="s">
        <v>40</v>
      </c>
      <c r="AD33" s="135"/>
      <c r="AE33" s="135"/>
      <c r="AF33" s="24"/>
      <c r="AG33" s="135"/>
      <c r="AH33" s="135"/>
      <c r="AI33" s="135"/>
      <c r="AJ33" s="135"/>
      <c r="AK33" s="135"/>
      <c r="AL33" s="135"/>
      <c r="AM33" s="135"/>
      <c r="AN33" s="135"/>
      <c r="AO33" s="24">
        <v>1.0</v>
      </c>
      <c r="AP33" s="135"/>
      <c r="AQ33" s="135"/>
      <c r="AR33" s="135"/>
      <c r="AS33" s="135"/>
    </row>
    <row r="34">
      <c r="A34" s="69" t="s">
        <v>523</v>
      </c>
      <c r="B34" s="28" t="str">
        <f t="shared" si="7"/>
        <v>#REF!</v>
      </c>
      <c r="C34" s="10">
        <f t="shared" si="6"/>
        <v>1</v>
      </c>
      <c r="D34" s="11">
        <f t="array" ref="D34">SUM(IF(F34:AS34="R",1,0))</f>
        <v>1</v>
      </c>
      <c r="E34" s="11">
        <f t="array" ref="E34">SUM(IF(F34:AS34="R2",1,0))</f>
        <v>2</v>
      </c>
      <c r="F34" s="135"/>
      <c r="G34" s="135"/>
      <c r="H34" s="135"/>
      <c r="I34" s="135"/>
      <c r="J34" s="121"/>
      <c r="K34" s="24" t="s">
        <v>39</v>
      </c>
      <c r="L34" s="16"/>
      <c r="M34" s="21"/>
      <c r="N34" s="135"/>
      <c r="O34" s="135"/>
      <c r="P34" s="135"/>
      <c r="Q34" s="135"/>
      <c r="R34" s="135"/>
      <c r="S34" s="121"/>
      <c r="T34" s="121"/>
      <c r="U34" s="24" t="s">
        <v>40</v>
      </c>
      <c r="V34" s="121"/>
      <c r="W34" s="135"/>
      <c r="X34" s="135"/>
      <c r="Y34" s="135"/>
      <c r="Z34" s="135"/>
      <c r="AA34" s="135"/>
      <c r="AB34" s="121"/>
      <c r="AC34" s="121"/>
      <c r="AD34" s="24" t="s">
        <v>40</v>
      </c>
      <c r="AE34" s="121"/>
      <c r="AF34" s="135"/>
      <c r="AG34" s="135"/>
      <c r="AH34" s="136">
        <v>1.0</v>
      </c>
      <c r="AI34" s="135"/>
      <c r="AJ34" s="135"/>
      <c r="AK34" s="121"/>
      <c r="AL34" s="24"/>
      <c r="AM34" s="121"/>
      <c r="AN34" s="121"/>
      <c r="AO34" s="135"/>
      <c r="AP34" s="135"/>
      <c r="AQ34" s="135"/>
      <c r="AR34" s="135"/>
      <c r="AS34" s="135"/>
    </row>
    <row r="35">
      <c r="A35" s="44" t="s">
        <v>524</v>
      </c>
      <c r="C35" s="10">
        <f t="shared" si="6"/>
        <v>2</v>
      </c>
      <c r="D35" s="11">
        <f t="array" ref="D35">SUM(IF(F35:AS35="R",1,0))</f>
        <v>2</v>
      </c>
      <c r="E35" s="11">
        <f t="array" ref="E35">SUM(IF(F35:AS35="R2",1,0))</f>
        <v>1</v>
      </c>
      <c r="F35" s="135"/>
      <c r="G35" s="135"/>
      <c r="H35" s="135"/>
      <c r="I35" s="24" t="s">
        <v>39</v>
      </c>
      <c r="J35" s="121"/>
      <c r="K35" s="121"/>
      <c r="L35" s="121"/>
      <c r="M35" s="24">
        <v>1.0</v>
      </c>
      <c r="N35" s="135"/>
      <c r="O35" s="135"/>
      <c r="P35" s="135"/>
      <c r="Q35" s="135"/>
      <c r="R35" s="24"/>
      <c r="S35" s="121"/>
      <c r="T35" s="121"/>
      <c r="U35" s="121"/>
      <c r="V35" s="121"/>
      <c r="W35" s="135"/>
      <c r="X35" s="135"/>
      <c r="Y35" s="135"/>
      <c r="Z35" s="135"/>
      <c r="AA35" s="24">
        <v>1.0</v>
      </c>
      <c r="AB35" s="121"/>
      <c r="AC35" s="24"/>
      <c r="AD35" s="121"/>
      <c r="AE35" s="121"/>
      <c r="AF35" s="135"/>
      <c r="AG35" s="135"/>
      <c r="AH35" s="135"/>
      <c r="AI35" s="135"/>
      <c r="AJ35" s="121"/>
      <c r="AK35" s="121"/>
      <c r="AL35" s="24" t="s">
        <v>40</v>
      </c>
      <c r="AM35" s="121"/>
      <c r="AN35" s="121"/>
      <c r="AO35" s="135"/>
      <c r="AP35" s="135"/>
      <c r="AQ35" s="135"/>
      <c r="AR35" s="135"/>
      <c r="AS35" s="24" t="s">
        <v>39</v>
      </c>
      <c r="AT35" s="121"/>
      <c r="AU35" s="121"/>
      <c r="AV35" s="121"/>
      <c r="AW35" s="121"/>
    </row>
    <row r="36">
      <c r="A36" s="44" t="s">
        <v>479</v>
      </c>
      <c r="C36" s="10">
        <f t="shared" si="6"/>
        <v>2</v>
      </c>
      <c r="D36" s="11">
        <f t="array" ref="D36">SUM(IF(F36:AS36="R",1,0))</f>
        <v>1</v>
      </c>
      <c r="E36" s="11">
        <f t="array" ref="E36">SUM(IF(F36:AS36="R2",1,0))</f>
        <v>1</v>
      </c>
      <c r="F36" s="135"/>
      <c r="G36" s="135"/>
      <c r="H36" s="135"/>
      <c r="I36" s="136">
        <v>1.0</v>
      </c>
      <c r="J36" s="135"/>
      <c r="K36" s="135"/>
      <c r="L36" s="135"/>
      <c r="M36" s="135"/>
      <c r="N36" s="136"/>
      <c r="O36" s="135"/>
      <c r="P36" s="135"/>
      <c r="Q36" s="135"/>
      <c r="R36" s="135"/>
      <c r="S36" s="135"/>
      <c r="T36" s="135"/>
      <c r="U36" s="135"/>
      <c r="V36" s="135"/>
      <c r="W36" s="136" t="s">
        <v>40</v>
      </c>
      <c r="X36" s="135"/>
      <c r="Y36" s="135"/>
      <c r="Z36" s="135"/>
      <c r="AA36" s="136"/>
      <c r="AB36" s="135"/>
      <c r="AC36" s="135"/>
      <c r="AD36" s="135"/>
      <c r="AE36" s="16"/>
      <c r="AF36" s="135"/>
      <c r="AG36" s="135"/>
      <c r="AH36" s="135"/>
      <c r="AI36" s="135"/>
      <c r="AJ36" s="136">
        <v>1.0</v>
      </c>
      <c r="AK36" s="135"/>
      <c r="AL36" s="135"/>
      <c r="AM36" s="135"/>
      <c r="AN36" s="135"/>
      <c r="AO36" s="135"/>
      <c r="AP36" s="135"/>
      <c r="AQ36" s="136" t="s">
        <v>39</v>
      </c>
      <c r="AR36" s="135"/>
      <c r="AS36" s="135"/>
    </row>
    <row r="37">
      <c r="A37" s="26" t="s">
        <v>480</v>
      </c>
      <c r="B37" s="10">
        <f>SUM(C37:D37)</f>
        <v>3</v>
      </c>
      <c r="C37" s="10">
        <f t="shared" si="6"/>
        <v>1</v>
      </c>
      <c r="D37" s="11">
        <f t="array" ref="D37">SUM(IF(F37:AS37="R",1,0))</f>
        <v>2</v>
      </c>
      <c r="E37" s="11">
        <f t="array" ref="E37">SUM(IF(F37:AS37="R2",1,0))</f>
        <v>0</v>
      </c>
      <c r="F37" s="136"/>
      <c r="G37" s="135"/>
      <c r="H37" s="136" t="s">
        <v>39</v>
      </c>
      <c r="I37" s="135"/>
      <c r="J37" s="135"/>
      <c r="K37" s="135"/>
      <c r="L37" s="135"/>
      <c r="M37" s="135"/>
      <c r="N37" s="135"/>
      <c r="O37" s="16"/>
      <c r="P37" s="16"/>
      <c r="Q37" s="16"/>
      <c r="R37" s="16"/>
      <c r="S37" s="16"/>
      <c r="T37" s="16"/>
      <c r="U37" s="21"/>
      <c r="V37" s="16"/>
      <c r="W37" s="16"/>
      <c r="X37" s="16"/>
      <c r="Y37" s="16"/>
      <c r="Z37" s="16"/>
      <c r="AA37" s="16"/>
      <c r="AB37" s="135"/>
      <c r="AC37" s="135"/>
      <c r="AD37" s="135"/>
      <c r="AE37" s="135"/>
      <c r="AF37" s="135"/>
      <c r="AG37" s="136">
        <v>1.0</v>
      </c>
      <c r="AH37" s="135"/>
      <c r="AI37" s="135"/>
      <c r="AJ37" s="135"/>
      <c r="AK37" s="135"/>
      <c r="AL37" s="135"/>
      <c r="AM37" s="135"/>
      <c r="AN37" s="135"/>
      <c r="AO37" s="135"/>
      <c r="AP37" s="136" t="s">
        <v>39</v>
      </c>
      <c r="AQ37" s="135"/>
      <c r="AR37" s="135"/>
      <c r="AS37" s="135"/>
    </row>
    <row r="38">
      <c r="A38" s="23" t="s">
        <v>481</v>
      </c>
      <c r="C38" s="10">
        <f t="shared" si="6"/>
        <v>1</v>
      </c>
      <c r="D38" s="11">
        <f t="array" ref="D38">SUM(IF(F38:AS38="R",1,0))</f>
        <v>1</v>
      </c>
      <c r="E38" s="11">
        <f t="array" ref="E38">SUM(IF(F38:AS38="R2",1,0))</f>
        <v>1</v>
      </c>
      <c r="F38" s="135"/>
      <c r="G38" s="135"/>
      <c r="H38" s="135"/>
      <c r="I38" s="135"/>
      <c r="J38" s="24">
        <v>1.0</v>
      </c>
      <c r="K38" s="121"/>
      <c r="L38" s="16"/>
      <c r="M38" s="21"/>
      <c r="N38" s="135"/>
      <c r="O38" s="135"/>
      <c r="P38" s="135"/>
      <c r="Q38" s="135"/>
      <c r="R38" s="135"/>
      <c r="S38" s="24" t="s">
        <v>39</v>
      </c>
      <c r="T38" s="121"/>
      <c r="U38" s="121"/>
      <c r="V38" s="121"/>
      <c r="W38" s="135"/>
      <c r="X38" s="135"/>
      <c r="Y38" s="135"/>
      <c r="Z38" s="135"/>
      <c r="AA38" s="135"/>
      <c r="AB38" s="121"/>
      <c r="AC38" s="121"/>
      <c r="AD38" s="121"/>
      <c r="AE38" s="121"/>
      <c r="AF38" s="135"/>
      <c r="AG38" s="135"/>
      <c r="AH38" s="135"/>
      <c r="AI38" s="135"/>
      <c r="AJ38" s="135"/>
      <c r="AK38" s="24" t="s">
        <v>40</v>
      </c>
      <c r="AL38" s="121"/>
      <c r="AM38" s="121"/>
      <c r="AN38" s="121"/>
      <c r="AO38" s="135"/>
      <c r="AP38" s="135"/>
      <c r="AQ38" s="135"/>
      <c r="AR38" s="135"/>
      <c r="AS38" s="135"/>
    </row>
    <row r="39">
      <c r="A39" s="17" t="s">
        <v>68</v>
      </c>
      <c r="C39" s="10">
        <f t="shared" ref="C39:C41" si="10">SUM(F39:AU39)</f>
        <v>41</v>
      </c>
      <c r="D39" s="11"/>
      <c r="E39" s="11"/>
      <c r="F39" s="28">
        <f t="shared" ref="F39:AT39" si="8">SUM(F3:F38)</f>
        <v>1</v>
      </c>
      <c r="G39" s="28">
        <f t="shared" si="8"/>
        <v>1</v>
      </c>
      <c r="H39" s="28">
        <f t="shared" si="8"/>
        <v>1</v>
      </c>
      <c r="I39" s="28">
        <f t="shared" si="8"/>
        <v>1</v>
      </c>
      <c r="J39" s="28">
        <f t="shared" si="8"/>
        <v>1</v>
      </c>
      <c r="K39" s="28">
        <f t="shared" si="8"/>
        <v>1</v>
      </c>
      <c r="L39" s="28">
        <f t="shared" si="8"/>
        <v>1</v>
      </c>
      <c r="M39" s="28">
        <f t="shared" si="8"/>
        <v>1</v>
      </c>
      <c r="N39" s="28">
        <f t="shared" si="8"/>
        <v>1</v>
      </c>
      <c r="O39" s="28">
        <f t="shared" si="8"/>
        <v>1</v>
      </c>
      <c r="P39" s="28">
        <f t="shared" si="8"/>
        <v>1</v>
      </c>
      <c r="Q39" s="28">
        <f t="shared" si="8"/>
        <v>1</v>
      </c>
      <c r="R39" s="28">
        <f t="shared" si="8"/>
        <v>1</v>
      </c>
      <c r="S39" s="28">
        <f t="shared" si="8"/>
        <v>1</v>
      </c>
      <c r="T39" s="28">
        <f t="shared" si="8"/>
        <v>1</v>
      </c>
      <c r="U39" s="28">
        <f t="shared" si="8"/>
        <v>1</v>
      </c>
      <c r="V39" s="28">
        <f t="shared" si="8"/>
        <v>1</v>
      </c>
      <c r="W39" s="28">
        <f t="shared" si="8"/>
        <v>1</v>
      </c>
      <c r="X39" s="28">
        <f t="shared" si="8"/>
        <v>1</v>
      </c>
      <c r="Y39" s="28">
        <f t="shared" si="8"/>
        <v>1</v>
      </c>
      <c r="Z39" s="28">
        <f t="shared" si="8"/>
        <v>1</v>
      </c>
      <c r="AA39" s="28">
        <f t="shared" si="8"/>
        <v>1</v>
      </c>
      <c r="AB39" s="28">
        <f t="shared" si="8"/>
        <v>1</v>
      </c>
      <c r="AC39" s="28">
        <f t="shared" si="8"/>
        <v>1</v>
      </c>
      <c r="AD39" s="28">
        <f t="shared" si="8"/>
        <v>1</v>
      </c>
      <c r="AE39" s="28">
        <f t="shared" si="8"/>
        <v>1</v>
      </c>
      <c r="AF39" s="28">
        <f t="shared" si="8"/>
        <v>1</v>
      </c>
      <c r="AG39" s="28">
        <f t="shared" si="8"/>
        <v>1</v>
      </c>
      <c r="AH39" s="28">
        <f t="shared" si="8"/>
        <v>1</v>
      </c>
      <c r="AI39" s="28">
        <f t="shared" si="8"/>
        <v>1</v>
      </c>
      <c r="AJ39" s="28">
        <f t="shared" si="8"/>
        <v>1</v>
      </c>
      <c r="AK39" s="28">
        <f t="shared" si="8"/>
        <v>1</v>
      </c>
      <c r="AL39" s="28">
        <f t="shared" si="8"/>
        <v>1</v>
      </c>
      <c r="AM39" s="28">
        <f t="shared" si="8"/>
        <v>1</v>
      </c>
      <c r="AN39" s="28">
        <f t="shared" si="8"/>
        <v>1</v>
      </c>
      <c r="AO39" s="28">
        <f t="shared" si="8"/>
        <v>1</v>
      </c>
      <c r="AP39" s="28">
        <f t="shared" si="8"/>
        <v>1</v>
      </c>
      <c r="AQ39" s="28">
        <f t="shared" si="8"/>
        <v>1</v>
      </c>
      <c r="AR39" s="28">
        <f t="shared" si="8"/>
        <v>1</v>
      </c>
      <c r="AS39" s="28">
        <f t="shared" si="8"/>
        <v>1</v>
      </c>
      <c r="AT39" s="28">
        <f t="shared" si="8"/>
        <v>0</v>
      </c>
      <c r="AU39" s="28">
        <f t="shared" ref="AU39:AY39" si="9">SUM(H4:H37)</f>
        <v>1</v>
      </c>
      <c r="AV39" s="28">
        <f t="shared" si="9"/>
        <v>1</v>
      </c>
      <c r="AW39" s="28">
        <f t="shared" si="9"/>
        <v>0</v>
      </c>
      <c r="AX39" s="28">
        <f t="shared" si="9"/>
        <v>1</v>
      </c>
      <c r="AY39" s="28">
        <f t="shared" si="9"/>
        <v>1</v>
      </c>
    </row>
    <row r="40">
      <c r="A40" s="17" t="s">
        <v>69</v>
      </c>
      <c r="C40" s="10">
        <f t="shared" si="10"/>
        <v>41</v>
      </c>
      <c r="D40" s="11"/>
      <c r="E40" s="11"/>
      <c r="F40" s="11">
        <f t="array" ref="F40">SUM(IF(F3:F38="R",1,0))</f>
        <v>1</v>
      </c>
      <c r="G40" s="11">
        <f t="array" ref="G40">SUM(IF(G3:G38="R",1,0))</f>
        <v>1</v>
      </c>
      <c r="H40" s="11">
        <f t="array" ref="H40">SUM(IF(H3:H38="R",1,0))</f>
        <v>1</v>
      </c>
      <c r="I40" s="11">
        <f t="array" ref="I40">SUM(IF(I3:I38="R",1,0))</f>
        <v>1</v>
      </c>
      <c r="J40" s="11">
        <f t="array" ref="J40">SUM(IF(J3:J38="R",1,0))</f>
        <v>1</v>
      </c>
      <c r="K40" s="11">
        <f t="array" ref="K40">SUM(IF(K3:K38="R",1,0))</f>
        <v>1</v>
      </c>
      <c r="L40" s="11">
        <f t="array" ref="L40">SUM(IF(L3:L38="R",1,0))</f>
        <v>1</v>
      </c>
      <c r="M40" s="11">
        <f t="array" ref="M40">SUM(IF(M3:M38="R",1,0))</f>
        <v>1</v>
      </c>
      <c r="N40" s="11">
        <f t="array" ref="N40">SUM(IF(N3:N38="R",1,0))</f>
        <v>1</v>
      </c>
      <c r="O40" s="11">
        <f t="array" ref="O40">SUM(IF(O3:O38="R",1,0))</f>
        <v>1</v>
      </c>
      <c r="P40" s="11">
        <f t="array" ref="P40">SUM(IF(P3:P38="R",1,0))</f>
        <v>1</v>
      </c>
      <c r="Q40" s="11">
        <f t="array" ref="Q40">SUM(IF(Q3:Q38="R",1,0))</f>
        <v>1</v>
      </c>
      <c r="R40" s="11">
        <f t="array" ref="R40">SUM(IF(R3:R38="R",1,0))</f>
        <v>1</v>
      </c>
      <c r="S40" s="11">
        <f t="array" ref="S40">SUM(IF(S3:S38="R",1,0))</f>
        <v>1</v>
      </c>
      <c r="T40" s="11">
        <f t="array" ref="T40">SUM(IF(T3:T38="R",1,0))</f>
        <v>1</v>
      </c>
      <c r="U40" s="11">
        <f t="array" ref="U40">SUM(IF(U3:U38="R",1,0))</f>
        <v>1</v>
      </c>
      <c r="V40" s="11">
        <f t="array" ref="V40">SUM(IF(V3:V38="R",1,0))</f>
        <v>1</v>
      </c>
      <c r="W40" s="11">
        <f t="array" ref="W40">SUM(IF(W3:W38="R",1,0))</f>
        <v>1</v>
      </c>
      <c r="X40" s="11">
        <f t="array" ref="X40">SUM(IF(X3:X38="R",1,0))</f>
        <v>1</v>
      </c>
      <c r="Y40" s="11">
        <f t="array" ref="Y40">SUM(IF(Y3:Y38="R",1,0))</f>
        <v>1</v>
      </c>
      <c r="Z40" s="11">
        <f t="array" ref="Z40">SUM(IF(Z3:Z38="R",1,0))</f>
        <v>1</v>
      </c>
      <c r="AA40" s="11">
        <f t="array" ref="AA40">SUM(IF(AA3:AA38="R",1,0))</f>
        <v>1</v>
      </c>
      <c r="AB40" s="11">
        <f t="array" ref="AB40">SUM(IF(AB3:AB38="R",1,0))</f>
        <v>1</v>
      </c>
      <c r="AC40" s="11">
        <f t="array" ref="AC40">SUM(IF(AC3:AC38="R",1,0))</f>
        <v>1</v>
      </c>
      <c r="AD40" s="11">
        <f t="array" ref="AD40">SUM(IF(AD3:AD38="R",1,0))</f>
        <v>1</v>
      </c>
      <c r="AE40" s="11">
        <f t="array" ref="AE40">SUM(IF(AE3:AE38="R",1,0))</f>
        <v>1</v>
      </c>
      <c r="AF40" s="11">
        <f t="array" ref="AF40">SUM(IF(AF3:AF38="R",1,0))</f>
        <v>1</v>
      </c>
      <c r="AG40" s="11">
        <f t="array" ref="AG40">SUM(IF(AG3:AG38="R",1,0))</f>
        <v>1</v>
      </c>
      <c r="AH40" s="11">
        <f t="array" ref="AH40">SUM(IF(AH3:AH38="R",1,0))</f>
        <v>1</v>
      </c>
      <c r="AI40" s="11">
        <f t="array" ref="AI40">SUM(IF(AI3:AI38="R",1,0))</f>
        <v>1</v>
      </c>
      <c r="AJ40" s="11">
        <f t="array" ref="AJ40">SUM(IF(AJ3:AJ38="R",1,0))</f>
        <v>1</v>
      </c>
      <c r="AK40" s="11">
        <f t="array" ref="AK40">SUM(IF(AK3:AK38="R",1,0))</f>
        <v>1</v>
      </c>
      <c r="AL40" s="11">
        <f t="array" ref="AL40">SUM(IF(AL3:AL38="R",1,0))</f>
        <v>1</v>
      </c>
      <c r="AM40" s="11">
        <f t="array" ref="AM40">SUM(IF(AM3:AM38="R",1,0))</f>
        <v>1</v>
      </c>
      <c r="AN40" s="11">
        <f t="array" ref="AN40">SUM(IF(AN3:AN38="R",1,0))</f>
        <v>1</v>
      </c>
      <c r="AO40" s="11">
        <f t="array" ref="AO40">SUM(IF(AO3:AO38="R",1,0))</f>
        <v>1</v>
      </c>
      <c r="AP40" s="11">
        <f t="array" ref="AP40">SUM(IF(AP3:AP38="R",1,0))</f>
        <v>1</v>
      </c>
      <c r="AQ40" s="11">
        <f t="array" ref="AQ40">SUM(IF(AQ3:AQ38="R",1,0))</f>
        <v>1</v>
      </c>
      <c r="AR40" s="11">
        <f t="array" ref="AR40">SUM(IF(AR3:AR38="R",1,0))</f>
        <v>1</v>
      </c>
      <c r="AS40" s="11">
        <f t="array" ref="AS40">SUM(IF(AS3:AS38="R",1,0))</f>
        <v>1</v>
      </c>
      <c r="AT40" s="11">
        <f t="array" ref="AT40">SUM(IF(AT3:AT38="R",1,0))</f>
        <v>0</v>
      </c>
      <c r="AU40" s="11">
        <f t="array" ref="AU40">SUM(IF(H4:H37="R",1,0))</f>
        <v>1</v>
      </c>
      <c r="AV40" s="11">
        <f t="array" ref="AV40">SUM(IF(I4:I37="R",1,0))</f>
        <v>1</v>
      </c>
      <c r="AW40" s="11">
        <f t="array" ref="AW40">SUM(IF(J4:J37="R",1,0))</f>
        <v>0</v>
      </c>
      <c r="AX40" s="11">
        <f t="array" ref="AX40">SUM(IF(K4:K37="R",1,0))</f>
        <v>1</v>
      </c>
      <c r="AY40" s="11">
        <f t="array" ref="AY40">SUM(IF(L4:L37="R",1,0))</f>
        <v>1</v>
      </c>
    </row>
    <row r="41">
      <c r="A41" s="17" t="s">
        <v>70</v>
      </c>
      <c r="C41" s="10">
        <f t="shared" si="10"/>
        <v>41</v>
      </c>
      <c r="D41" s="11"/>
      <c r="E41" s="11"/>
      <c r="F41" s="11">
        <f t="array" ref="F41">SUM(IF(F3:F38="R2",1,0))</f>
        <v>1</v>
      </c>
      <c r="G41" s="11">
        <f t="array" ref="G41">SUM(IF(G3:G38="R2",1,0))</f>
        <v>1</v>
      </c>
      <c r="H41" s="11">
        <f t="array" ref="H41">SUM(IF(H3:H38="R2",1,0))</f>
        <v>1</v>
      </c>
      <c r="I41" s="11">
        <f t="array" ref="I41">SUM(IF(I3:I38="R2",1,0))</f>
        <v>1</v>
      </c>
      <c r="J41" s="11">
        <f t="array" ref="J41">SUM(IF(J3:J38="R2",1,0))</f>
        <v>1</v>
      </c>
      <c r="K41" s="11">
        <f t="array" ref="K41">SUM(IF(K3:K38="R2",1,0))</f>
        <v>1</v>
      </c>
      <c r="L41" s="11">
        <f t="array" ref="L41">SUM(IF(L3:L38="R2",1,0))</f>
        <v>1</v>
      </c>
      <c r="M41" s="11">
        <f t="array" ref="M41">SUM(IF(M3:M38="R2",1,0))</f>
        <v>1</v>
      </c>
      <c r="N41" s="11">
        <f t="array" ref="N41">SUM(IF(N3:N38="R2",1,0))</f>
        <v>1</v>
      </c>
      <c r="O41" s="11">
        <f t="array" ref="O41">SUM(IF(O3:O38="R2",1,0))</f>
        <v>1</v>
      </c>
      <c r="P41" s="11">
        <f t="array" ref="P41">SUM(IF(P3:P38="R2",1,0))</f>
        <v>1</v>
      </c>
      <c r="Q41" s="11">
        <f t="array" ref="Q41">SUM(IF(Q3:Q38="R2",1,0))</f>
        <v>1</v>
      </c>
      <c r="R41" s="11">
        <f t="array" ref="R41">SUM(IF(R3:R38="R2",1,0))</f>
        <v>1</v>
      </c>
      <c r="S41" s="11">
        <f t="array" ref="S41">SUM(IF(S3:S38="R2",1,0))</f>
        <v>1</v>
      </c>
      <c r="T41" s="11">
        <f t="array" ref="T41">SUM(IF(T3:T38="R2",1,0))</f>
        <v>1</v>
      </c>
      <c r="U41" s="11">
        <f t="array" ref="U41">SUM(IF(U3:U38="R2",1,0))</f>
        <v>1</v>
      </c>
      <c r="V41" s="11">
        <f t="array" ref="V41">SUM(IF(V3:V38="R2",1,0))</f>
        <v>1</v>
      </c>
      <c r="W41" s="11">
        <f t="array" ref="W41">SUM(IF(W3:W38="R2",1,0))</f>
        <v>1</v>
      </c>
      <c r="X41" s="11">
        <f t="array" ref="X41">SUM(IF(X3:X38="R2",1,0))</f>
        <v>1</v>
      </c>
      <c r="Y41" s="11">
        <f t="array" ref="Y41">SUM(IF(Y3:Y38="R2",1,0))</f>
        <v>1</v>
      </c>
      <c r="Z41" s="11">
        <f t="array" ref="Z41">SUM(IF(Z3:Z38="R2",1,0))</f>
        <v>1</v>
      </c>
      <c r="AA41" s="11">
        <f t="array" ref="AA41">SUM(IF(AA3:AA38="R2",1,0))</f>
        <v>1</v>
      </c>
      <c r="AB41" s="11">
        <f t="array" ref="AB41">SUM(IF(AB3:AB38="R2",1,0))</f>
        <v>1</v>
      </c>
      <c r="AC41" s="11">
        <f t="array" ref="AC41">SUM(IF(AC3:AC38="R2",1,0))</f>
        <v>1</v>
      </c>
      <c r="AD41" s="11">
        <f t="array" ref="AD41">SUM(IF(AD3:AD38="R2",1,0))</f>
        <v>1</v>
      </c>
      <c r="AE41" s="11">
        <f t="array" ref="AE41">SUM(IF(AE3:AE38="R2",1,0))</f>
        <v>1</v>
      </c>
      <c r="AF41" s="11">
        <f t="array" ref="AF41">SUM(IF(AF3:AF38="R2",1,0))</f>
        <v>1</v>
      </c>
      <c r="AG41" s="11">
        <f t="array" ref="AG41">SUM(IF(AG3:AG38="R2",1,0))</f>
        <v>1</v>
      </c>
      <c r="AH41" s="11">
        <f t="array" ref="AH41">SUM(IF(AH3:AH38="R2",1,0))</f>
        <v>1</v>
      </c>
      <c r="AI41" s="11">
        <f t="array" ref="AI41">SUM(IF(AI3:AI38="R2",1,0))</f>
        <v>1</v>
      </c>
      <c r="AJ41" s="11">
        <f t="array" ref="AJ41">SUM(IF(AJ3:AJ38="R2",1,0))</f>
        <v>1</v>
      </c>
      <c r="AK41" s="11">
        <f t="array" ref="AK41">SUM(IF(AK3:AK38="R2",1,0))</f>
        <v>1</v>
      </c>
      <c r="AL41" s="11">
        <f t="array" ref="AL41">SUM(IF(AL3:AL38="R2",1,0))</f>
        <v>1</v>
      </c>
      <c r="AM41" s="11">
        <f t="array" ref="AM41">SUM(IF(AM3:AM38="R2",1,0))</f>
        <v>1</v>
      </c>
      <c r="AN41" s="11">
        <f t="array" ref="AN41">SUM(IF(AN3:AN38="R2",1,0))</f>
        <v>1</v>
      </c>
      <c r="AO41" s="11">
        <f t="array" ref="AO41">SUM(IF(AO3:AO38="R2",1,0))</f>
        <v>1</v>
      </c>
      <c r="AP41" s="11">
        <f t="array" ref="AP41">SUM(IF(AP3:AP38="R2",1,0))</f>
        <v>1</v>
      </c>
      <c r="AQ41" s="11">
        <f t="array" ref="AQ41">SUM(IF(AQ3:AQ38="R2",1,0))</f>
        <v>1</v>
      </c>
      <c r="AR41" s="11">
        <f t="array" ref="AR41">SUM(IF(AR3:AR38="R2",1,0))</f>
        <v>1</v>
      </c>
      <c r="AS41" s="11">
        <f t="array" ref="AS41">SUM(IF(AS3:AS38="R2",1,0))</f>
        <v>1</v>
      </c>
      <c r="AT41" s="11">
        <f t="array" ref="AT41">SUM(IF(AT3:AT38="R2",1,0))</f>
        <v>0</v>
      </c>
      <c r="AU41" s="11">
        <f t="array" ref="AU41">SUM(IF(H4:H37="R2",1,0))</f>
        <v>1</v>
      </c>
      <c r="AV41" s="11">
        <f t="array" ref="AV41">SUM(IF(I4:I37="R2",1,0))</f>
        <v>1</v>
      </c>
      <c r="AW41" s="11">
        <f t="array" ref="AW41">SUM(IF(J4:J37="R2",1,0))</f>
        <v>1</v>
      </c>
      <c r="AX41" s="11">
        <f t="array" ref="AX41">SUM(IF(K4:K37="R2",1,0))</f>
        <v>1</v>
      </c>
      <c r="AY41" s="11">
        <f t="array" ref="AY41">SUM(IF(L4:L37="R2",1,0))</f>
        <v>1</v>
      </c>
    </row>
    <row r="42">
      <c r="E42" s="46" t="s">
        <v>71</v>
      </c>
      <c r="F42" s="29" t="str">
        <f t="shared" ref="F42:V42" si="11">IFERROR(INDEX($A$3:$A$38, MATCH(1, INDEX($F$3:$AR$38, 0, MATCH(F2, $F$2:$AX$2, 0)), 0)), INDEX($A$3:$A$38, MATCH(1, INDEX($F$3:$AR$38, 0, MATCH(F2&amp;" AM", $F$2:$AX$2, 0)), 0)))</f>
        <v>PTE BRYAN MARC MEHAR</v>
      </c>
      <c r="G42" s="29" t="str">
        <f t="shared" si="11"/>
        <v>PTE JULLION THNG AIK HONG </v>
      </c>
      <c r="H42" s="29" t="str">
        <f t="shared" si="11"/>
        <v>LCP NICO CHUA WEE FONG </v>
      </c>
      <c r="I42" s="29" t="str">
        <f t="shared" si="11"/>
        <v>PTE SUSHILTHERAN NAIR S/O SIRITHERAN </v>
      </c>
      <c r="J42" s="29" t="str">
        <f t="shared" si="11"/>
        <v>PTE WANG XINHANG</v>
      </c>
      <c r="K42" s="29" t="str">
        <f t="shared" si="11"/>
        <v>PTE CHEONG KAI JIE</v>
      </c>
      <c r="L42" s="29" t="str">
        <f t="shared" si="11"/>
        <v>PTE SIDDARTH SREEKUMAR CHERUBAL </v>
      </c>
      <c r="M42" s="29" t="str">
        <f t="shared" si="11"/>
        <v>PTE CHONG SIANG NATHAN</v>
      </c>
      <c r="N42" s="29" t="str">
        <f t="shared" si="11"/>
        <v>PTE BARATHAN  S/O JEGANATHAN</v>
      </c>
      <c r="O42" s="29" t="str">
        <f t="shared" si="11"/>
        <v>LCP AL EZRA BIN MOHAMED AL JOHAN </v>
      </c>
      <c r="P42" s="29" t="str">
        <f t="shared" si="11"/>
        <v>LCP ISAAC LOH KA LOK</v>
      </c>
      <c r="Q42" s="29" t="str">
        <f t="shared" si="11"/>
        <v>PTE HUANG JIANHAO</v>
      </c>
      <c r="R42" s="29" t="str">
        <f t="shared" si="11"/>
        <v>CPL SURIAPRAKASH THRIUVALAKU</v>
      </c>
      <c r="S42" s="29" t="str">
        <f t="shared" si="11"/>
        <v>PTE TAN WEI JIE</v>
      </c>
      <c r="T42" s="29" t="str">
        <f t="shared" si="11"/>
        <v>PTE RYAN TAY RUI YANG</v>
      </c>
      <c r="U42" s="29" t="str">
        <f t="shared" si="11"/>
        <v>PTE MUHAMMAD NORSYAFIQ BIN SELAMAT</v>
      </c>
      <c r="V42" s="29" t="str">
        <f t="shared" si="11"/>
        <v>PTE CLARENCE ONG JUN YI </v>
      </c>
      <c r="W42" s="29" t="str">
        <f t="shared" ref="W42:AC42" si="12">IFERROR(INDEX($A$3:$A$38, MATCH(1, INDEX($F$3:$AR$38, 0, MATCH(W2, $F$2:$AX$2, 0)), 0)), INDEX($A$3:$A$38, MATCH(1, INDEX($F$3:$AR$38, 0, MATCH(X2&amp;" AM", $F$2:$AX$2, 0)), 0)))</f>
        <v>PTE ASHRAVEN S/O SIVARAMAN</v>
      </c>
      <c r="X42" s="29" t="str">
        <f t="shared" si="12"/>
        <v>PTE BRYAN MARC MEHAR</v>
      </c>
      <c r="Y42" s="29" t="str">
        <f t="shared" si="12"/>
        <v>LCP JERRYL TAN MING JIE </v>
      </c>
      <c r="Z42" s="29" t="str">
        <f t="shared" si="12"/>
        <v>PTE PARAM MEHROTRA </v>
      </c>
      <c r="AA42" s="29" t="str">
        <f t="shared" si="12"/>
        <v>PTE CHONG SIANG NATHAN</v>
      </c>
      <c r="AB42" s="29" t="str">
        <f t="shared" si="12"/>
        <v>PTE DARYL SEOW  SHI YU</v>
      </c>
      <c r="AC42" s="29" t="str">
        <f t="shared" si="12"/>
        <v>LCP DYLAN TAN</v>
      </c>
      <c r="AD42" s="29" t="str">
        <f t="shared" ref="AD42:AR42" si="13">IFERROR(INDEX($A$3:$A$38, MATCH(1, INDEX($F$3:$AR$38, 0, MATCH(AD2, $F$2:$AX$2, 0)), 0)), INDEX($A$3:$A$38, MATCH(1, INDEX($F$3:$AR$38, 0, MATCH(AD2&amp;" AM", $F$2:$AX$2, 0)), 0)))</f>
        <v>PTE SIDDARTH SREEKUMAR CHERUBAL </v>
      </c>
      <c r="AE42" s="29" t="str">
        <f t="shared" si="13"/>
        <v>LCP MITCHELL LIM </v>
      </c>
      <c r="AF42" s="29" t="str">
        <f t="shared" si="13"/>
        <v>PTE JEREMIAH FOO JI SHUAN</v>
      </c>
      <c r="AG42" s="29" t="str">
        <f t="shared" si="13"/>
        <v>PTE REUVEN YAP KIAN GUAN </v>
      </c>
      <c r="AH42" s="29" t="str">
        <f t="shared" si="13"/>
        <v>PTE CHEONG JUN KAI, HARRY</v>
      </c>
      <c r="AI42" s="29" t="str">
        <f t="shared" si="13"/>
        <v>PTE EBRAHIM HAKEEM BIN AMEEHAR </v>
      </c>
      <c r="AJ42" s="29" t="str">
        <f t="shared" si="13"/>
        <v>PTE SUSHILTHERAN NAIR S/O SIRITHERAN </v>
      </c>
      <c r="AK42" s="29" t="str">
        <f t="shared" si="13"/>
        <v>REC MUHAMMAD NUR HAKIM BIN SHAHARIZIN </v>
      </c>
      <c r="AL42" s="29" t="str">
        <f t="shared" si="13"/>
        <v>PTE ANISH VINAAYAK SIVASANKAR</v>
      </c>
      <c r="AM42" s="29" t="str">
        <f t="shared" si="13"/>
        <v>PTE OH EE BING</v>
      </c>
      <c r="AN42" s="29" t="str">
        <f t="shared" si="13"/>
        <v>PTE MUHAMMAD HILAL IZDIHAR BIN MOHAMAD IZZUL SHAH</v>
      </c>
      <c r="AO42" s="29" t="str">
        <f t="shared" si="13"/>
        <v>PTE ASHRAVEN S/O SIVARAMAN</v>
      </c>
      <c r="AP42" s="29" t="str">
        <f t="shared" si="13"/>
        <v>REC MUHAMAD RIFQY AQIL BIN MUHAMAD SHAH </v>
      </c>
      <c r="AQ42" s="29" t="str">
        <f t="shared" si="13"/>
        <v>PTE BARATHAN  S/O JEGANATHAN</v>
      </c>
      <c r="AR42" s="29" t="str">
        <f t="shared" si="13"/>
        <v>PTE BRYAN MARC MEHAR</v>
      </c>
      <c r="AS42" s="29" t="str">
        <f t="array" ref="AS42">IFERROR(INDEX($A$3:$A$38, MATCH(1, INDEX($F$3:$AS$38, 0, MATCH(AS2, $F$2:$AX$2, 0)), 0)), INDEX($A$3:$A$38, MATCH(1, INDEX($F$3:$AR$38, 0, MATCH(AS2&amp;" AM", $F$2:$AX$2, 0)), 0)))</f>
        <v>PTE FATHUL HAKIM BIN MUHAMMAD FAUZI </v>
      </c>
      <c r="AT42" s="29" t="str">
        <f t="shared" ref="AT42:AU42" si="14">IFERROR(INDEX($A$3:$A$38, MATCH(1, INDEX($F$3:$AR$38, 0, MATCH(AT2, $F$2:$AX$2, 0)), 0)), INDEX($A$3:$A$38, MATCH(1, INDEX($F$3:$AR$38, 0, MATCH(AT2&amp;" AM", $F$2:$AX$2, 0)), 0)))</f>
        <v>#N/A</v>
      </c>
      <c r="AU42" s="29" t="str">
        <f t="shared" si="14"/>
        <v>#N/A</v>
      </c>
      <c r="AV42" s="29" t="str">
        <f t="shared" ref="AV42:AY42" si="15">IFERROR(INDEX($A$3:$A$37, MATCH(1, INDEX($F$3:$AR$37, 0, MATCH(I3, $F$2:$AX$2, 0)), 0)), INDEX($A$3:$A$37, MATCH(1, INDEX($F$3:$AR$37, 0, MATCH(I3&amp;" AM", $F$2:$AX$2, 0)), 0)))</f>
        <v>#N/A</v>
      </c>
      <c r="AW42" s="29" t="str">
        <f t="shared" si="15"/>
        <v>#N/A</v>
      </c>
      <c r="AX42" s="29" t="str">
        <f t="shared" si="15"/>
        <v>#N/A</v>
      </c>
      <c r="AY42" s="29" t="str">
        <f t="shared" si="15"/>
        <v>#N/A</v>
      </c>
    </row>
    <row r="43">
      <c r="E43" s="46" t="s">
        <v>72</v>
      </c>
      <c r="F43" s="28" t="str">
        <f t="shared" ref="F43:AR43" si="16">INDEX($A$3:$A$38, MATCH("R", INDEX($F$3:$AR$38, 0, MATCH(F2, $F$2:$AX$2, 0)), 0))</f>
        <v>PTE EBRAHIM HAKEEM BIN AMEEHAR </v>
      </c>
      <c r="G43" s="28" t="str">
        <f t="shared" si="16"/>
        <v>PTE CHEONG KAI JIE</v>
      </c>
      <c r="H43" s="28" t="str">
        <f t="shared" si="16"/>
        <v>PTE REUVEN YAP KIAN GUAN </v>
      </c>
      <c r="I43" s="28" t="str">
        <f t="shared" si="16"/>
        <v>PTE CHONG SIANG NATHAN</v>
      </c>
      <c r="J43" s="28" t="str">
        <f t="shared" si="16"/>
        <v>LCP AL EZRA BIN MOHAMED AL JOHAN </v>
      </c>
      <c r="K43" s="28" t="str">
        <f t="shared" si="16"/>
        <v>PTE CHEONG JUN KAI, HARRY</v>
      </c>
      <c r="L43" s="28" t="str">
        <f t="shared" si="16"/>
        <v>PTE TAN WEI JIE</v>
      </c>
      <c r="M43" s="28" t="str">
        <f t="shared" si="16"/>
        <v>PTE JEREMIAH FOO JI SHUAN</v>
      </c>
      <c r="N43" s="28" t="str">
        <f t="shared" si="16"/>
        <v>PTE MUHAMMAD NORSYAFIQ BIN SELAMAT</v>
      </c>
      <c r="O43" s="28" t="str">
        <f t="shared" si="16"/>
        <v>PTE PARAM MEHROTRA </v>
      </c>
      <c r="P43" s="28" t="str">
        <f t="shared" si="16"/>
        <v>PTE RYAN TAY RUI YANG</v>
      </c>
      <c r="Q43" s="28" t="str">
        <f t="shared" si="16"/>
        <v>PTE BRYAN MARC MEHAR</v>
      </c>
      <c r="R43" s="28" t="str">
        <f t="shared" si="16"/>
        <v>LCP DYLAN TAN</v>
      </c>
      <c r="S43" s="28" t="str">
        <f t="shared" si="16"/>
        <v>PTE WANG XINHANG</v>
      </c>
      <c r="T43" s="28" t="str">
        <f t="shared" si="16"/>
        <v>REC MUHAMMAD NUR HAKIM BIN SHAHARIZIN </v>
      </c>
      <c r="U43" s="28" t="str">
        <f t="shared" si="16"/>
        <v>PTE SIDDARTH SREEKUMAR CHERUBAL </v>
      </c>
      <c r="V43" s="28" t="str">
        <f t="shared" si="16"/>
        <v>PTE RYAN TAY RUI YANG</v>
      </c>
      <c r="W43" s="28" t="str">
        <f t="shared" si="16"/>
        <v>PTE ANISH VINAAYAK SIVASANKAR</v>
      </c>
      <c r="X43" s="28" t="str">
        <f t="shared" si="16"/>
        <v>PTE EBRAHIM HAKEEM BIN AMEEHAR </v>
      </c>
      <c r="Y43" s="28" t="str">
        <f t="shared" si="16"/>
        <v>LCP AL EZRA BIN MOHAMED AL JOHAN </v>
      </c>
      <c r="Z43" s="28" t="str">
        <f t="shared" si="16"/>
        <v>LCP NICO CHUA WEE FONG </v>
      </c>
      <c r="AA43" s="28" t="str">
        <f t="shared" si="16"/>
        <v>PTE JULLION THNG AIK HONG </v>
      </c>
      <c r="AB43" s="28" t="str">
        <f t="shared" si="16"/>
        <v>PTE OH EE BING</v>
      </c>
      <c r="AC43" s="28" t="str">
        <f t="shared" si="16"/>
        <v>LCP JERRYL TAN MING JIE </v>
      </c>
      <c r="AD43" s="28" t="str">
        <f t="shared" si="16"/>
        <v>PTE ANISH VINAAYAK SIVASANKAR</v>
      </c>
      <c r="AE43" s="28" t="str">
        <f t="shared" si="16"/>
        <v>PTE DARYL SEOW  SHI YU</v>
      </c>
      <c r="AF43" s="28" t="str">
        <f t="shared" si="16"/>
        <v>PTE BARATHAN  S/O JEGANATHAN</v>
      </c>
      <c r="AG43" s="28" t="str">
        <f t="shared" si="16"/>
        <v>PTE BRYAN MARC MEHAR</v>
      </c>
      <c r="AH43" s="28" t="str">
        <f t="shared" si="16"/>
        <v>LCP ISAAC LOH KA LOK</v>
      </c>
      <c r="AI43" s="28" t="str">
        <f t="shared" si="16"/>
        <v>REC MUHAMAD RIFQY AQIL BIN MUHAMAD SHAH </v>
      </c>
      <c r="AJ43" s="28" t="str">
        <f t="shared" si="16"/>
        <v>CPL SURIAPRAKASH THRIUVALAKU</v>
      </c>
      <c r="AK43" s="28" t="str">
        <f t="shared" si="16"/>
        <v>PTE MUHAMMAD HILAL IZDIHAR BIN MOHAMAD IZZUL SHAH</v>
      </c>
      <c r="AL43" s="28" t="str">
        <f t="shared" si="16"/>
        <v>PTE TAN WEI JIE</v>
      </c>
      <c r="AM43" s="28" t="str">
        <f t="shared" si="16"/>
        <v>LCP MITCHELL LIM </v>
      </c>
      <c r="AN43" s="28" t="str">
        <f t="shared" si="16"/>
        <v>REC MUHAMMAD NUR HAKIM BIN SHAHARIZIN </v>
      </c>
      <c r="AO43" s="28" t="str">
        <f t="shared" si="16"/>
        <v>LCP DYLAN TAN</v>
      </c>
      <c r="AP43" s="28" t="str">
        <f t="shared" si="16"/>
        <v>PTE REUVEN YAP KIAN GUAN </v>
      </c>
      <c r="AQ43" s="28" t="str">
        <f t="shared" si="16"/>
        <v>PTE SUSHILTHERAN NAIR S/O SIRITHERAN </v>
      </c>
      <c r="AR43" s="28" t="str">
        <f t="shared" si="16"/>
        <v>PTE HUANG JIANHAO</v>
      </c>
      <c r="AS43" s="28" t="str">
        <f t="array" ref="AS43">INDEX($A$3:$A$38, MATCH("R", INDEX($F$3:$AS$38, 0, MATCH(AS2, $F$2:$AX$2, 0)), 0))</f>
        <v>PTE CHONG SIANG NATHAN</v>
      </c>
      <c r="AT43" s="28" t="str">
        <f t="shared" ref="AT43:AU43" si="17">INDEX($A$3:$A$38, MATCH("R", INDEX($F$3:$AR$38, 0, MATCH(AT2, $F$2:$AX$2, 0)), 0))</f>
        <v>#N/A</v>
      </c>
      <c r="AU43" s="28" t="str">
        <f t="shared" si="17"/>
        <v>#N/A</v>
      </c>
      <c r="AV43" s="28" t="str">
        <f t="shared" ref="AV43:AY43" si="18">INDEX($A$3:$A$37, MATCH("R", INDEX($F$3:$AR$37, 0, MATCH(I3, $F$2:$AX$2, 0)), 0))</f>
        <v>#N/A</v>
      </c>
      <c r="AW43" s="28" t="str">
        <f t="shared" si="18"/>
        <v>#N/A</v>
      </c>
      <c r="AX43" s="28" t="str">
        <f t="shared" si="18"/>
        <v>#N/A</v>
      </c>
      <c r="AY43" s="28" t="str">
        <f t="shared" si="18"/>
        <v>#N/A</v>
      </c>
    </row>
    <row r="44">
      <c r="A44" s="17" t="s">
        <v>232</v>
      </c>
      <c r="C44" s="49">
        <f>COUNTA($H$1:$AR1)</f>
        <v>37</v>
      </c>
      <c r="E44" s="46" t="s">
        <v>70</v>
      </c>
      <c r="F44" s="30" t="str">
        <f t="shared" ref="F44:AR44" si="19">INDEX($A$3:$A$38, MATCH("R2", INDEX($F$3:$AR$38, 0, MATCH(F2, $F$2:$AX$2, 0)), 0))</f>
        <v>LCP MITCHELL LIM </v>
      </c>
      <c r="G44" s="30" t="str">
        <f t="shared" si="19"/>
        <v>PTE BARATHAN  S/O JEGANATHAN</v>
      </c>
      <c r="H44" s="30" t="str">
        <f t="shared" si="19"/>
        <v>PTE BRYAN MARC MEHAR</v>
      </c>
      <c r="I44" s="30" t="str">
        <f t="shared" si="19"/>
        <v>PTE CLARENCE ONG JUN YI </v>
      </c>
      <c r="J44" s="30" t="str">
        <f t="shared" si="19"/>
        <v>PTE OH EE BING</v>
      </c>
      <c r="K44" s="30" t="str">
        <f t="shared" si="19"/>
        <v>LCP JERRYL TAN MING JIE </v>
      </c>
      <c r="L44" s="30" t="str">
        <f t="shared" si="19"/>
        <v>PTE RYAN TAY RUI YANG</v>
      </c>
      <c r="M44" s="30" t="str">
        <f t="shared" si="19"/>
        <v>PTE MUHAMMAD HILAL IZDIHAR BIN MOHAMAD IZZUL SHAH</v>
      </c>
      <c r="N44" s="30" t="str">
        <f t="shared" si="19"/>
        <v>PTE ASHRAVEN S/O SIVARAMAN</v>
      </c>
      <c r="O44" s="30" t="str">
        <f t="shared" si="19"/>
        <v>LCP NICO CHUA WEE FONG </v>
      </c>
      <c r="P44" s="30" t="str">
        <f t="shared" si="19"/>
        <v>PTE DARYL SEOW  SHI YU</v>
      </c>
      <c r="Q44" s="30" t="str">
        <f t="shared" si="19"/>
        <v>PTE EBRAHIM HAKEEM BIN AMEEHAR </v>
      </c>
      <c r="R44" s="30" t="str">
        <f t="shared" si="19"/>
        <v>LCP JERRYL TAN MING JIE </v>
      </c>
      <c r="S44" s="30" t="str">
        <f t="shared" si="19"/>
        <v>PTE MUHAMMAD NORSYAFIQ BIN SELAMAT</v>
      </c>
      <c r="T44" s="30" t="str">
        <f t="shared" si="19"/>
        <v>PTE FATHUL HAKIM BIN MUHAMMAD FAUZI </v>
      </c>
      <c r="U44" s="30" t="str">
        <f t="shared" si="19"/>
        <v>PTE CHEONG JUN KAI, HARRY</v>
      </c>
      <c r="V44" s="30" t="str">
        <f t="shared" si="19"/>
        <v>LCP DYLAN TAN</v>
      </c>
      <c r="W44" s="30" t="str">
        <f t="shared" si="19"/>
        <v>PTE SUSHILTHERAN NAIR S/O SIRITHERAN </v>
      </c>
      <c r="X44" s="30" t="str">
        <f t="shared" si="19"/>
        <v>PTE HUANG JIANHAO</v>
      </c>
      <c r="Y44" s="30" t="str">
        <f t="shared" si="19"/>
        <v>PTE TAN WEI JIE</v>
      </c>
      <c r="Z44" s="30" t="str">
        <f t="shared" si="19"/>
        <v>PTE HUANG JIANHAO</v>
      </c>
      <c r="AA44" s="30" t="str">
        <f t="shared" si="19"/>
        <v>LCP ISAAC LOH KA LOK</v>
      </c>
      <c r="AB44" s="30" t="str">
        <f t="shared" si="19"/>
        <v>PTE CHEONG KAI JIE</v>
      </c>
      <c r="AC44" s="30" t="str">
        <f t="shared" si="19"/>
        <v>PTE ASHRAVEN S/O SIVARAMAN</v>
      </c>
      <c r="AD44" s="30" t="str">
        <f t="shared" si="19"/>
        <v>PTE CHEONG JUN KAI, HARRY</v>
      </c>
      <c r="AE44" s="30" t="str">
        <f t="shared" si="19"/>
        <v>PTE RYAN TAY RUI YANG</v>
      </c>
      <c r="AF44" s="30" t="str">
        <f t="shared" si="19"/>
        <v>PTE JULLION THNG AIK HONG </v>
      </c>
      <c r="AG44" s="30" t="str">
        <f t="shared" si="19"/>
        <v>PTE PARAM MEHROTRA </v>
      </c>
      <c r="AH44" s="30" t="str">
        <f t="shared" si="19"/>
        <v>PTE CLARENCE ONG JUN YI </v>
      </c>
      <c r="AI44" s="30" t="str">
        <f t="shared" si="19"/>
        <v>PTE PARAM MEHROTRA </v>
      </c>
      <c r="AJ44" s="30" t="str">
        <f t="shared" si="19"/>
        <v>PTE DARYL SEOW  SHI YU</v>
      </c>
      <c r="AK44" s="30" t="str">
        <f t="shared" si="19"/>
        <v>PTE WANG XINHANG</v>
      </c>
      <c r="AL44" s="30" t="str">
        <f t="shared" si="19"/>
        <v>PTE CHONG SIANG NATHAN</v>
      </c>
      <c r="AM44" s="30" t="str">
        <f t="shared" si="19"/>
        <v>PTE SIDDARTH SREEKUMAR CHERUBAL </v>
      </c>
      <c r="AN44" s="30" t="str">
        <f t="shared" si="19"/>
        <v>PTE ANISH VINAAYAK SIVASANKAR</v>
      </c>
      <c r="AO44" s="30" t="str">
        <f t="shared" si="19"/>
        <v>PTE JEREMIAH FOO JI SHUAN</v>
      </c>
      <c r="AP44" s="30" t="str">
        <f t="shared" si="19"/>
        <v>PTE PARAM MEHROTRA </v>
      </c>
      <c r="AQ44" s="30" t="str">
        <f t="shared" si="19"/>
        <v>PTE FATHUL HAKIM BIN MUHAMMAD FAUZI </v>
      </c>
      <c r="AR44" s="30" t="str">
        <f t="shared" si="19"/>
        <v>REC MUHAMAD RIFQY AQIL BIN MUHAMAD SHAH </v>
      </c>
      <c r="AS44" s="30" t="str">
        <f t="array" ref="AS44">INDEX($A$3:$A$38, MATCH("R2", INDEX($F$3:$AS$38, 0, MATCH(AS2, $F$2:$AX$2, 0)), 0))</f>
        <v>CPL SURIAPRAKASH THRIUVALAKU</v>
      </c>
      <c r="AT44" s="30" t="str">
        <f t="shared" ref="AT44:AU44" si="20">INDEX($A$3:$A$38, MATCH("R2", INDEX($F$3:$AR$38, 0, MATCH(AT2, $F$2:$AX$2, 0)), 0))</f>
        <v>#N/A</v>
      </c>
      <c r="AU44" s="30" t="str">
        <f t="shared" si="20"/>
        <v>#N/A</v>
      </c>
      <c r="AV44" s="30" t="str">
        <f t="shared" ref="AV44:AY44" si="21">INDEX($A$3:$A$37, MATCH("R2", INDEX($F$3:$AR$37, 0, MATCH(I3, $F$2:$AX$2, 0)), 0))</f>
        <v>#N/A</v>
      </c>
      <c r="AW44" s="30" t="str">
        <f t="shared" si="21"/>
        <v>#N/A</v>
      </c>
      <c r="AX44" s="30" t="str">
        <f t="shared" si="21"/>
        <v>#N/A</v>
      </c>
      <c r="AY44" s="30" t="str">
        <f t="shared" si="21"/>
        <v>#N/A</v>
      </c>
    </row>
    <row r="45">
      <c r="A45" s="17" t="s">
        <v>154</v>
      </c>
      <c r="C45" s="50">
        <f>SUBTOTAL(103, $A$3:$A$37)
</f>
        <v>34</v>
      </c>
      <c r="J45" s="31"/>
    </row>
    <row r="46">
      <c r="H46" s="17" t="s">
        <v>554</v>
      </c>
      <c r="J46" s="31"/>
    </row>
    <row r="47">
      <c r="H47" s="17" t="s">
        <v>555</v>
      </c>
      <c r="J47" s="31"/>
      <c r="K47" s="17" t="s">
        <v>556</v>
      </c>
    </row>
    <row r="48">
      <c r="A48" s="26" t="s">
        <v>118</v>
      </c>
      <c r="H48" s="17" t="s">
        <v>557</v>
      </c>
      <c r="J48" s="31"/>
      <c r="K48" s="17" t="s">
        <v>558</v>
      </c>
      <c r="L48" s="17" t="s">
        <v>559</v>
      </c>
    </row>
    <row r="49">
      <c r="A49" s="25" t="s">
        <v>119</v>
      </c>
      <c r="J49" s="31"/>
      <c r="K49" s="17" t="s">
        <v>560</v>
      </c>
      <c r="L49" s="17" t="s">
        <v>561</v>
      </c>
    </row>
    <row r="50">
      <c r="A50" s="22" t="s">
        <v>120</v>
      </c>
      <c r="J50" s="31"/>
      <c r="K50" s="17" t="s">
        <v>562</v>
      </c>
      <c r="L50" s="17" t="s">
        <v>563</v>
      </c>
    </row>
    <row r="51">
      <c r="A51" s="20" t="s">
        <v>121</v>
      </c>
      <c r="H51" s="17" t="s">
        <v>564</v>
      </c>
      <c r="J51" s="31"/>
      <c r="K51" s="17" t="s">
        <v>565</v>
      </c>
      <c r="L51" s="17" t="s">
        <v>566</v>
      </c>
    </row>
    <row r="52">
      <c r="A52" s="23" t="s">
        <v>122</v>
      </c>
      <c r="J52" s="31"/>
    </row>
    <row r="53">
      <c r="A53" s="14" t="s">
        <v>123</v>
      </c>
      <c r="J53" s="31"/>
    </row>
    <row r="54">
      <c r="A54" s="9" t="s">
        <v>125</v>
      </c>
      <c r="J54" s="31"/>
    </row>
    <row r="55">
      <c r="A55" s="44" t="s">
        <v>126</v>
      </c>
      <c r="C55" s="31"/>
      <c r="J55" s="31"/>
    </row>
    <row r="56">
      <c r="A56" s="62" t="s">
        <v>203</v>
      </c>
      <c r="J56" s="31"/>
    </row>
    <row r="57">
      <c r="A57" s="70" t="s">
        <v>233</v>
      </c>
      <c r="J57" s="31"/>
    </row>
    <row r="58">
      <c r="A58" s="69" t="s">
        <v>234</v>
      </c>
      <c r="J58" s="31"/>
    </row>
    <row r="59">
      <c r="A59" s="27" t="s">
        <v>124</v>
      </c>
      <c r="J59" s="31"/>
    </row>
    <row r="60">
      <c r="A60" s="24" t="s">
        <v>528</v>
      </c>
      <c r="J60" s="31"/>
    </row>
    <row r="61">
      <c r="J61" s="31"/>
    </row>
    <row r="62">
      <c r="J62" s="31"/>
    </row>
    <row r="63">
      <c r="J63" s="31"/>
    </row>
    <row r="64">
      <c r="J64" s="31"/>
    </row>
    <row r="65">
      <c r="J65" s="31"/>
    </row>
    <row r="66">
      <c r="J66" s="31"/>
    </row>
    <row r="67">
      <c r="J67" s="31"/>
    </row>
    <row r="68">
      <c r="J68" s="31"/>
    </row>
    <row r="69">
      <c r="J69" s="31"/>
    </row>
    <row r="70">
      <c r="J70" s="31"/>
    </row>
    <row r="71">
      <c r="J71" s="31"/>
    </row>
    <row r="72">
      <c r="J72" s="31"/>
    </row>
    <row r="73">
      <c r="J73" s="31"/>
    </row>
    <row r="74">
      <c r="J74" s="31"/>
    </row>
    <row r="75">
      <c r="J75" s="31"/>
    </row>
    <row r="76">
      <c r="J76" s="31"/>
    </row>
    <row r="77">
      <c r="J77" s="31"/>
    </row>
    <row r="78">
      <c r="J78" s="31"/>
    </row>
    <row r="79">
      <c r="J79" s="31"/>
    </row>
    <row r="80">
      <c r="J80" s="31"/>
    </row>
    <row r="81">
      <c r="J81" s="31"/>
    </row>
    <row r="82">
      <c r="J82" s="31"/>
    </row>
    <row r="83">
      <c r="J83" s="31"/>
    </row>
    <row r="84">
      <c r="J84" s="31"/>
    </row>
    <row r="85">
      <c r="J85" s="31"/>
    </row>
    <row r="86">
      <c r="J86" s="31"/>
    </row>
    <row r="87">
      <c r="J87" s="31"/>
    </row>
    <row r="88">
      <c r="J88" s="31"/>
    </row>
    <row r="89">
      <c r="J89" s="31"/>
    </row>
    <row r="90">
      <c r="J90" s="31"/>
    </row>
    <row r="91">
      <c r="J91" s="31"/>
    </row>
    <row r="92">
      <c r="J92" s="31"/>
    </row>
    <row r="93">
      <c r="J93" s="31"/>
    </row>
    <row r="94">
      <c r="J94" s="31"/>
    </row>
    <row r="95">
      <c r="J95" s="31"/>
    </row>
    <row r="96">
      <c r="J96" s="31"/>
    </row>
    <row r="97">
      <c r="J97" s="31"/>
    </row>
    <row r="98">
      <c r="J98" s="31"/>
    </row>
    <row r="99">
      <c r="J99" s="31"/>
    </row>
    <row r="100">
      <c r="J100" s="31"/>
    </row>
    <row r="101">
      <c r="J101" s="31"/>
    </row>
    <row r="102">
      <c r="J102" s="31"/>
    </row>
    <row r="103">
      <c r="J103" s="31"/>
    </row>
    <row r="104">
      <c r="J104" s="31"/>
    </row>
    <row r="105">
      <c r="J105" s="31"/>
    </row>
    <row r="106">
      <c r="J106" s="31"/>
    </row>
    <row r="107">
      <c r="J107" s="31"/>
    </row>
    <row r="108">
      <c r="J108" s="31"/>
    </row>
    <row r="109">
      <c r="J109" s="31"/>
    </row>
    <row r="110">
      <c r="J110" s="31"/>
    </row>
    <row r="111">
      <c r="J111" s="31"/>
    </row>
    <row r="112">
      <c r="J112" s="31"/>
    </row>
    <row r="113">
      <c r="J113" s="31"/>
    </row>
    <row r="114">
      <c r="J114" s="31"/>
    </row>
    <row r="115">
      <c r="J115" s="31"/>
    </row>
    <row r="116">
      <c r="J116" s="31"/>
    </row>
    <row r="117">
      <c r="J117" s="31"/>
    </row>
    <row r="118">
      <c r="J118" s="31"/>
    </row>
    <row r="119">
      <c r="J119" s="31"/>
    </row>
    <row r="120">
      <c r="J120" s="31"/>
    </row>
    <row r="121">
      <c r="J121" s="31"/>
    </row>
    <row r="122">
      <c r="J122" s="31"/>
    </row>
    <row r="123">
      <c r="J123" s="31"/>
    </row>
    <row r="124">
      <c r="J124" s="31"/>
    </row>
    <row r="125">
      <c r="J125" s="31"/>
    </row>
    <row r="126">
      <c r="J126" s="31"/>
    </row>
    <row r="127">
      <c r="J127" s="31"/>
    </row>
    <row r="128">
      <c r="J128" s="31"/>
    </row>
    <row r="129">
      <c r="J129" s="31"/>
    </row>
    <row r="130">
      <c r="J130" s="31"/>
    </row>
    <row r="131">
      <c r="J131" s="31"/>
    </row>
    <row r="132">
      <c r="J132" s="31"/>
    </row>
    <row r="133">
      <c r="J133" s="31"/>
    </row>
    <row r="134">
      <c r="J134" s="31"/>
    </row>
    <row r="135">
      <c r="J135" s="31"/>
    </row>
    <row r="136">
      <c r="J136" s="31"/>
    </row>
    <row r="137">
      <c r="J137" s="31"/>
    </row>
    <row r="138">
      <c r="J138" s="31"/>
    </row>
    <row r="139">
      <c r="J139" s="31"/>
    </row>
    <row r="140">
      <c r="J140" s="31"/>
    </row>
    <row r="141">
      <c r="J141" s="31"/>
    </row>
    <row r="142">
      <c r="J142" s="31"/>
    </row>
    <row r="143">
      <c r="J143" s="31"/>
    </row>
    <row r="144">
      <c r="J144" s="31"/>
    </row>
    <row r="145">
      <c r="J145" s="31"/>
    </row>
    <row r="146">
      <c r="J146" s="31"/>
    </row>
    <row r="147">
      <c r="J147" s="31"/>
    </row>
    <row r="148">
      <c r="J148" s="31"/>
    </row>
    <row r="149">
      <c r="J149" s="31"/>
    </row>
    <row r="150">
      <c r="J150" s="31"/>
    </row>
    <row r="151">
      <c r="J151" s="31"/>
    </row>
    <row r="152">
      <c r="J152" s="31"/>
    </row>
    <row r="153">
      <c r="J153" s="31"/>
    </row>
    <row r="154">
      <c r="J154" s="31"/>
    </row>
    <row r="155">
      <c r="J155" s="31"/>
    </row>
    <row r="156">
      <c r="J156" s="31"/>
    </row>
    <row r="157">
      <c r="J157" s="31"/>
    </row>
    <row r="158">
      <c r="J158" s="31"/>
    </row>
    <row r="159">
      <c r="J159" s="31"/>
    </row>
    <row r="160">
      <c r="J160" s="31"/>
    </row>
    <row r="161">
      <c r="J161" s="31"/>
    </row>
    <row r="162">
      <c r="J162" s="31"/>
    </row>
    <row r="163">
      <c r="J163" s="31"/>
    </row>
    <row r="164">
      <c r="J164" s="31"/>
    </row>
    <row r="165">
      <c r="J165" s="31"/>
    </row>
    <row r="166">
      <c r="J166" s="31"/>
    </row>
    <row r="167">
      <c r="J167" s="31"/>
    </row>
    <row r="168">
      <c r="J168" s="31"/>
    </row>
    <row r="169">
      <c r="J169" s="31"/>
    </row>
    <row r="170">
      <c r="J170" s="31"/>
    </row>
    <row r="171">
      <c r="J171" s="31"/>
    </row>
    <row r="172">
      <c r="J172" s="31"/>
    </row>
    <row r="173">
      <c r="J173" s="31"/>
    </row>
    <row r="174">
      <c r="J174" s="31"/>
    </row>
    <row r="175">
      <c r="J175" s="31"/>
    </row>
    <row r="176">
      <c r="J176" s="31"/>
    </row>
    <row r="177">
      <c r="J177" s="31"/>
    </row>
    <row r="178">
      <c r="J178" s="31"/>
    </row>
    <row r="179">
      <c r="J179" s="31"/>
    </row>
    <row r="180">
      <c r="J180" s="31"/>
    </row>
    <row r="181">
      <c r="J181" s="31"/>
    </row>
    <row r="182">
      <c r="J182" s="31"/>
    </row>
    <row r="183">
      <c r="J183" s="31"/>
    </row>
    <row r="184">
      <c r="J184" s="31"/>
    </row>
    <row r="185">
      <c r="J185" s="31"/>
    </row>
    <row r="186">
      <c r="J186" s="31"/>
    </row>
    <row r="187">
      <c r="J187" s="31"/>
    </row>
    <row r="188">
      <c r="J188" s="31"/>
    </row>
    <row r="189">
      <c r="J189" s="31"/>
    </row>
    <row r="190">
      <c r="J190" s="31"/>
    </row>
    <row r="191">
      <c r="J191" s="31"/>
    </row>
    <row r="192">
      <c r="J192" s="31"/>
    </row>
    <row r="193">
      <c r="J193" s="31"/>
    </row>
    <row r="194">
      <c r="J194" s="31"/>
    </row>
    <row r="195">
      <c r="J195" s="31"/>
    </row>
    <row r="196">
      <c r="J196" s="31"/>
    </row>
    <row r="197">
      <c r="J197" s="31"/>
    </row>
    <row r="198">
      <c r="J198" s="31"/>
    </row>
    <row r="199">
      <c r="J199" s="31"/>
    </row>
    <row r="200">
      <c r="J200" s="31"/>
    </row>
    <row r="201">
      <c r="J201" s="31"/>
    </row>
    <row r="202">
      <c r="J202" s="31"/>
    </row>
    <row r="203">
      <c r="J203" s="31"/>
    </row>
    <row r="204">
      <c r="J204" s="31"/>
    </row>
    <row r="205">
      <c r="J205" s="31"/>
    </row>
    <row r="206">
      <c r="J206" s="31"/>
    </row>
    <row r="207">
      <c r="J207" s="31"/>
    </row>
    <row r="208">
      <c r="J208" s="31"/>
    </row>
    <row r="209">
      <c r="J209" s="31"/>
    </row>
    <row r="210">
      <c r="J210" s="31"/>
    </row>
    <row r="211">
      <c r="J211" s="31"/>
    </row>
    <row r="212">
      <c r="J212" s="31"/>
    </row>
    <row r="213">
      <c r="J213" s="31"/>
    </row>
    <row r="214">
      <c r="J214" s="31"/>
    </row>
    <row r="215">
      <c r="J215" s="31"/>
    </row>
    <row r="216">
      <c r="J216" s="31"/>
    </row>
    <row r="217">
      <c r="J217" s="31"/>
    </row>
    <row r="218">
      <c r="J218" s="31"/>
    </row>
    <row r="219">
      <c r="J219" s="31"/>
    </row>
    <row r="220">
      <c r="J220" s="31"/>
    </row>
    <row r="221">
      <c r="J221" s="31"/>
    </row>
    <row r="222">
      <c r="J222" s="31"/>
    </row>
    <row r="223">
      <c r="J223" s="31"/>
    </row>
    <row r="224">
      <c r="J224" s="31"/>
    </row>
    <row r="225">
      <c r="J225" s="31"/>
    </row>
    <row r="226">
      <c r="J226" s="31"/>
    </row>
    <row r="227">
      <c r="J227" s="31"/>
    </row>
    <row r="228">
      <c r="J228" s="31"/>
    </row>
    <row r="229">
      <c r="J229" s="31"/>
    </row>
    <row r="230">
      <c r="J230" s="31"/>
    </row>
    <row r="231">
      <c r="J231" s="31"/>
    </row>
    <row r="232">
      <c r="J232" s="31"/>
    </row>
    <row r="233">
      <c r="J233" s="31"/>
    </row>
    <row r="234">
      <c r="J234" s="31"/>
    </row>
    <row r="235">
      <c r="J235" s="31"/>
    </row>
    <row r="236">
      <c r="J236" s="31"/>
    </row>
    <row r="237">
      <c r="J237" s="31"/>
    </row>
    <row r="238">
      <c r="J238" s="31"/>
    </row>
    <row r="239">
      <c r="J239" s="31"/>
    </row>
    <row r="240">
      <c r="J240" s="31"/>
    </row>
    <row r="241">
      <c r="J241" s="31"/>
    </row>
    <row r="242">
      <c r="J242" s="31"/>
    </row>
    <row r="243">
      <c r="J243" s="31"/>
    </row>
    <row r="244">
      <c r="J244" s="31"/>
    </row>
    <row r="245">
      <c r="J245" s="31"/>
    </row>
    <row r="246">
      <c r="J246" s="31"/>
    </row>
    <row r="247">
      <c r="J247" s="31"/>
    </row>
    <row r="248">
      <c r="J248" s="31"/>
    </row>
    <row r="249">
      <c r="J249" s="31"/>
    </row>
    <row r="250">
      <c r="J250" s="31"/>
    </row>
    <row r="251">
      <c r="J251" s="31"/>
    </row>
    <row r="252">
      <c r="J252" s="31"/>
    </row>
    <row r="253">
      <c r="J253" s="31"/>
    </row>
    <row r="254">
      <c r="J254" s="31"/>
    </row>
    <row r="255">
      <c r="J255" s="31"/>
    </row>
    <row r="256">
      <c r="J256" s="31"/>
    </row>
    <row r="257">
      <c r="J257" s="31"/>
    </row>
    <row r="258">
      <c r="J258" s="31"/>
    </row>
    <row r="259">
      <c r="J259" s="31"/>
    </row>
    <row r="260">
      <c r="J260" s="31"/>
    </row>
    <row r="261">
      <c r="J261" s="31"/>
    </row>
    <row r="262">
      <c r="J262" s="31"/>
    </row>
    <row r="263">
      <c r="J263" s="31"/>
    </row>
    <row r="264">
      <c r="J264" s="31"/>
    </row>
    <row r="265">
      <c r="J265" s="31"/>
    </row>
    <row r="266">
      <c r="J266" s="31"/>
    </row>
    <row r="267">
      <c r="J267" s="31"/>
    </row>
    <row r="268">
      <c r="J268" s="31"/>
    </row>
    <row r="269">
      <c r="J269" s="31"/>
    </row>
    <row r="270">
      <c r="J270" s="31"/>
    </row>
    <row r="271">
      <c r="J271" s="31"/>
    </row>
    <row r="272">
      <c r="J272" s="31"/>
    </row>
    <row r="273">
      <c r="J273" s="31"/>
    </row>
    <row r="274">
      <c r="J274" s="31"/>
    </row>
    <row r="275">
      <c r="J275" s="31"/>
    </row>
    <row r="276">
      <c r="J276" s="31"/>
    </row>
    <row r="277">
      <c r="J277" s="31"/>
    </row>
    <row r="278">
      <c r="J278" s="31"/>
    </row>
    <row r="279">
      <c r="J279" s="31"/>
    </row>
    <row r="280">
      <c r="J280" s="31"/>
    </row>
    <row r="281">
      <c r="J281" s="31"/>
    </row>
    <row r="282">
      <c r="J282" s="31"/>
    </row>
    <row r="283">
      <c r="J283" s="31"/>
    </row>
    <row r="284">
      <c r="J284" s="31"/>
    </row>
    <row r="285">
      <c r="J285" s="31"/>
    </row>
    <row r="286">
      <c r="J286" s="31"/>
    </row>
    <row r="287">
      <c r="J287" s="31"/>
    </row>
    <row r="288">
      <c r="J288" s="31"/>
    </row>
    <row r="289">
      <c r="J289" s="31"/>
    </row>
    <row r="290">
      <c r="J290" s="31"/>
    </row>
    <row r="291">
      <c r="J291" s="31"/>
    </row>
    <row r="292">
      <c r="J292" s="31"/>
    </row>
    <row r="293">
      <c r="J293" s="31"/>
    </row>
    <row r="294">
      <c r="J294" s="31"/>
    </row>
    <row r="295">
      <c r="J295" s="31"/>
    </row>
    <row r="296">
      <c r="J296" s="31"/>
    </row>
    <row r="297">
      <c r="J297" s="31"/>
    </row>
    <row r="298">
      <c r="J298" s="31"/>
    </row>
    <row r="299">
      <c r="J299" s="31"/>
    </row>
    <row r="300">
      <c r="J300" s="31"/>
    </row>
    <row r="301">
      <c r="J301" s="31"/>
    </row>
    <row r="302">
      <c r="J302" s="31"/>
    </row>
    <row r="303">
      <c r="J303" s="31"/>
    </row>
    <row r="304">
      <c r="J304" s="31"/>
    </row>
    <row r="305">
      <c r="J305" s="31"/>
    </row>
    <row r="306">
      <c r="J306" s="31"/>
    </row>
    <row r="307">
      <c r="J307" s="31"/>
    </row>
    <row r="308">
      <c r="J308" s="31"/>
    </row>
    <row r="309">
      <c r="J309" s="31"/>
    </row>
    <row r="310">
      <c r="J310" s="31"/>
    </row>
    <row r="311">
      <c r="J311" s="31"/>
    </row>
    <row r="312">
      <c r="J312" s="31"/>
    </row>
    <row r="313">
      <c r="J313" s="31"/>
    </row>
    <row r="314">
      <c r="J314" s="31"/>
    </row>
    <row r="315">
      <c r="J315" s="31"/>
    </row>
    <row r="316">
      <c r="J316" s="31"/>
    </row>
    <row r="317">
      <c r="J317" s="31"/>
    </row>
    <row r="318">
      <c r="J318" s="31"/>
    </row>
    <row r="319">
      <c r="J319" s="31"/>
    </row>
    <row r="320">
      <c r="J320" s="31"/>
    </row>
    <row r="321">
      <c r="J321" s="31"/>
    </row>
    <row r="322">
      <c r="J322" s="31"/>
    </row>
    <row r="323">
      <c r="J323" s="31"/>
    </row>
    <row r="324">
      <c r="J324" s="31"/>
    </row>
    <row r="325">
      <c r="J325" s="31"/>
    </row>
    <row r="326">
      <c r="J326" s="31"/>
    </row>
    <row r="327">
      <c r="J327" s="31"/>
    </row>
    <row r="328">
      <c r="J328" s="31"/>
    </row>
    <row r="329">
      <c r="J329" s="31"/>
    </row>
    <row r="330">
      <c r="J330" s="31"/>
    </row>
    <row r="331">
      <c r="J331" s="31"/>
    </row>
    <row r="332">
      <c r="J332" s="31"/>
    </row>
    <row r="333">
      <c r="J333" s="31"/>
    </row>
    <row r="334">
      <c r="J334" s="31"/>
    </row>
    <row r="335">
      <c r="J335" s="31"/>
    </row>
    <row r="336">
      <c r="J336" s="31"/>
    </row>
    <row r="337">
      <c r="J337" s="31"/>
    </row>
    <row r="338">
      <c r="J338" s="31"/>
    </row>
    <row r="339">
      <c r="J339" s="31"/>
    </row>
    <row r="340">
      <c r="J340" s="31"/>
    </row>
    <row r="341">
      <c r="J341" s="31"/>
    </row>
    <row r="342">
      <c r="J342" s="31"/>
    </row>
    <row r="343">
      <c r="J343" s="31"/>
    </row>
    <row r="344">
      <c r="J344" s="31"/>
    </row>
    <row r="345">
      <c r="J345" s="31"/>
    </row>
    <row r="346">
      <c r="J346" s="31"/>
    </row>
    <row r="347">
      <c r="J347" s="31"/>
    </row>
    <row r="348">
      <c r="J348" s="31"/>
    </row>
    <row r="349">
      <c r="J349" s="31"/>
    </row>
    <row r="350">
      <c r="J350" s="31"/>
    </row>
    <row r="351">
      <c r="J351" s="31"/>
    </row>
    <row r="352">
      <c r="J352" s="31"/>
    </row>
    <row r="353">
      <c r="J353" s="31"/>
    </row>
    <row r="354">
      <c r="J354" s="31"/>
    </row>
    <row r="355">
      <c r="J355" s="31"/>
    </row>
    <row r="356">
      <c r="J356" s="31"/>
    </row>
    <row r="357">
      <c r="J357" s="31"/>
    </row>
    <row r="358">
      <c r="J358" s="31"/>
    </row>
    <row r="359">
      <c r="J359" s="31"/>
    </row>
    <row r="360">
      <c r="J360" s="31"/>
    </row>
    <row r="361">
      <c r="J361" s="31"/>
    </row>
    <row r="362">
      <c r="J362" s="31"/>
    </row>
    <row r="363">
      <c r="J363" s="31"/>
    </row>
    <row r="364">
      <c r="J364" s="31"/>
    </row>
    <row r="365">
      <c r="J365" s="31"/>
    </row>
    <row r="366">
      <c r="J366" s="31"/>
    </row>
    <row r="367">
      <c r="J367" s="31"/>
    </row>
    <row r="368">
      <c r="J368" s="31"/>
    </row>
    <row r="369">
      <c r="J369" s="31"/>
    </row>
    <row r="370">
      <c r="J370" s="31"/>
    </row>
    <row r="371">
      <c r="J371" s="31"/>
    </row>
    <row r="372">
      <c r="J372" s="31"/>
    </row>
    <row r="373">
      <c r="J373" s="31"/>
    </row>
    <row r="374">
      <c r="J374" s="31"/>
    </row>
    <row r="375">
      <c r="J375" s="31"/>
    </row>
    <row r="376">
      <c r="J376" s="31"/>
    </row>
    <row r="377">
      <c r="J377" s="31"/>
    </row>
    <row r="378">
      <c r="J378" s="31"/>
    </row>
    <row r="379">
      <c r="J379" s="31"/>
    </row>
    <row r="380">
      <c r="J380" s="31"/>
    </row>
    <row r="381">
      <c r="J381" s="31"/>
    </row>
    <row r="382">
      <c r="J382" s="31"/>
    </row>
    <row r="383">
      <c r="J383" s="31"/>
    </row>
    <row r="384">
      <c r="J384" s="31"/>
    </row>
    <row r="385">
      <c r="J385" s="31"/>
    </row>
    <row r="386">
      <c r="J386" s="31"/>
    </row>
    <row r="387">
      <c r="J387" s="31"/>
    </row>
    <row r="388">
      <c r="J388" s="31"/>
    </row>
    <row r="389">
      <c r="J389" s="31"/>
    </row>
    <row r="390">
      <c r="J390" s="31"/>
    </row>
    <row r="391">
      <c r="J391" s="31"/>
    </row>
    <row r="392">
      <c r="J392" s="31"/>
    </row>
    <row r="393">
      <c r="J393" s="31"/>
    </row>
    <row r="394">
      <c r="J394" s="31"/>
    </row>
    <row r="395">
      <c r="J395" s="31"/>
    </row>
    <row r="396">
      <c r="J396" s="31"/>
    </row>
    <row r="397">
      <c r="J397" s="31"/>
    </row>
    <row r="398">
      <c r="J398" s="31"/>
    </row>
    <row r="399">
      <c r="J399" s="31"/>
    </row>
    <row r="400">
      <c r="J400" s="31"/>
    </row>
    <row r="401">
      <c r="J401" s="31"/>
    </row>
    <row r="402">
      <c r="J402" s="31"/>
    </row>
    <row r="403">
      <c r="J403" s="31"/>
    </row>
    <row r="404">
      <c r="J404" s="31"/>
    </row>
    <row r="405">
      <c r="J405" s="31"/>
    </row>
    <row r="406">
      <c r="J406" s="31"/>
    </row>
    <row r="407">
      <c r="J407" s="31"/>
    </row>
    <row r="408">
      <c r="J408" s="31"/>
    </row>
    <row r="409">
      <c r="J409" s="31"/>
    </row>
    <row r="410">
      <c r="J410" s="31"/>
    </row>
    <row r="411">
      <c r="J411" s="31"/>
    </row>
    <row r="412">
      <c r="J412" s="31"/>
    </row>
    <row r="413">
      <c r="J413" s="31"/>
    </row>
    <row r="414">
      <c r="J414" s="31"/>
    </row>
    <row r="415">
      <c r="J415" s="31"/>
    </row>
    <row r="416">
      <c r="J416" s="31"/>
    </row>
    <row r="417">
      <c r="J417" s="31"/>
    </row>
    <row r="418">
      <c r="J418" s="31"/>
    </row>
    <row r="419">
      <c r="J419" s="31"/>
    </row>
    <row r="420">
      <c r="J420" s="31"/>
    </row>
    <row r="421">
      <c r="J421" s="31"/>
    </row>
    <row r="422">
      <c r="J422" s="31"/>
    </row>
    <row r="423">
      <c r="J423" s="31"/>
    </row>
    <row r="424">
      <c r="J424" s="31"/>
    </row>
    <row r="425">
      <c r="J425" s="31"/>
    </row>
    <row r="426">
      <c r="J426" s="31"/>
    </row>
    <row r="427">
      <c r="J427" s="31"/>
    </row>
    <row r="428">
      <c r="J428" s="31"/>
    </row>
    <row r="429">
      <c r="J429" s="31"/>
    </row>
    <row r="430">
      <c r="J430" s="31"/>
    </row>
    <row r="431">
      <c r="J431" s="31"/>
    </row>
    <row r="432">
      <c r="J432" s="31"/>
    </row>
    <row r="433">
      <c r="J433" s="31"/>
    </row>
    <row r="434">
      <c r="J434" s="31"/>
    </row>
    <row r="435">
      <c r="J435" s="31"/>
    </row>
    <row r="436">
      <c r="J436" s="31"/>
    </row>
    <row r="437">
      <c r="J437" s="31"/>
    </row>
    <row r="438">
      <c r="J438" s="31"/>
    </row>
    <row r="439">
      <c r="J439" s="31"/>
    </row>
    <row r="440">
      <c r="J440" s="31"/>
    </row>
    <row r="441">
      <c r="J441" s="31"/>
    </row>
    <row r="442">
      <c r="J442" s="31"/>
    </row>
    <row r="443">
      <c r="J443" s="31"/>
    </row>
    <row r="444">
      <c r="J444" s="31"/>
    </row>
    <row r="445">
      <c r="J445" s="31"/>
    </row>
    <row r="446">
      <c r="J446" s="31"/>
    </row>
    <row r="447">
      <c r="J447" s="31"/>
    </row>
    <row r="448">
      <c r="J448" s="31"/>
    </row>
    <row r="449">
      <c r="J449" s="31"/>
    </row>
    <row r="450">
      <c r="J450" s="31"/>
    </row>
    <row r="451">
      <c r="J451" s="31"/>
    </row>
    <row r="452">
      <c r="J452" s="31"/>
    </row>
    <row r="453">
      <c r="J453" s="31"/>
    </row>
    <row r="454">
      <c r="J454" s="31"/>
    </row>
    <row r="455">
      <c r="J455" s="31"/>
    </row>
    <row r="456">
      <c r="J456" s="31"/>
    </row>
    <row r="457">
      <c r="J457" s="31"/>
    </row>
    <row r="458">
      <c r="J458" s="31"/>
    </row>
    <row r="459">
      <c r="J459" s="31"/>
    </row>
    <row r="460">
      <c r="J460" s="31"/>
    </row>
    <row r="461">
      <c r="J461" s="31"/>
    </row>
    <row r="462">
      <c r="J462" s="31"/>
    </row>
    <row r="463">
      <c r="J463" s="31"/>
    </row>
    <row r="464">
      <c r="J464" s="31"/>
    </row>
    <row r="465">
      <c r="J465" s="31"/>
    </row>
    <row r="466">
      <c r="J466" s="31"/>
    </row>
    <row r="467">
      <c r="J467" s="31"/>
    </row>
    <row r="468">
      <c r="J468" s="31"/>
    </row>
    <row r="469">
      <c r="J469" s="31"/>
    </row>
    <row r="470">
      <c r="J470" s="31"/>
    </row>
    <row r="471">
      <c r="J471" s="31"/>
    </row>
    <row r="472">
      <c r="J472" s="31"/>
    </row>
    <row r="473">
      <c r="J473" s="31"/>
    </row>
    <row r="474">
      <c r="J474" s="31"/>
    </row>
    <row r="475">
      <c r="J475" s="31"/>
    </row>
    <row r="476">
      <c r="J476" s="31"/>
    </row>
    <row r="477">
      <c r="J477" s="31"/>
    </row>
    <row r="478">
      <c r="J478" s="31"/>
    </row>
    <row r="479">
      <c r="J479" s="31"/>
    </row>
    <row r="480">
      <c r="J480" s="31"/>
    </row>
    <row r="481">
      <c r="J481" s="31"/>
    </row>
    <row r="482">
      <c r="J482" s="31"/>
    </row>
    <row r="483">
      <c r="J483" s="31"/>
    </row>
    <row r="484">
      <c r="J484" s="31"/>
    </row>
    <row r="485">
      <c r="J485" s="31"/>
    </row>
    <row r="486">
      <c r="J486" s="31"/>
    </row>
    <row r="487">
      <c r="J487" s="31"/>
    </row>
    <row r="488">
      <c r="J488" s="31"/>
    </row>
    <row r="489">
      <c r="J489" s="31"/>
    </row>
    <row r="490">
      <c r="J490" s="31"/>
    </row>
    <row r="491">
      <c r="J491" s="31"/>
    </row>
    <row r="492">
      <c r="J492" s="31"/>
    </row>
    <row r="493">
      <c r="J493" s="31"/>
    </row>
    <row r="494">
      <c r="J494" s="31"/>
    </row>
    <row r="495">
      <c r="J495" s="31"/>
    </row>
    <row r="496">
      <c r="J496" s="31"/>
    </row>
    <row r="497">
      <c r="J497" s="31"/>
    </row>
    <row r="498">
      <c r="J498" s="31"/>
    </row>
    <row r="499">
      <c r="J499" s="31"/>
    </row>
    <row r="500">
      <c r="J500" s="31"/>
    </row>
    <row r="501">
      <c r="J501" s="31"/>
    </row>
    <row r="502">
      <c r="J502" s="31"/>
    </row>
    <row r="503">
      <c r="J503" s="31"/>
    </row>
    <row r="504">
      <c r="J504" s="31"/>
    </row>
    <row r="505">
      <c r="J505" s="31"/>
    </row>
    <row r="506">
      <c r="J506" s="31"/>
    </row>
    <row r="507">
      <c r="J507" s="31"/>
    </row>
    <row r="508">
      <c r="J508" s="31"/>
    </row>
    <row r="509">
      <c r="J509" s="31"/>
    </row>
    <row r="510">
      <c r="J510" s="31"/>
    </row>
    <row r="511">
      <c r="J511" s="31"/>
    </row>
    <row r="512">
      <c r="J512" s="31"/>
    </row>
    <row r="513">
      <c r="J513" s="31"/>
    </row>
    <row r="514">
      <c r="J514" s="31"/>
    </row>
    <row r="515">
      <c r="J515" s="31"/>
    </row>
    <row r="516">
      <c r="J516" s="31"/>
    </row>
    <row r="517">
      <c r="J517" s="31"/>
    </row>
    <row r="518">
      <c r="J518" s="31"/>
    </row>
    <row r="519">
      <c r="J519" s="31"/>
    </row>
    <row r="520">
      <c r="J520" s="31"/>
    </row>
    <row r="521">
      <c r="J521" s="31"/>
    </row>
    <row r="522">
      <c r="J522" s="31"/>
    </row>
    <row r="523">
      <c r="J523" s="31"/>
    </row>
    <row r="524">
      <c r="J524" s="31"/>
    </row>
    <row r="525">
      <c r="J525" s="31"/>
    </row>
    <row r="526">
      <c r="J526" s="31"/>
    </row>
    <row r="527">
      <c r="J527" s="31"/>
    </row>
    <row r="528">
      <c r="J528" s="31"/>
    </row>
    <row r="529">
      <c r="J529" s="31"/>
    </row>
    <row r="530">
      <c r="J530" s="31"/>
    </row>
    <row r="531">
      <c r="J531" s="31"/>
    </row>
    <row r="532">
      <c r="J532" s="31"/>
    </row>
    <row r="533">
      <c r="J533" s="31"/>
    </row>
    <row r="534">
      <c r="J534" s="31"/>
    </row>
    <row r="535">
      <c r="J535" s="31"/>
    </row>
    <row r="536">
      <c r="J536" s="31"/>
    </row>
    <row r="537">
      <c r="J537" s="31"/>
    </row>
    <row r="538">
      <c r="J538" s="31"/>
    </row>
    <row r="539">
      <c r="J539" s="31"/>
    </row>
    <row r="540">
      <c r="J540" s="31"/>
    </row>
    <row r="541">
      <c r="J541" s="31"/>
    </row>
    <row r="542">
      <c r="J542" s="31"/>
    </row>
    <row r="543">
      <c r="J543" s="31"/>
    </row>
    <row r="544">
      <c r="J544" s="31"/>
    </row>
    <row r="545">
      <c r="J545" s="31"/>
    </row>
    <row r="546">
      <c r="J546" s="31"/>
    </row>
    <row r="547">
      <c r="J547" s="31"/>
    </row>
    <row r="548">
      <c r="J548" s="31"/>
    </row>
    <row r="549">
      <c r="J549" s="31"/>
    </row>
    <row r="550">
      <c r="J550" s="31"/>
    </row>
    <row r="551">
      <c r="J551" s="31"/>
    </row>
    <row r="552">
      <c r="J552" s="31"/>
    </row>
    <row r="553">
      <c r="J553" s="31"/>
    </row>
    <row r="554">
      <c r="J554" s="31"/>
    </row>
    <row r="555">
      <c r="J555" s="31"/>
    </row>
    <row r="556">
      <c r="J556" s="31"/>
    </row>
    <row r="557">
      <c r="J557" s="31"/>
    </row>
    <row r="558">
      <c r="J558" s="31"/>
    </row>
    <row r="559">
      <c r="J559" s="31"/>
    </row>
    <row r="560">
      <c r="J560" s="31"/>
    </row>
    <row r="561">
      <c r="J561" s="31"/>
    </row>
    <row r="562">
      <c r="J562" s="31"/>
    </row>
    <row r="563">
      <c r="J563" s="31"/>
    </row>
    <row r="564">
      <c r="J564" s="31"/>
    </row>
    <row r="565">
      <c r="J565" s="31"/>
    </row>
    <row r="566">
      <c r="J566" s="31"/>
    </row>
    <row r="567">
      <c r="J567" s="31"/>
    </row>
    <row r="568">
      <c r="J568" s="31"/>
    </row>
    <row r="569">
      <c r="J569" s="31"/>
    </row>
    <row r="570">
      <c r="J570" s="31"/>
    </row>
    <row r="571">
      <c r="J571" s="31"/>
    </row>
    <row r="572">
      <c r="J572" s="31"/>
    </row>
    <row r="573">
      <c r="J573" s="31"/>
    </row>
    <row r="574">
      <c r="J574" s="31"/>
    </row>
    <row r="575">
      <c r="J575" s="31"/>
    </row>
    <row r="576">
      <c r="J576" s="31"/>
    </row>
    <row r="577">
      <c r="J577" s="31"/>
    </row>
    <row r="578">
      <c r="J578" s="31"/>
    </row>
    <row r="579">
      <c r="J579" s="31"/>
    </row>
    <row r="580">
      <c r="J580" s="31"/>
    </row>
    <row r="581">
      <c r="J581" s="31"/>
    </row>
    <row r="582">
      <c r="J582" s="31"/>
    </row>
    <row r="583">
      <c r="J583" s="31"/>
    </row>
    <row r="584">
      <c r="J584" s="31"/>
    </row>
    <row r="585">
      <c r="J585" s="31"/>
    </row>
    <row r="586">
      <c r="J586" s="31"/>
    </row>
    <row r="587">
      <c r="J587" s="31"/>
    </row>
    <row r="588">
      <c r="J588" s="31"/>
    </row>
    <row r="589">
      <c r="J589" s="31"/>
    </row>
    <row r="590">
      <c r="J590" s="31"/>
    </row>
    <row r="591">
      <c r="J591" s="31"/>
    </row>
    <row r="592">
      <c r="J592" s="31"/>
    </row>
    <row r="593">
      <c r="J593" s="31"/>
    </row>
    <row r="594">
      <c r="J594" s="31"/>
    </row>
    <row r="595">
      <c r="J595" s="31"/>
    </row>
    <row r="596">
      <c r="J596" s="31"/>
    </row>
    <row r="597">
      <c r="J597" s="31"/>
    </row>
    <row r="598">
      <c r="J598" s="31"/>
    </row>
    <row r="599">
      <c r="J599" s="31"/>
    </row>
    <row r="600">
      <c r="J600" s="31"/>
    </row>
    <row r="601">
      <c r="J601" s="31"/>
    </row>
    <row r="602">
      <c r="J602" s="31"/>
    </row>
    <row r="603">
      <c r="J603" s="31"/>
    </row>
    <row r="604">
      <c r="J604" s="31"/>
    </row>
    <row r="605">
      <c r="J605" s="31"/>
    </row>
    <row r="606">
      <c r="J606" s="31"/>
    </row>
    <row r="607">
      <c r="J607" s="31"/>
    </row>
    <row r="608">
      <c r="J608" s="31"/>
    </row>
    <row r="609">
      <c r="J609" s="31"/>
    </row>
    <row r="610">
      <c r="J610" s="31"/>
    </row>
    <row r="611">
      <c r="J611" s="31"/>
    </row>
    <row r="612">
      <c r="J612" s="31"/>
    </row>
    <row r="613">
      <c r="J613" s="31"/>
    </row>
    <row r="614">
      <c r="J614" s="31"/>
    </row>
    <row r="615">
      <c r="J615" s="31"/>
    </row>
    <row r="616">
      <c r="J616" s="31"/>
    </row>
    <row r="617">
      <c r="J617" s="31"/>
    </row>
    <row r="618">
      <c r="J618" s="31"/>
    </row>
    <row r="619">
      <c r="J619" s="31"/>
    </row>
    <row r="620">
      <c r="J620" s="31"/>
    </row>
    <row r="621">
      <c r="J621" s="31"/>
    </row>
    <row r="622">
      <c r="J622" s="31"/>
    </row>
    <row r="623">
      <c r="J623" s="31"/>
    </row>
    <row r="624">
      <c r="J624" s="31"/>
    </row>
    <row r="625">
      <c r="J625" s="31"/>
    </row>
    <row r="626">
      <c r="J626" s="31"/>
    </row>
    <row r="627">
      <c r="J627" s="31"/>
    </row>
    <row r="628">
      <c r="J628" s="31"/>
    </row>
    <row r="629">
      <c r="J629" s="31"/>
    </row>
    <row r="630">
      <c r="J630" s="31"/>
    </row>
    <row r="631">
      <c r="J631" s="31"/>
    </row>
    <row r="632">
      <c r="J632" s="31"/>
    </row>
    <row r="633">
      <c r="J633" s="31"/>
    </row>
    <row r="634">
      <c r="J634" s="31"/>
    </row>
    <row r="635">
      <c r="J635" s="31"/>
    </row>
    <row r="636">
      <c r="J636" s="31"/>
    </row>
    <row r="637">
      <c r="J637" s="31"/>
    </row>
    <row r="638">
      <c r="J638" s="31"/>
    </row>
    <row r="639">
      <c r="J639" s="31"/>
    </row>
    <row r="640">
      <c r="J640" s="31"/>
    </row>
    <row r="641">
      <c r="J641" s="31"/>
    </row>
    <row r="642">
      <c r="J642" s="31"/>
    </row>
    <row r="643">
      <c r="J643" s="31"/>
    </row>
    <row r="644">
      <c r="J644" s="31"/>
    </row>
    <row r="645">
      <c r="J645" s="31"/>
    </row>
    <row r="646">
      <c r="J646" s="31"/>
    </row>
    <row r="647">
      <c r="J647" s="31"/>
    </row>
    <row r="648">
      <c r="J648" s="31"/>
    </row>
    <row r="649">
      <c r="J649" s="31"/>
    </row>
    <row r="650">
      <c r="J650" s="31"/>
    </row>
    <row r="651">
      <c r="J651" s="31"/>
    </row>
    <row r="652">
      <c r="J652" s="31"/>
    </row>
    <row r="653">
      <c r="J653" s="31"/>
    </row>
    <row r="654">
      <c r="J654" s="31"/>
    </row>
    <row r="655">
      <c r="J655" s="31"/>
    </row>
    <row r="656">
      <c r="J656" s="31"/>
    </row>
    <row r="657">
      <c r="J657" s="31"/>
    </row>
    <row r="658">
      <c r="J658" s="31"/>
    </row>
    <row r="659">
      <c r="J659" s="31"/>
    </row>
    <row r="660">
      <c r="J660" s="31"/>
    </row>
    <row r="661">
      <c r="J661" s="31"/>
    </row>
    <row r="662">
      <c r="J662" s="31"/>
    </row>
    <row r="663">
      <c r="J663" s="31"/>
    </row>
    <row r="664">
      <c r="J664" s="31"/>
    </row>
    <row r="665">
      <c r="J665" s="31"/>
    </row>
    <row r="666">
      <c r="J666" s="31"/>
    </row>
    <row r="667">
      <c r="J667" s="31"/>
    </row>
    <row r="668">
      <c r="J668" s="31"/>
    </row>
    <row r="669">
      <c r="J669" s="31"/>
    </row>
    <row r="670">
      <c r="J670" s="31"/>
    </row>
    <row r="671">
      <c r="J671" s="31"/>
    </row>
    <row r="672">
      <c r="J672" s="31"/>
    </row>
    <row r="673">
      <c r="J673" s="31"/>
    </row>
    <row r="674">
      <c r="J674" s="31"/>
    </row>
    <row r="675">
      <c r="J675" s="31"/>
    </row>
    <row r="676">
      <c r="J676" s="31"/>
    </row>
    <row r="677">
      <c r="J677" s="31"/>
    </row>
    <row r="678">
      <c r="J678" s="31"/>
    </row>
    <row r="679">
      <c r="J679" s="31"/>
    </row>
    <row r="680">
      <c r="J680" s="31"/>
    </row>
    <row r="681">
      <c r="J681" s="31"/>
    </row>
    <row r="682">
      <c r="J682" s="31"/>
    </row>
    <row r="683">
      <c r="J683" s="31"/>
    </row>
    <row r="684">
      <c r="J684" s="31"/>
    </row>
    <row r="685">
      <c r="J685" s="31"/>
    </row>
    <row r="686">
      <c r="J686" s="31"/>
    </row>
    <row r="687">
      <c r="J687" s="31"/>
    </row>
    <row r="688">
      <c r="J688" s="31"/>
    </row>
    <row r="689">
      <c r="J689" s="31"/>
    </row>
    <row r="690">
      <c r="J690" s="31"/>
    </row>
    <row r="691">
      <c r="J691" s="31"/>
    </row>
    <row r="692">
      <c r="J692" s="31"/>
    </row>
    <row r="693">
      <c r="J693" s="31"/>
    </row>
    <row r="694">
      <c r="J694" s="31"/>
    </row>
    <row r="695">
      <c r="J695" s="31"/>
    </row>
    <row r="696">
      <c r="J696" s="31"/>
    </row>
    <row r="697">
      <c r="J697" s="31"/>
    </row>
    <row r="698">
      <c r="J698" s="31"/>
    </row>
    <row r="699">
      <c r="J699" s="31"/>
    </row>
    <row r="700">
      <c r="J700" s="31"/>
    </row>
    <row r="701">
      <c r="J701" s="31"/>
    </row>
    <row r="702">
      <c r="J702" s="31"/>
    </row>
    <row r="703">
      <c r="J703" s="31"/>
    </row>
    <row r="704">
      <c r="J704" s="31"/>
    </row>
    <row r="705">
      <c r="J705" s="31"/>
    </row>
    <row r="706">
      <c r="J706" s="31"/>
    </row>
    <row r="707">
      <c r="J707" s="31"/>
    </row>
    <row r="708">
      <c r="J708" s="31"/>
    </row>
    <row r="709">
      <c r="J709" s="31"/>
    </row>
    <row r="710">
      <c r="J710" s="31"/>
    </row>
    <row r="711">
      <c r="J711" s="31"/>
    </row>
    <row r="712">
      <c r="J712" s="31"/>
    </row>
    <row r="713">
      <c r="J713" s="31"/>
    </row>
    <row r="714">
      <c r="J714" s="31"/>
    </row>
    <row r="715">
      <c r="J715" s="31"/>
    </row>
    <row r="716">
      <c r="J716" s="31"/>
    </row>
    <row r="717">
      <c r="J717" s="31"/>
    </row>
    <row r="718">
      <c r="J718" s="31"/>
    </row>
    <row r="719">
      <c r="J719" s="31"/>
    </row>
    <row r="720">
      <c r="J720" s="31"/>
    </row>
    <row r="721">
      <c r="J721" s="31"/>
    </row>
    <row r="722">
      <c r="J722" s="31"/>
    </row>
    <row r="723">
      <c r="J723" s="31"/>
    </row>
    <row r="724">
      <c r="J724" s="31"/>
    </row>
    <row r="725">
      <c r="J725" s="31"/>
    </row>
    <row r="726">
      <c r="J726" s="31"/>
    </row>
    <row r="727">
      <c r="J727" s="31"/>
    </row>
    <row r="728">
      <c r="J728" s="31"/>
    </row>
    <row r="729">
      <c r="J729" s="31"/>
    </row>
    <row r="730">
      <c r="J730" s="31"/>
    </row>
    <row r="731">
      <c r="J731" s="31"/>
    </row>
    <row r="732">
      <c r="J732" s="31"/>
    </row>
    <row r="733">
      <c r="J733" s="31"/>
    </row>
    <row r="734">
      <c r="J734" s="31"/>
    </row>
    <row r="735">
      <c r="J735" s="31"/>
    </row>
    <row r="736">
      <c r="J736" s="31"/>
    </row>
    <row r="737">
      <c r="J737" s="31"/>
    </row>
    <row r="738">
      <c r="J738" s="31"/>
    </row>
    <row r="739">
      <c r="J739" s="31"/>
    </row>
    <row r="740">
      <c r="J740" s="31"/>
    </row>
    <row r="741">
      <c r="J741" s="31"/>
    </row>
    <row r="742">
      <c r="J742" s="31"/>
    </row>
    <row r="743">
      <c r="J743" s="31"/>
    </row>
    <row r="744">
      <c r="J744" s="31"/>
    </row>
    <row r="745">
      <c r="J745" s="31"/>
    </row>
    <row r="746">
      <c r="J746" s="31"/>
    </row>
    <row r="747">
      <c r="J747" s="31"/>
    </row>
    <row r="748">
      <c r="J748" s="31"/>
    </row>
    <row r="749">
      <c r="J749" s="31"/>
    </row>
    <row r="750">
      <c r="J750" s="31"/>
    </row>
    <row r="751">
      <c r="J751" s="31"/>
    </row>
    <row r="752">
      <c r="J752" s="31"/>
    </row>
    <row r="753">
      <c r="J753" s="31"/>
    </row>
    <row r="754">
      <c r="J754" s="31"/>
    </row>
    <row r="755">
      <c r="J755" s="31"/>
    </row>
    <row r="756">
      <c r="J756" s="31"/>
    </row>
    <row r="757">
      <c r="J757" s="31"/>
    </row>
    <row r="758">
      <c r="J758" s="31"/>
    </row>
    <row r="759">
      <c r="J759" s="31"/>
    </row>
    <row r="760">
      <c r="J760" s="31"/>
    </row>
    <row r="761">
      <c r="J761" s="31"/>
    </row>
    <row r="762">
      <c r="J762" s="31"/>
    </row>
    <row r="763">
      <c r="J763" s="31"/>
    </row>
    <row r="764">
      <c r="J764" s="31"/>
    </row>
    <row r="765">
      <c r="J765" s="31"/>
    </row>
    <row r="766">
      <c r="J766" s="31"/>
    </row>
    <row r="767">
      <c r="J767" s="31"/>
    </row>
    <row r="768">
      <c r="J768" s="31"/>
    </row>
    <row r="769">
      <c r="J769" s="31"/>
    </row>
    <row r="770">
      <c r="J770" s="31"/>
    </row>
    <row r="771">
      <c r="J771" s="31"/>
    </row>
    <row r="772">
      <c r="J772" s="31"/>
    </row>
    <row r="773">
      <c r="J773" s="31"/>
    </row>
    <row r="774">
      <c r="J774" s="31"/>
    </row>
    <row r="775">
      <c r="J775" s="31"/>
    </row>
    <row r="776">
      <c r="J776" s="31"/>
    </row>
    <row r="777">
      <c r="J777" s="31"/>
    </row>
    <row r="778">
      <c r="J778" s="31"/>
    </row>
    <row r="779">
      <c r="J779" s="31"/>
    </row>
    <row r="780">
      <c r="J780" s="31"/>
    </row>
    <row r="781">
      <c r="J781" s="31"/>
    </row>
    <row r="782">
      <c r="J782" s="31"/>
    </row>
    <row r="783">
      <c r="J783" s="31"/>
    </row>
    <row r="784">
      <c r="J784" s="31"/>
    </row>
    <row r="785">
      <c r="J785" s="31"/>
    </row>
    <row r="786">
      <c r="J786" s="31"/>
    </row>
    <row r="787">
      <c r="J787" s="31"/>
    </row>
    <row r="788">
      <c r="J788" s="31"/>
    </row>
    <row r="789">
      <c r="J789" s="31"/>
    </row>
    <row r="790">
      <c r="J790" s="31"/>
    </row>
    <row r="791">
      <c r="J791" s="31"/>
    </row>
    <row r="792">
      <c r="J792" s="31"/>
    </row>
    <row r="793">
      <c r="J793" s="31"/>
    </row>
    <row r="794">
      <c r="J794" s="31"/>
    </row>
    <row r="795">
      <c r="J795" s="31"/>
    </row>
    <row r="796">
      <c r="J796" s="31"/>
    </row>
    <row r="797">
      <c r="J797" s="31"/>
    </row>
    <row r="798">
      <c r="J798" s="31"/>
    </row>
    <row r="799">
      <c r="J799" s="31"/>
    </row>
    <row r="800">
      <c r="J800" s="31"/>
    </row>
    <row r="801">
      <c r="J801" s="31"/>
    </row>
    <row r="802">
      <c r="J802" s="31"/>
    </row>
    <row r="803">
      <c r="J803" s="31"/>
    </row>
    <row r="804">
      <c r="J804" s="31"/>
    </row>
    <row r="805">
      <c r="J805" s="31"/>
    </row>
    <row r="806">
      <c r="J806" s="31"/>
    </row>
    <row r="807">
      <c r="J807" s="31"/>
    </row>
    <row r="808">
      <c r="J808" s="31"/>
    </row>
    <row r="809">
      <c r="J809" s="31"/>
    </row>
    <row r="810">
      <c r="J810" s="31"/>
    </row>
    <row r="811">
      <c r="J811" s="31"/>
    </row>
    <row r="812">
      <c r="J812" s="31"/>
    </row>
    <row r="813">
      <c r="J813" s="31"/>
    </row>
    <row r="814">
      <c r="J814" s="31"/>
    </row>
    <row r="815">
      <c r="J815" s="31"/>
    </row>
    <row r="816">
      <c r="J816" s="31"/>
    </row>
    <row r="817">
      <c r="J817" s="31"/>
    </row>
    <row r="818">
      <c r="J818" s="31"/>
    </row>
    <row r="819">
      <c r="J819" s="31"/>
    </row>
    <row r="820">
      <c r="J820" s="31"/>
    </row>
    <row r="821">
      <c r="J821" s="31"/>
    </row>
    <row r="822">
      <c r="J822" s="31"/>
    </row>
    <row r="823">
      <c r="J823" s="31"/>
    </row>
    <row r="824">
      <c r="J824" s="31"/>
    </row>
    <row r="825">
      <c r="J825" s="31"/>
    </row>
    <row r="826">
      <c r="J826" s="31"/>
    </row>
    <row r="827">
      <c r="J827" s="31"/>
    </row>
    <row r="828">
      <c r="J828" s="31"/>
    </row>
    <row r="829">
      <c r="J829" s="31"/>
    </row>
    <row r="830">
      <c r="J830" s="31"/>
    </row>
    <row r="831">
      <c r="J831" s="31"/>
    </row>
    <row r="832">
      <c r="J832" s="31"/>
    </row>
    <row r="833">
      <c r="J833" s="31"/>
    </row>
    <row r="834">
      <c r="J834" s="31"/>
    </row>
    <row r="835">
      <c r="J835" s="31"/>
    </row>
    <row r="836">
      <c r="J836" s="31"/>
    </row>
    <row r="837">
      <c r="J837" s="31"/>
    </row>
    <row r="838">
      <c r="J838" s="31"/>
    </row>
    <row r="839">
      <c r="J839" s="31"/>
    </row>
    <row r="840">
      <c r="J840" s="31"/>
    </row>
    <row r="841">
      <c r="J841" s="31"/>
    </row>
    <row r="842">
      <c r="J842" s="31"/>
    </row>
    <row r="843">
      <c r="J843" s="31"/>
    </row>
    <row r="844">
      <c r="J844" s="31"/>
    </row>
    <row r="845">
      <c r="J845" s="31"/>
    </row>
    <row r="846">
      <c r="J846" s="31"/>
    </row>
    <row r="847">
      <c r="J847" s="31"/>
    </row>
    <row r="848">
      <c r="J848" s="31"/>
    </row>
    <row r="849">
      <c r="J849" s="31"/>
    </row>
    <row r="850">
      <c r="J850" s="31"/>
    </row>
    <row r="851">
      <c r="J851" s="31"/>
    </row>
    <row r="852">
      <c r="J852" s="31"/>
    </row>
    <row r="853">
      <c r="J853" s="31"/>
    </row>
    <row r="854">
      <c r="J854" s="31"/>
    </row>
    <row r="855">
      <c r="J855" s="31"/>
    </row>
    <row r="856">
      <c r="J856" s="31"/>
    </row>
    <row r="857">
      <c r="J857" s="31"/>
    </row>
    <row r="858">
      <c r="J858" s="31"/>
    </row>
    <row r="859">
      <c r="J859" s="31"/>
    </row>
    <row r="860">
      <c r="J860" s="31"/>
    </row>
    <row r="861">
      <c r="J861" s="31"/>
    </row>
    <row r="862">
      <c r="J862" s="31"/>
    </row>
    <row r="863">
      <c r="J863" s="31"/>
    </row>
    <row r="864">
      <c r="J864" s="31"/>
    </row>
    <row r="865">
      <c r="J865" s="31"/>
    </row>
    <row r="866">
      <c r="J866" s="31"/>
    </row>
    <row r="867">
      <c r="J867" s="31"/>
    </row>
    <row r="868">
      <c r="J868" s="31"/>
    </row>
    <row r="869">
      <c r="J869" s="31"/>
    </row>
    <row r="870">
      <c r="J870" s="31"/>
    </row>
    <row r="871">
      <c r="J871" s="31"/>
    </row>
    <row r="872">
      <c r="J872" s="31"/>
    </row>
    <row r="873">
      <c r="J873" s="31"/>
    </row>
    <row r="874">
      <c r="J874" s="31"/>
    </row>
    <row r="875">
      <c r="J875" s="31"/>
    </row>
    <row r="876">
      <c r="J876" s="31"/>
    </row>
    <row r="877">
      <c r="J877" s="31"/>
    </row>
    <row r="878">
      <c r="J878" s="31"/>
    </row>
    <row r="879">
      <c r="J879" s="31"/>
    </row>
    <row r="880">
      <c r="J880" s="31"/>
    </row>
    <row r="881">
      <c r="J881" s="31"/>
    </row>
    <row r="882">
      <c r="J882" s="31"/>
    </row>
    <row r="883">
      <c r="J883" s="31"/>
    </row>
    <row r="884">
      <c r="J884" s="31"/>
    </row>
    <row r="885">
      <c r="J885" s="31"/>
    </row>
    <row r="886">
      <c r="J886" s="31"/>
    </row>
    <row r="887">
      <c r="J887" s="31"/>
    </row>
    <row r="888">
      <c r="J888" s="31"/>
    </row>
    <row r="889">
      <c r="J889" s="31"/>
    </row>
    <row r="890">
      <c r="J890" s="31"/>
    </row>
    <row r="891">
      <c r="J891" s="31"/>
    </row>
    <row r="892">
      <c r="J892" s="31"/>
    </row>
    <row r="893">
      <c r="J893" s="31"/>
    </row>
    <row r="894">
      <c r="J894" s="31"/>
    </row>
    <row r="895">
      <c r="J895" s="31"/>
    </row>
    <row r="896">
      <c r="J896" s="31"/>
    </row>
    <row r="897">
      <c r="J897" s="31"/>
    </row>
    <row r="898">
      <c r="J898" s="31"/>
    </row>
    <row r="899">
      <c r="J899" s="31"/>
    </row>
    <row r="900">
      <c r="J900" s="31"/>
    </row>
    <row r="901">
      <c r="J901" s="31"/>
    </row>
    <row r="902">
      <c r="J902" s="31"/>
    </row>
    <row r="903">
      <c r="J903" s="31"/>
    </row>
    <row r="904">
      <c r="J904" s="31"/>
    </row>
    <row r="905">
      <c r="J905" s="31"/>
    </row>
    <row r="906">
      <c r="J906" s="31"/>
    </row>
    <row r="907">
      <c r="J907" s="31"/>
    </row>
    <row r="908">
      <c r="J908" s="31"/>
    </row>
    <row r="909">
      <c r="J909" s="31"/>
    </row>
    <row r="910">
      <c r="J910" s="31"/>
    </row>
    <row r="911">
      <c r="J911" s="31"/>
    </row>
    <row r="912">
      <c r="J912" s="31"/>
    </row>
    <row r="913">
      <c r="J913" s="31"/>
    </row>
    <row r="914">
      <c r="J914" s="31"/>
    </row>
    <row r="915">
      <c r="J915" s="31"/>
    </row>
    <row r="916">
      <c r="J916" s="31"/>
    </row>
    <row r="917">
      <c r="J917" s="31"/>
    </row>
    <row r="918">
      <c r="J918" s="31"/>
    </row>
    <row r="919">
      <c r="J919" s="31"/>
    </row>
    <row r="920">
      <c r="J920" s="31"/>
    </row>
    <row r="921">
      <c r="J921" s="31"/>
    </row>
    <row r="922">
      <c r="J922" s="31"/>
    </row>
    <row r="923">
      <c r="J923" s="31"/>
    </row>
    <row r="924">
      <c r="J924" s="31"/>
    </row>
    <row r="925">
      <c r="J925" s="31"/>
    </row>
    <row r="926">
      <c r="J926" s="31"/>
    </row>
    <row r="927">
      <c r="J927" s="31"/>
    </row>
    <row r="928">
      <c r="J928" s="31"/>
    </row>
    <row r="929">
      <c r="J929" s="31"/>
    </row>
    <row r="930">
      <c r="J930" s="31"/>
    </row>
    <row r="931">
      <c r="J931" s="31"/>
    </row>
    <row r="932">
      <c r="J932" s="31"/>
    </row>
    <row r="933">
      <c r="J933" s="31"/>
    </row>
    <row r="934">
      <c r="J934" s="31"/>
    </row>
    <row r="935">
      <c r="J935" s="31"/>
    </row>
    <row r="936">
      <c r="J936" s="31"/>
    </row>
    <row r="937">
      <c r="J937" s="31"/>
    </row>
    <row r="938">
      <c r="J938" s="31"/>
    </row>
    <row r="939">
      <c r="J939" s="31"/>
    </row>
    <row r="940">
      <c r="J940" s="31"/>
    </row>
    <row r="941">
      <c r="J941" s="31"/>
    </row>
    <row r="942">
      <c r="J942" s="31"/>
    </row>
    <row r="943">
      <c r="J943" s="31"/>
    </row>
    <row r="944">
      <c r="J944" s="31"/>
    </row>
    <row r="945">
      <c r="J945" s="31"/>
    </row>
    <row r="946">
      <c r="J946" s="31"/>
    </row>
    <row r="947">
      <c r="J947" s="31"/>
    </row>
    <row r="948">
      <c r="J948" s="31"/>
    </row>
    <row r="949">
      <c r="J949" s="31"/>
    </row>
    <row r="950">
      <c r="J950" s="31"/>
    </row>
    <row r="951">
      <c r="J951" s="31"/>
    </row>
    <row r="952">
      <c r="J952" s="31"/>
    </row>
    <row r="953">
      <c r="J953" s="31"/>
    </row>
    <row r="954">
      <c r="J954" s="31"/>
    </row>
    <row r="955">
      <c r="J955" s="31"/>
    </row>
    <row r="956">
      <c r="J956" s="31"/>
    </row>
    <row r="957">
      <c r="J957" s="31"/>
    </row>
    <row r="958">
      <c r="J958" s="31"/>
    </row>
    <row r="959">
      <c r="J959" s="31"/>
    </row>
    <row r="960">
      <c r="J960" s="31"/>
    </row>
    <row r="961">
      <c r="J961" s="31"/>
    </row>
    <row r="962">
      <c r="J962" s="31"/>
    </row>
    <row r="963">
      <c r="J963" s="31"/>
    </row>
    <row r="964">
      <c r="J964" s="31"/>
    </row>
    <row r="965">
      <c r="J965" s="31"/>
    </row>
    <row r="966">
      <c r="J966" s="31"/>
    </row>
    <row r="967">
      <c r="J967" s="31"/>
    </row>
    <row r="968">
      <c r="J968" s="31"/>
    </row>
    <row r="969">
      <c r="J969" s="31"/>
    </row>
    <row r="970">
      <c r="J970" s="31"/>
    </row>
    <row r="971">
      <c r="J971" s="31"/>
    </row>
    <row r="972">
      <c r="J972" s="31"/>
    </row>
    <row r="973">
      <c r="J973" s="31"/>
    </row>
    <row r="974">
      <c r="J974" s="31"/>
    </row>
    <row r="975">
      <c r="J975" s="31"/>
    </row>
    <row r="976">
      <c r="J976" s="31"/>
    </row>
    <row r="977">
      <c r="J977" s="31"/>
    </row>
    <row r="978">
      <c r="J978" s="31"/>
    </row>
    <row r="979">
      <c r="J979" s="31"/>
    </row>
    <row r="980">
      <c r="J980" s="31"/>
    </row>
    <row r="981">
      <c r="J981" s="31"/>
    </row>
    <row r="982">
      <c r="J982" s="31"/>
    </row>
    <row r="983">
      <c r="J983" s="31"/>
    </row>
    <row r="984">
      <c r="J984" s="31"/>
    </row>
    <row r="985">
      <c r="J985" s="31"/>
    </row>
    <row r="986">
      <c r="J986" s="31"/>
    </row>
    <row r="987">
      <c r="J987" s="31"/>
    </row>
    <row r="988">
      <c r="J988" s="31"/>
    </row>
    <row r="989">
      <c r="J989" s="31"/>
    </row>
    <row r="990">
      <c r="J990" s="31"/>
    </row>
    <row r="991">
      <c r="J991" s="31"/>
    </row>
    <row r="992">
      <c r="J992" s="31"/>
    </row>
    <row r="993">
      <c r="J993" s="31"/>
    </row>
    <row r="994">
      <c r="J994" s="31"/>
    </row>
    <row r="995">
      <c r="J995" s="31"/>
    </row>
    <row r="996">
      <c r="J996" s="31"/>
    </row>
    <row r="997">
      <c r="J997" s="31"/>
    </row>
    <row r="998">
      <c r="J998" s="31"/>
    </row>
    <row r="999">
      <c r="J999" s="31"/>
    </row>
  </sheetData>
  <mergeCells count="5">
    <mergeCell ref="A1:A2"/>
    <mergeCell ref="B1:B2"/>
    <mergeCell ref="C1:C2"/>
    <mergeCell ref="D1:D2"/>
    <mergeCell ref="E1:E2"/>
  </mergeCells>
  <conditionalFormatting sqref="F3:AU38 AV3:AY31 AV35:AW35">
    <cfRule type="cellIs" dxfId="3" priority="1" operator="equal">
      <formula>1</formula>
    </cfRule>
  </conditionalFormatting>
  <conditionalFormatting sqref="F3:AU38 AV8:AW8 AV35:AW35 AV37:AY37">
    <cfRule type="cellIs" dxfId="4" priority="2" operator="equal">
      <formula>"R"</formula>
    </cfRule>
  </conditionalFormatting>
  <conditionalFormatting sqref="B3:B31 C3:C38 B37">
    <cfRule type="cellIs" dxfId="5" priority="3" operator="greaterThanOrEqual">
      <formula>3</formula>
    </cfRule>
  </conditionalFormatting>
  <conditionalFormatting sqref="B3:B24 B26:B31 B37">
    <cfRule type="cellIs" dxfId="6" priority="4" operator="lessThan">
      <formula>1</formula>
    </cfRule>
  </conditionalFormatting>
  <conditionalFormatting sqref="B3:B32 C3:C41 B37">
    <cfRule type="cellIs" dxfId="7" priority="5" operator="equal">
      <formula>0</formula>
    </cfRule>
  </conditionalFormatting>
  <conditionalFormatting sqref="B3:B31 C3:C38 B37">
    <cfRule type="cellIs" dxfId="8" priority="6" operator="lessThan">
      <formula>2</formula>
    </cfRule>
  </conditionalFormatting>
  <conditionalFormatting sqref="B3:B31 C3:C38 B37">
    <cfRule type="cellIs" dxfId="9" priority="7" operator="lessThan">
      <formula>3</formula>
    </cfRule>
  </conditionalFormatting>
  <conditionalFormatting sqref="B3:B32 C3:C41 B37">
    <cfRule type="containsBlanks" dxfId="6" priority="8">
      <formula>LEN(TRIM(B3))=0</formula>
    </cfRule>
  </conditionalFormatting>
  <conditionalFormatting sqref="F3:AU38 AV8:AW8 AV35:AW35 AV37:AY37">
    <cfRule type="cellIs" dxfId="10" priority="9" operator="equal">
      <formula>"R2"</formula>
    </cfRule>
  </conditionalFormatting>
  <conditionalFormatting sqref="F39:AY41">
    <cfRule type="cellIs" dxfId="7" priority="10" operator="lessThan">
      <formula>1</formula>
    </cfRule>
  </conditionalFormatting>
  <conditionalFormatting sqref="F39:AY39">
    <cfRule type="cellIs" dxfId="3" priority="11" operator="equal">
      <formula>1</formula>
    </cfRule>
  </conditionalFormatting>
  <conditionalFormatting sqref="F39:AY41">
    <cfRule type="cellIs" dxfId="11" priority="12" operator="greaterThan">
      <formula>1</formula>
    </cfRule>
  </conditionalFormatting>
  <conditionalFormatting sqref="D3:E41">
    <cfRule type="cellIs" dxfId="9" priority="13" operator="equal">
      <formula>1</formula>
    </cfRule>
  </conditionalFormatting>
  <conditionalFormatting sqref="F4:AR5 F25:K25 AE25:AY25 AB31:AB36 F33:AA36 AC33:AY36 F38:AY41">
    <cfRule type="cellIs" dxfId="7" priority="14" operator="lessThan">
      <formula>1</formula>
    </cfRule>
  </conditionalFormatting>
  <conditionalFormatting sqref="F4:AR5 F25:K25 AE25:AY25 AB31:AB36 F33:AA36 AC33:AY36 F38:AY41">
    <cfRule type="cellIs" dxfId="12" priority="15" operator="equal">
      <formula>1</formula>
    </cfRule>
  </conditionalFormatting>
  <conditionalFormatting sqref="F4:AR5 F25:K25 AE25:AY25 AB31:AB36 F33:AA36 AC33:AY36 F38:AY41">
    <cfRule type="cellIs" dxfId="11" priority="16" operator="greaterThan">
      <formula>1</formula>
    </cfRule>
  </conditionalFormatting>
  <conditionalFormatting sqref="D3:D41 E3:E38">
    <cfRule type="cellIs" dxfId="7" priority="17" operator="equal">
      <formula>0</formula>
    </cfRule>
  </conditionalFormatting>
  <conditionalFormatting sqref="D3:D41 E3:E38">
    <cfRule type="cellIs" dxfId="4" priority="18" operator="equal">
      <formula>2</formula>
    </cfRule>
  </conditionalFormatting>
  <conditionalFormatting sqref="E3:E41">
    <cfRule type="cellIs" dxfId="7" priority="19" operator="equal">
      <formula>0</formula>
    </cfRule>
  </conditionalFormatting>
  <conditionalFormatting sqref="E3:E41">
    <cfRule type="cellIs" dxfId="4" priority="20" operator="greaterThanOrEqual">
      <formula>2</formula>
    </cfRule>
  </conditionalFormatting>
  <conditionalFormatting sqref="C44">
    <cfRule type="notContainsBlanks" dxfId="3" priority="21">
      <formula>LEN(TRIM(C44))&gt;0</formula>
    </cfRule>
  </conditionalFormatting>
  <conditionalFormatting sqref="AS2:AY2">
    <cfRule type="containsText" dxfId="13" priority="22" operator="containsText" text="(PAM)">
      <formula>NOT(ISERROR(SEARCH(("(PAM)"),(AS2))))</formula>
    </cfRule>
  </conditionalFormatting>
  <conditionalFormatting sqref="AS2:AY2">
    <cfRule type="containsText" dxfId="13" priority="23" operator="containsText" text="(PPM)">
      <formula>NOT(ISERROR(SEARCH(("(PPM)"),(AS2))))</formula>
    </cfRule>
  </conditionalFormatting>
  <conditionalFormatting sqref="F2:AY2">
    <cfRule type="containsText" dxfId="13" priority="24" operator="containsText" text="PAM">
      <formula>NOT(ISERROR(SEARCH(("PAM"),(F2))))</formula>
    </cfRule>
  </conditionalFormatting>
  <conditionalFormatting sqref="F2:AY2">
    <cfRule type="containsText" dxfId="13" priority="25" operator="containsText" text="PPM">
      <formula>NOT(ISERROR(SEARCH(("PPM"),(F2))))</formula>
    </cfRule>
  </conditionalFormatting>
  <conditionalFormatting sqref="F2:AY2">
    <cfRule type="containsText" dxfId="11" priority="26" operator="containsText" text="(AM)">
      <formula>NOT(ISERROR(SEARCH(("(AM)"),(F2))))</formula>
    </cfRule>
  </conditionalFormatting>
  <conditionalFormatting sqref="F2:AY2">
    <cfRule type="containsText" dxfId="7" priority="27" operator="containsText" text="(PM)">
      <formula>NOT(ISERROR(SEARCH(("(PM)"),(F2))))</formula>
    </cfRule>
  </conditionalFormatting>
  <conditionalFormatting sqref="F2:AY2">
    <cfRule type="notContainsText" dxfId="15" priority="28" operator="notContains" text="(AM)">
      <formula>ISERROR(SEARCH(("(AM)"),(F2)))</formula>
    </cfRule>
  </conditionalFormatting>
  <conditionalFormatting sqref="F2:AY2">
    <cfRule type="notContainsText" dxfId="15" priority="29" operator="notContains" text="(PM)">
      <formula>ISERROR(SEARCH(("(PM)"),(F2)))</formula>
    </cfRule>
  </conditionalFormatting>
  <conditionalFormatting sqref="F2:AY2">
    <cfRule type="notContainsText" dxfId="15" priority="30" operator="notContains" text="(PM)">
      <formula>ISERROR(SEARCH(("(PM)"),(F2)))</formula>
    </cfRule>
  </conditionalFormatting>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26.75"/>
    <col customWidth="1" hidden="1" min="2" max="2" width="11.38"/>
    <col customWidth="1" min="4" max="4" width="14.13"/>
    <col customWidth="1" min="6" max="6" width="8.63"/>
    <col customWidth="1" min="7" max="7" width="7.5"/>
    <col customWidth="1" min="8" max="11" width="8.63"/>
    <col customWidth="1" min="12" max="12" width="8.38"/>
    <col customWidth="1" min="13" max="13" width="8.25"/>
    <col customWidth="1" min="14" max="28" width="8.63"/>
    <col customWidth="1" min="29" max="29" width="10.25"/>
    <col customWidth="1" min="30" max="38" width="8.63"/>
    <col customWidth="1" min="39" max="39" width="10.75"/>
    <col customWidth="1" min="40" max="45" width="8.63"/>
    <col customWidth="1" hidden="1" min="46" max="51" width="9.5"/>
  </cols>
  <sheetData>
    <row r="1" ht="25.5" customHeight="1">
      <c r="A1" s="1" t="s">
        <v>0</v>
      </c>
      <c r="B1" s="1" t="s">
        <v>1</v>
      </c>
      <c r="C1" s="1" t="s">
        <v>2</v>
      </c>
      <c r="D1" s="1" t="s">
        <v>3</v>
      </c>
      <c r="E1" s="1" t="s">
        <v>4</v>
      </c>
      <c r="F1" s="2" t="s">
        <v>424</v>
      </c>
      <c r="G1" s="2" t="s">
        <v>425</v>
      </c>
      <c r="H1" s="2" t="s">
        <v>426</v>
      </c>
      <c r="I1" s="2" t="s">
        <v>427</v>
      </c>
      <c r="J1" s="2" t="s">
        <v>420</v>
      </c>
      <c r="K1" s="2" t="s">
        <v>422</v>
      </c>
      <c r="L1" s="2" t="s">
        <v>422</v>
      </c>
      <c r="M1" s="2" t="s">
        <v>423</v>
      </c>
      <c r="N1" s="2" t="s">
        <v>423</v>
      </c>
      <c r="O1" s="2" t="s">
        <v>424</v>
      </c>
      <c r="P1" s="2" t="s">
        <v>425</v>
      </c>
      <c r="Q1" s="2" t="s">
        <v>426</v>
      </c>
      <c r="R1" s="2" t="s">
        <v>427</v>
      </c>
      <c r="S1" s="2" t="s">
        <v>420</v>
      </c>
      <c r="T1" s="2" t="s">
        <v>422</v>
      </c>
      <c r="U1" s="2" t="s">
        <v>422</v>
      </c>
      <c r="V1" s="2" t="s">
        <v>423</v>
      </c>
      <c r="W1" s="2" t="s">
        <v>423</v>
      </c>
      <c r="X1" s="2" t="s">
        <v>424</v>
      </c>
      <c r="Y1" s="2" t="s">
        <v>425</v>
      </c>
      <c r="Z1" s="2" t="s">
        <v>426</v>
      </c>
      <c r="AA1" s="2" t="s">
        <v>427</v>
      </c>
      <c r="AB1" s="2" t="s">
        <v>420</v>
      </c>
      <c r="AC1" s="2" t="s">
        <v>422</v>
      </c>
      <c r="AD1" s="2" t="s">
        <v>422</v>
      </c>
      <c r="AE1" s="2" t="s">
        <v>423</v>
      </c>
      <c r="AF1" s="2" t="s">
        <v>423</v>
      </c>
      <c r="AG1" s="2" t="s">
        <v>424</v>
      </c>
      <c r="AH1" s="2" t="s">
        <v>425</v>
      </c>
      <c r="AI1" s="2" t="s">
        <v>426</v>
      </c>
      <c r="AJ1" s="2" t="s">
        <v>427</v>
      </c>
      <c r="AK1" s="2" t="s">
        <v>427</v>
      </c>
      <c r="AL1" s="2" t="s">
        <v>420</v>
      </c>
      <c r="AM1" s="2" t="s">
        <v>422</v>
      </c>
      <c r="AN1" s="2" t="s">
        <v>422</v>
      </c>
      <c r="AO1" s="2" t="s">
        <v>423</v>
      </c>
      <c r="AP1" s="2" t="s">
        <v>423</v>
      </c>
      <c r="AQ1" s="2" t="s">
        <v>424</v>
      </c>
      <c r="AR1" s="2" t="s">
        <v>425</v>
      </c>
      <c r="AS1" s="2" t="s">
        <v>426</v>
      </c>
      <c r="AT1" s="54" t="s">
        <v>423</v>
      </c>
      <c r="AU1" s="54" t="s">
        <v>424</v>
      </c>
      <c r="AV1" s="54" t="s">
        <v>425</v>
      </c>
      <c r="AW1" s="55" t="s">
        <v>8</v>
      </c>
      <c r="AX1" s="55" t="s">
        <v>7</v>
      </c>
      <c r="AY1" s="55" t="s">
        <v>8</v>
      </c>
    </row>
    <row r="2" ht="25.5" customHeight="1">
      <c r="F2" s="87">
        <v>45992.0</v>
      </c>
      <c r="G2" s="87">
        <v>45993.0</v>
      </c>
      <c r="H2" s="87">
        <v>45994.0</v>
      </c>
      <c r="I2" s="87">
        <v>45995.0</v>
      </c>
      <c r="J2" s="87">
        <v>45996.0</v>
      </c>
      <c r="K2" s="88" t="s">
        <v>567</v>
      </c>
      <c r="L2" s="88" t="s">
        <v>568</v>
      </c>
      <c r="M2" s="88" t="s">
        <v>569</v>
      </c>
      <c r="N2" s="88" t="s">
        <v>570</v>
      </c>
      <c r="O2" s="87">
        <v>45999.0</v>
      </c>
      <c r="P2" s="87">
        <v>46000.0</v>
      </c>
      <c r="Q2" s="87">
        <v>46001.0</v>
      </c>
      <c r="R2" s="87">
        <v>46002.0</v>
      </c>
      <c r="S2" s="87">
        <v>46003.0</v>
      </c>
      <c r="T2" s="88" t="s">
        <v>571</v>
      </c>
      <c r="U2" s="88" t="s">
        <v>572</v>
      </c>
      <c r="V2" s="88" t="s">
        <v>573</v>
      </c>
      <c r="W2" s="88" t="s">
        <v>574</v>
      </c>
      <c r="X2" s="87">
        <v>46006.0</v>
      </c>
      <c r="Y2" s="87">
        <v>46007.0</v>
      </c>
      <c r="Z2" s="87">
        <v>46008.0</v>
      </c>
      <c r="AA2" s="87">
        <v>46009.0</v>
      </c>
      <c r="AB2" s="87">
        <v>46010.0</v>
      </c>
      <c r="AC2" s="88" t="s">
        <v>575</v>
      </c>
      <c r="AD2" s="88" t="s">
        <v>576</v>
      </c>
      <c r="AE2" s="88" t="s">
        <v>577</v>
      </c>
      <c r="AF2" s="88" t="s">
        <v>578</v>
      </c>
      <c r="AG2" s="87">
        <v>46013.0</v>
      </c>
      <c r="AH2" s="87">
        <v>46014.0</v>
      </c>
      <c r="AI2" s="87">
        <v>46015.0</v>
      </c>
      <c r="AJ2" s="88" t="s">
        <v>579</v>
      </c>
      <c r="AK2" s="88" t="s">
        <v>580</v>
      </c>
      <c r="AL2" s="87">
        <v>46017.0</v>
      </c>
      <c r="AM2" s="88" t="s">
        <v>581</v>
      </c>
      <c r="AN2" s="88" t="s">
        <v>582</v>
      </c>
      <c r="AO2" s="88" t="s">
        <v>583</v>
      </c>
      <c r="AP2" s="88" t="s">
        <v>584</v>
      </c>
      <c r="AQ2" s="87">
        <v>46020.0</v>
      </c>
      <c r="AR2" s="87">
        <v>46021.0</v>
      </c>
      <c r="AS2" s="87">
        <v>46022.0</v>
      </c>
      <c r="AT2" s="51"/>
      <c r="AU2" s="51"/>
      <c r="AV2" s="51" t="s">
        <v>252</v>
      </c>
      <c r="AW2" s="51" t="s">
        <v>253</v>
      </c>
      <c r="AX2" s="51" t="s">
        <v>252</v>
      </c>
      <c r="AY2" s="51" t="s">
        <v>253</v>
      </c>
    </row>
    <row r="3">
      <c r="A3" s="39" t="s">
        <v>500</v>
      </c>
      <c r="B3" s="40">
        <f t="shared" ref="B3:B8" si="1">SUM(C3:D3)</f>
        <v>1</v>
      </c>
      <c r="C3" s="10">
        <f t="shared" ref="C3:C17" si="2">SUM(F3:AS3)</f>
        <v>0</v>
      </c>
      <c r="D3" s="11">
        <f t="array" ref="D3">SUM(IF(F3:AS3="R",1,0))</f>
        <v>1</v>
      </c>
      <c r="E3" s="11">
        <f t="array" ref="E3">SUM(IF(F3:AS3="R2",1,0))</f>
        <v>1</v>
      </c>
      <c r="F3" s="21"/>
      <c r="G3" s="16"/>
      <c r="H3" s="16"/>
      <c r="I3" s="16"/>
      <c r="J3" s="21"/>
      <c r="K3" s="78"/>
      <c r="L3" s="84"/>
      <c r="M3" s="78"/>
      <c r="N3" s="21"/>
      <c r="O3" s="21"/>
      <c r="P3" s="21"/>
      <c r="Q3" s="16"/>
      <c r="R3" s="16"/>
      <c r="S3" s="21"/>
      <c r="T3" s="78"/>
      <c r="U3" s="78"/>
      <c r="V3" s="78"/>
      <c r="W3" s="16"/>
      <c r="X3" s="21"/>
      <c r="Y3" s="16"/>
      <c r="Z3" s="16"/>
      <c r="AA3" s="16"/>
      <c r="AB3" s="16"/>
      <c r="AC3" s="78"/>
      <c r="AD3" s="84" t="s">
        <v>40</v>
      </c>
      <c r="AE3" s="84"/>
      <c r="AF3" s="16"/>
      <c r="AG3" s="16"/>
      <c r="AH3" s="16"/>
      <c r="AI3" s="16"/>
      <c r="AJ3" s="24"/>
      <c r="AK3" s="16"/>
      <c r="AL3" s="16"/>
      <c r="AM3" s="78"/>
      <c r="AN3" s="84" t="s">
        <v>39</v>
      </c>
      <c r="AO3" s="78"/>
      <c r="AP3" s="16"/>
      <c r="AQ3" s="16"/>
      <c r="AR3" s="16"/>
      <c r="AS3" s="16"/>
    </row>
    <row r="4">
      <c r="A4" s="25" t="s">
        <v>501</v>
      </c>
      <c r="B4" s="10">
        <f t="shared" si="1"/>
        <v>2</v>
      </c>
      <c r="C4" s="10">
        <f t="shared" si="2"/>
        <v>1</v>
      </c>
      <c r="D4" s="11">
        <f t="array" ref="D4">SUM(IF(F4:AS4="R",1,0))</f>
        <v>1</v>
      </c>
      <c r="E4" s="11">
        <f t="array" ref="E4">SUM(IF(F4:AS4="R2",1,0))</f>
        <v>1</v>
      </c>
      <c r="F4" s="78"/>
      <c r="G4" s="78"/>
      <c r="H4" s="16"/>
      <c r="I4" s="16"/>
      <c r="J4" s="16"/>
      <c r="K4" s="16"/>
      <c r="L4" s="21"/>
      <c r="M4" s="84"/>
      <c r="N4" s="78"/>
      <c r="O4" s="78"/>
      <c r="P4" s="78"/>
      <c r="Q4" s="78"/>
      <c r="R4" s="24" t="s">
        <v>40</v>
      </c>
      <c r="S4" s="78"/>
      <c r="T4" s="78"/>
      <c r="U4" s="78"/>
      <c r="V4" s="78"/>
      <c r="W4" s="78"/>
      <c r="X4" s="78"/>
      <c r="Y4" s="78"/>
      <c r="Z4" s="78"/>
      <c r="AA4" s="24">
        <v>1.0</v>
      </c>
      <c r="AB4" s="78"/>
      <c r="AC4" s="78"/>
      <c r="AD4" s="78"/>
      <c r="AE4" s="78"/>
      <c r="AF4" s="78"/>
      <c r="AG4" s="78"/>
      <c r="AH4" s="78"/>
      <c r="AI4" s="78"/>
      <c r="AJ4" s="78"/>
      <c r="AK4" s="84"/>
      <c r="AL4" s="78"/>
      <c r="AM4" s="84"/>
      <c r="AN4" s="84"/>
      <c r="AO4" s="78"/>
      <c r="AP4" s="78"/>
      <c r="AQ4" s="84" t="s">
        <v>39</v>
      </c>
      <c r="AR4" s="78"/>
      <c r="AS4" s="78"/>
    </row>
    <row r="5">
      <c r="A5" s="25" t="s">
        <v>502</v>
      </c>
      <c r="B5" s="10">
        <f t="shared" si="1"/>
        <v>1</v>
      </c>
      <c r="C5" s="10">
        <f t="shared" si="2"/>
        <v>1</v>
      </c>
      <c r="D5" s="11">
        <f t="array" ref="D5">SUM(IF(F5:AS5="R",1,0))</f>
        <v>0</v>
      </c>
      <c r="E5" s="11">
        <f t="array" ref="E5">SUM(IF(F5:AS5="R2",1,0))</f>
        <v>2</v>
      </c>
      <c r="F5" s="78"/>
      <c r="G5" s="78"/>
      <c r="H5" s="16"/>
      <c r="I5" s="16"/>
      <c r="J5" s="21"/>
      <c r="K5" s="16"/>
      <c r="L5" s="16"/>
      <c r="M5" s="78"/>
      <c r="N5" s="78"/>
      <c r="O5" s="84" t="s">
        <v>40</v>
      </c>
      <c r="P5" s="84"/>
      <c r="Q5" s="78"/>
      <c r="R5" s="78"/>
      <c r="S5" s="84" t="s">
        <v>40</v>
      </c>
      <c r="T5" s="78"/>
      <c r="U5" s="78"/>
      <c r="V5" s="78"/>
      <c r="W5" s="84"/>
      <c r="X5" s="78"/>
      <c r="Y5" s="78"/>
      <c r="Z5" s="78"/>
      <c r="AA5" s="78"/>
      <c r="AB5" s="21"/>
      <c r="AC5" s="78"/>
      <c r="AD5" s="78"/>
      <c r="AE5" s="84"/>
      <c r="AF5" s="78"/>
      <c r="AG5" s="21"/>
      <c r="AH5" s="16"/>
      <c r="AI5" s="16"/>
      <c r="AJ5" s="16"/>
      <c r="AK5" s="16"/>
      <c r="AL5" s="16"/>
      <c r="AM5" s="84"/>
      <c r="AN5" s="78"/>
      <c r="AO5" s="84"/>
      <c r="AP5" s="78"/>
      <c r="AQ5" s="21"/>
      <c r="AR5" s="78"/>
      <c r="AS5" s="84">
        <v>1.0</v>
      </c>
    </row>
    <row r="6">
      <c r="A6" s="14" t="s">
        <v>503</v>
      </c>
      <c r="B6" s="10">
        <f t="shared" si="1"/>
        <v>2</v>
      </c>
      <c r="C6" s="10">
        <f t="shared" si="2"/>
        <v>1</v>
      </c>
      <c r="D6" s="11">
        <f t="array" ref="D6">SUM(IF(F6:AS6="R",1,0))</f>
        <v>1</v>
      </c>
      <c r="E6" s="11">
        <f t="array" ref="E6">SUM(IF(F6:AS6="R2",1,0))</f>
        <v>0</v>
      </c>
      <c r="F6" s="78"/>
      <c r="G6" s="84">
        <v>1.0</v>
      </c>
      <c r="H6" s="16"/>
      <c r="I6" s="16"/>
      <c r="J6" s="16"/>
      <c r="K6" s="21"/>
      <c r="L6" s="21"/>
      <c r="M6" s="84"/>
      <c r="N6" s="84" t="s">
        <v>39</v>
      </c>
      <c r="O6" s="16"/>
      <c r="P6" s="16"/>
      <c r="Q6" s="16"/>
      <c r="R6" s="16"/>
      <c r="S6" s="16"/>
      <c r="T6" s="16"/>
      <c r="U6" s="16"/>
      <c r="V6" s="21"/>
      <c r="W6" s="16"/>
      <c r="X6" s="16"/>
      <c r="Y6" s="16"/>
      <c r="Z6" s="78"/>
      <c r="AA6" s="78"/>
      <c r="AB6" s="16"/>
      <c r="AC6" s="16"/>
      <c r="AD6" s="16"/>
      <c r="AE6" s="16"/>
      <c r="AF6" s="21"/>
      <c r="AG6" s="16"/>
      <c r="AH6" s="16"/>
      <c r="AI6" s="16"/>
      <c r="AJ6" s="16"/>
      <c r="AK6" s="16"/>
      <c r="AL6" s="16"/>
      <c r="AM6" s="16"/>
      <c r="AN6" s="16"/>
      <c r="AO6" s="21"/>
      <c r="AP6" s="16"/>
      <c r="AQ6" s="16"/>
      <c r="AR6" s="16"/>
      <c r="AS6" s="16"/>
    </row>
    <row r="7">
      <c r="A7" s="14" t="s">
        <v>504</v>
      </c>
      <c r="B7" s="10">
        <f t="shared" si="1"/>
        <v>2</v>
      </c>
      <c r="C7" s="10">
        <f t="shared" si="2"/>
        <v>1</v>
      </c>
      <c r="D7" s="11">
        <f t="array" ref="D7">SUM(IF(F7:AS7="R",1,0))</f>
        <v>1</v>
      </c>
      <c r="E7" s="11">
        <f t="array" ref="E7">SUM(IF(F7:AS7="R2",1,0))</f>
        <v>1</v>
      </c>
      <c r="F7" s="16"/>
      <c r="G7" s="21"/>
      <c r="H7" s="16"/>
      <c r="I7" s="16"/>
      <c r="J7" s="16"/>
      <c r="K7" s="21"/>
      <c r="L7" s="16"/>
      <c r="M7" s="78"/>
      <c r="N7" s="84">
        <v>1.0</v>
      </c>
      <c r="O7" s="78"/>
      <c r="P7" s="16"/>
      <c r="Q7" s="16"/>
      <c r="R7" s="16"/>
      <c r="S7" s="16"/>
      <c r="T7" s="21"/>
      <c r="U7" s="16"/>
      <c r="V7" s="16"/>
      <c r="W7" s="16"/>
      <c r="X7" s="16"/>
      <c r="Y7" s="78"/>
      <c r="Z7" s="78"/>
      <c r="AA7" s="78"/>
      <c r="AB7" s="21"/>
      <c r="AC7" s="78"/>
      <c r="AD7" s="78"/>
      <c r="AE7" s="78"/>
      <c r="AF7" s="78"/>
      <c r="AG7" s="21"/>
      <c r="AH7" s="84" t="s">
        <v>39</v>
      </c>
      <c r="AI7" s="16"/>
      <c r="AJ7" s="16"/>
      <c r="AK7" s="16"/>
      <c r="AL7" s="16"/>
      <c r="AM7" s="78"/>
      <c r="AN7" s="78"/>
      <c r="AO7" s="84"/>
      <c r="AP7" s="78"/>
      <c r="AQ7" s="78"/>
      <c r="AR7" s="84" t="s">
        <v>40</v>
      </c>
      <c r="AS7" s="16"/>
    </row>
    <row r="8">
      <c r="A8" s="122" t="s">
        <v>505</v>
      </c>
      <c r="B8" s="10">
        <f t="shared" si="1"/>
        <v>2</v>
      </c>
      <c r="C8" s="10">
        <f t="shared" si="2"/>
        <v>1</v>
      </c>
      <c r="D8" s="11">
        <f t="array" ref="D8">SUM(IF(F8:AS8="R",1,0))</f>
        <v>1</v>
      </c>
      <c r="E8" s="11">
        <f t="array" ref="E8">SUM(IF(F8:AS8="R2",1,0))</f>
        <v>2</v>
      </c>
      <c r="F8" s="78"/>
      <c r="G8" s="84"/>
      <c r="H8" s="16"/>
      <c r="I8" s="16"/>
      <c r="J8" s="16"/>
      <c r="K8" s="16"/>
      <c r="L8" s="16"/>
      <c r="M8" s="78"/>
      <c r="N8" s="84" t="s">
        <v>40</v>
      </c>
      <c r="O8" s="16"/>
      <c r="P8" s="16"/>
      <c r="Q8" s="16"/>
      <c r="R8" s="78"/>
      <c r="S8" s="78"/>
      <c r="T8" s="78"/>
      <c r="U8" s="24">
        <v>1.0</v>
      </c>
      <c r="V8" s="78"/>
      <c r="W8" s="84" t="s">
        <v>39</v>
      </c>
      <c r="X8" s="16"/>
      <c r="Y8" s="78"/>
      <c r="Z8" s="78"/>
      <c r="AA8" s="84"/>
      <c r="AB8" s="84" t="s">
        <v>40</v>
      </c>
      <c r="AC8" s="78"/>
      <c r="AD8" s="78"/>
      <c r="AE8" s="78"/>
      <c r="AF8" s="84"/>
      <c r="AG8" s="16"/>
      <c r="AH8" s="16"/>
      <c r="AI8" s="16"/>
      <c r="AJ8" s="16"/>
      <c r="AK8" s="16"/>
      <c r="AL8" s="16"/>
      <c r="AM8" s="16"/>
      <c r="AN8" s="16"/>
      <c r="AO8" s="16"/>
      <c r="AP8" s="16"/>
      <c r="AQ8" s="16"/>
      <c r="AR8" s="16"/>
      <c r="AS8" s="16"/>
    </row>
    <row r="9">
      <c r="A9" s="27" t="s">
        <v>585</v>
      </c>
      <c r="B9" s="10"/>
      <c r="C9" s="10">
        <f t="shared" si="2"/>
        <v>1</v>
      </c>
      <c r="D9" s="11">
        <f t="array" ref="D9">SUM(IF(F9:AS9="R",1,0))</f>
        <v>2</v>
      </c>
      <c r="E9" s="11">
        <f t="array" ref="E9">SUM(IF(F9:AS9="R2",1,0))</f>
        <v>0</v>
      </c>
      <c r="F9" s="24">
        <v>1.0</v>
      </c>
      <c r="G9" s="24"/>
      <c r="H9" s="16"/>
      <c r="I9" s="16"/>
      <c r="J9" s="16"/>
      <c r="K9" s="16"/>
      <c r="L9" s="16"/>
      <c r="M9" s="78"/>
      <c r="N9" s="78"/>
      <c r="O9" s="24" t="s">
        <v>39</v>
      </c>
      <c r="P9" s="121"/>
      <c r="Q9" s="121"/>
      <c r="R9" s="121"/>
      <c r="S9" s="78"/>
      <c r="T9" s="78"/>
      <c r="U9" s="78"/>
      <c r="V9" s="84"/>
      <c r="W9" s="84"/>
      <c r="X9" s="121"/>
      <c r="Y9" s="24" t="s">
        <v>39</v>
      </c>
      <c r="Z9" s="121"/>
      <c r="AA9" s="24"/>
      <c r="AB9" s="16"/>
      <c r="AC9" s="16"/>
      <c r="AD9" s="21"/>
      <c r="AE9" s="16"/>
      <c r="AF9" s="16"/>
      <c r="AG9" s="16"/>
      <c r="AH9" s="16"/>
      <c r="AI9" s="16"/>
      <c r="AJ9" s="16"/>
      <c r="AK9" s="16"/>
      <c r="AL9" s="21"/>
      <c r="AM9" s="16"/>
      <c r="AN9" s="21"/>
      <c r="AO9" s="16"/>
      <c r="AP9" s="16"/>
      <c r="AR9" s="16"/>
      <c r="AS9" s="16"/>
    </row>
    <row r="10">
      <c r="A10" s="125" t="s">
        <v>586</v>
      </c>
      <c r="B10" s="10">
        <f>SUM(C10:D10)</f>
        <v>3</v>
      </c>
      <c r="C10" s="10">
        <f t="shared" si="2"/>
        <v>1</v>
      </c>
      <c r="D10" s="11">
        <f t="array" ref="D10">SUM(IF(F10:AS10="R",1,0))</f>
        <v>2</v>
      </c>
      <c r="E10" s="11">
        <f t="array" ref="E10">SUM(IF(F10:AS10="R2",1,0))</f>
        <v>2</v>
      </c>
      <c r="F10" s="84"/>
      <c r="G10" s="78"/>
      <c r="H10" s="78"/>
      <c r="I10" s="84">
        <v>1.0</v>
      </c>
      <c r="J10" s="78"/>
      <c r="K10" s="78"/>
      <c r="L10" s="84" t="s">
        <v>39</v>
      </c>
      <c r="M10" s="78"/>
      <c r="N10" s="78"/>
      <c r="O10" s="84"/>
      <c r="P10" s="84" t="s">
        <v>39</v>
      </c>
      <c r="Q10" s="78"/>
      <c r="R10" s="78"/>
      <c r="S10" s="78"/>
      <c r="T10" s="78"/>
      <c r="U10" s="84"/>
      <c r="V10" s="78"/>
      <c r="W10" s="78"/>
      <c r="X10" s="78"/>
      <c r="Y10" s="78"/>
      <c r="Z10" s="78"/>
      <c r="AA10" s="78"/>
      <c r="AB10" s="78"/>
      <c r="AC10" s="78"/>
      <c r="AD10" s="78"/>
      <c r="AE10" s="84"/>
      <c r="AF10" s="78"/>
      <c r="AG10" s="78"/>
      <c r="AH10" s="78"/>
      <c r="AI10" s="78"/>
      <c r="AJ10" s="78"/>
      <c r="AK10" s="84" t="s">
        <v>40</v>
      </c>
      <c r="AL10" s="78"/>
      <c r="AM10" s="84"/>
      <c r="AN10" s="78"/>
      <c r="AO10" s="78"/>
      <c r="AP10" s="78"/>
      <c r="AQ10" s="16"/>
      <c r="AR10" s="78"/>
      <c r="AS10" s="84" t="s">
        <v>40</v>
      </c>
    </row>
    <row r="11">
      <c r="A11" s="141" t="s">
        <v>507</v>
      </c>
      <c r="B11" s="10"/>
      <c r="C11" s="10">
        <f t="shared" si="2"/>
        <v>1</v>
      </c>
      <c r="D11" s="11">
        <f t="array" ref="D11">SUM(IF(F11:AS11="R",1,0))</f>
        <v>1</v>
      </c>
      <c r="E11" s="11">
        <f t="array" ref="E11">SUM(IF(F11:AS11="R2",1,0))</f>
        <v>2</v>
      </c>
      <c r="F11" s="78"/>
      <c r="G11" s="78"/>
      <c r="H11" s="16"/>
      <c r="I11" s="16"/>
      <c r="J11" s="16"/>
      <c r="K11" s="16"/>
      <c r="L11" s="21"/>
      <c r="M11" s="78"/>
      <c r="N11" s="84"/>
      <c r="O11" s="84"/>
      <c r="P11" s="84"/>
      <c r="Q11" s="43"/>
      <c r="R11" s="43"/>
      <c r="S11" s="43"/>
      <c r="T11" s="43"/>
      <c r="U11" s="95"/>
      <c r="V11" s="43"/>
      <c r="W11" s="43"/>
      <c r="X11" s="43"/>
      <c r="Y11" s="43"/>
      <c r="Z11" s="43"/>
      <c r="AA11" s="43"/>
      <c r="AB11" s="95"/>
      <c r="AC11" s="43"/>
      <c r="AD11" s="43"/>
      <c r="AE11" s="95"/>
      <c r="AF11" s="43"/>
      <c r="AG11" s="43"/>
      <c r="AH11" s="84" t="s">
        <v>40</v>
      </c>
      <c r="AI11" s="78"/>
      <c r="AJ11" s="84"/>
      <c r="AK11" s="78"/>
      <c r="AL11" s="84" t="s">
        <v>40</v>
      </c>
      <c r="AM11" s="84"/>
      <c r="AN11" s="78"/>
      <c r="AO11" s="84"/>
      <c r="AP11" s="78"/>
      <c r="AQ11" s="84">
        <v>1.0</v>
      </c>
      <c r="AR11" s="78"/>
      <c r="AS11" s="84" t="s">
        <v>39</v>
      </c>
    </row>
    <row r="12">
      <c r="A12" s="126" t="s">
        <v>508</v>
      </c>
      <c r="B12" s="10"/>
      <c r="C12" s="10">
        <f t="shared" si="2"/>
        <v>1</v>
      </c>
      <c r="D12" s="11">
        <f t="array" ref="D12">SUM(IF(F12:AS12="R",1,0))</f>
        <v>1</v>
      </c>
      <c r="E12" s="11">
        <f t="array" ref="E12">SUM(IF(F12:AS12="R2",1,0))</f>
        <v>2</v>
      </c>
      <c r="F12" s="78"/>
      <c r="G12" s="16"/>
      <c r="H12" s="16"/>
      <c r="I12" s="16"/>
      <c r="J12" s="16"/>
      <c r="K12" s="16"/>
      <c r="L12" s="16"/>
      <c r="M12" s="78"/>
      <c r="N12" s="78"/>
      <c r="O12" s="78"/>
      <c r="P12" s="24" t="s">
        <v>40</v>
      </c>
      <c r="Q12" s="16"/>
      <c r="R12" s="16"/>
      <c r="S12" s="21"/>
      <c r="T12" s="16"/>
      <c r="U12" s="21"/>
      <c r="V12" s="16"/>
      <c r="W12" s="16"/>
      <c r="X12" s="78"/>
      <c r="Y12" s="24" t="s">
        <v>40</v>
      </c>
      <c r="Z12" s="78"/>
      <c r="AA12" s="121"/>
      <c r="AB12" s="78"/>
      <c r="AC12" s="78"/>
      <c r="AD12" s="78"/>
      <c r="AE12" s="78"/>
      <c r="AF12" s="78"/>
      <c r="AG12" s="84"/>
      <c r="AH12" s="121"/>
      <c r="AI12" s="78"/>
      <c r="AJ12" s="121"/>
      <c r="AK12" s="24">
        <v>1.0</v>
      </c>
      <c r="AL12" s="78"/>
      <c r="AM12" s="78"/>
      <c r="AN12" s="78"/>
      <c r="AO12" s="78"/>
      <c r="AP12" s="84" t="s">
        <v>39</v>
      </c>
      <c r="AQ12" s="78"/>
      <c r="AR12" s="24"/>
      <c r="AS12" s="78"/>
    </row>
    <row r="13">
      <c r="A13" s="127" t="s">
        <v>509</v>
      </c>
      <c r="B13" s="10"/>
      <c r="C13" s="10">
        <f t="shared" si="2"/>
        <v>0</v>
      </c>
      <c r="D13" s="11">
        <f t="array" ref="D13">SUM(IF(F13:AS13="R",1,0))</f>
        <v>0</v>
      </c>
      <c r="E13" s="11">
        <f t="array" ref="E13">SUM(IF(F13:AS13="R2",1,0))</f>
        <v>0</v>
      </c>
      <c r="F13" s="78"/>
      <c r="G13" s="78"/>
      <c r="H13" s="78"/>
      <c r="I13" s="78"/>
      <c r="J13" s="78"/>
      <c r="K13" s="78"/>
      <c r="L13" s="84"/>
      <c r="M13" s="78"/>
      <c r="N13" s="84"/>
      <c r="O13" s="78"/>
      <c r="P13" s="78"/>
      <c r="X13" s="78"/>
      <c r="Y13" s="84"/>
      <c r="Z13" s="78"/>
      <c r="AA13" s="78"/>
      <c r="AB13" s="78"/>
      <c r="AC13" s="78"/>
      <c r="AD13" s="78"/>
      <c r="AE13" s="78"/>
      <c r="AF13" s="78"/>
      <c r="AG13" s="78"/>
      <c r="AH13" s="78"/>
      <c r="AI13" s="78"/>
      <c r="AJ13" s="78"/>
      <c r="AK13" s="78"/>
      <c r="AL13" s="84"/>
      <c r="AM13" s="78"/>
      <c r="AN13" s="78"/>
      <c r="AO13" s="78"/>
      <c r="AP13" s="78"/>
      <c r="AQ13" s="78"/>
      <c r="AR13" s="78"/>
      <c r="AS13" s="78"/>
    </row>
    <row r="14">
      <c r="A14" s="128" t="s">
        <v>510</v>
      </c>
      <c r="B14" s="10">
        <f>SUM(C14:D14)</f>
        <v>2</v>
      </c>
      <c r="C14" s="10">
        <f t="shared" si="2"/>
        <v>1</v>
      </c>
      <c r="D14" s="11">
        <f t="array" ref="D14">SUM(IF(F14:AS14="R",1,0))</f>
        <v>1</v>
      </c>
      <c r="E14" s="11">
        <f t="array" ref="E14">SUM(IF(F14:AS14="R2",1,0))</f>
        <v>1</v>
      </c>
      <c r="F14" s="78"/>
      <c r="G14" s="78"/>
      <c r="H14" s="78"/>
      <c r="I14" s="78"/>
      <c r="J14" s="78"/>
      <c r="K14" s="78"/>
      <c r="L14" s="78"/>
      <c r="M14" s="78"/>
      <c r="N14" s="78"/>
      <c r="O14" s="84"/>
      <c r="P14" s="78"/>
      <c r="Q14" s="84"/>
      <c r="R14" s="78"/>
      <c r="S14" s="78"/>
      <c r="T14" s="84"/>
      <c r="U14" s="78"/>
      <c r="V14" s="78"/>
      <c r="W14" s="78"/>
      <c r="X14" s="84"/>
      <c r="Y14" s="78"/>
      <c r="Z14" s="84"/>
      <c r="AA14" s="78"/>
      <c r="AB14" s="78"/>
      <c r="AC14" s="78"/>
      <c r="AD14" s="78"/>
      <c r="AE14" s="84" t="s">
        <v>39</v>
      </c>
      <c r="AF14" s="78"/>
      <c r="AG14" s="84"/>
      <c r="AH14" s="78"/>
      <c r="AI14" s="78"/>
      <c r="AJ14" s="84">
        <v>1.0</v>
      </c>
      <c r="AK14" s="78"/>
      <c r="AL14" s="78"/>
      <c r="AM14" s="84" t="s">
        <v>40</v>
      </c>
      <c r="AN14" s="78"/>
      <c r="AO14" s="78"/>
      <c r="AP14" s="78"/>
      <c r="AQ14" s="78"/>
      <c r="AR14" s="84"/>
      <c r="AS14" s="78"/>
    </row>
    <row r="15">
      <c r="A15" s="20" t="s">
        <v>471</v>
      </c>
      <c r="B15" s="10"/>
      <c r="C15" s="10">
        <f t="shared" si="2"/>
        <v>1</v>
      </c>
      <c r="D15" s="11">
        <f t="array" ref="D15">SUM(IF(F15:AS15="R",1,0))</f>
        <v>1</v>
      </c>
      <c r="E15" s="11">
        <f t="array" ref="E15">SUM(IF(F15:AS15="R2",1,0))</f>
        <v>2</v>
      </c>
      <c r="F15" s="84" t="s">
        <v>40</v>
      </c>
      <c r="G15" s="78"/>
      <c r="H15" s="16"/>
      <c r="I15" s="21"/>
      <c r="J15" s="16"/>
      <c r="K15" s="16"/>
      <c r="L15" s="16"/>
      <c r="M15" s="78"/>
      <c r="N15" s="84"/>
      <c r="O15" s="78"/>
      <c r="P15" s="78"/>
      <c r="Q15" s="84" t="s">
        <v>39</v>
      </c>
      <c r="R15" s="84"/>
      <c r="S15" s="78"/>
      <c r="T15" s="78"/>
      <c r="U15" s="78"/>
      <c r="V15" s="78"/>
      <c r="W15" s="78"/>
      <c r="X15" s="84">
        <v>1.0</v>
      </c>
      <c r="Y15" s="78"/>
      <c r="Z15" s="78"/>
      <c r="AA15" s="78"/>
      <c r="AB15" s="78"/>
      <c r="AC15" s="78"/>
      <c r="AD15" s="78"/>
      <c r="AE15" s="78"/>
      <c r="AF15" s="84" t="s">
        <v>40</v>
      </c>
      <c r="AG15" s="16"/>
      <c r="AH15" s="21"/>
      <c r="AI15" s="16"/>
      <c r="AJ15" s="16"/>
      <c r="AK15" s="16"/>
      <c r="AL15" s="16"/>
      <c r="AM15" s="16"/>
      <c r="AN15" s="16"/>
      <c r="AO15" s="16"/>
      <c r="AP15" s="16"/>
      <c r="AQ15" s="16"/>
      <c r="AR15" s="16"/>
      <c r="AS15" s="16"/>
    </row>
    <row r="16" ht="15.0" customHeight="1">
      <c r="A16" s="26" t="s">
        <v>511</v>
      </c>
      <c r="B16" s="10">
        <f>SUM(C16:D16)</f>
        <v>2</v>
      </c>
      <c r="C16" s="10">
        <f t="shared" si="2"/>
        <v>1</v>
      </c>
      <c r="D16" s="11">
        <f t="array" ref="D16">SUM(IF(F16:AS16="R",1,0))</f>
        <v>1</v>
      </c>
      <c r="E16" s="11">
        <f t="array" ref="E16">SUM(IF(F16:AS16="R2",1,0))</f>
        <v>1</v>
      </c>
      <c r="F16" s="84"/>
      <c r="G16" s="78"/>
      <c r="H16" s="78"/>
      <c r="I16" s="78"/>
      <c r="J16" s="78"/>
      <c r="K16" s="142"/>
      <c r="L16" s="143"/>
      <c r="M16" s="134" t="s">
        <v>40</v>
      </c>
      <c r="N16" s="143"/>
      <c r="O16" s="142"/>
      <c r="P16" s="143"/>
      <c r="Q16" s="142"/>
      <c r="R16" s="78"/>
      <c r="S16" s="78"/>
      <c r="T16" s="78"/>
      <c r="U16" s="78"/>
      <c r="V16" s="24">
        <v>1.0</v>
      </c>
      <c r="W16" s="78"/>
      <c r="X16" s="84"/>
      <c r="Y16" s="78"/>
      <c r="Z16" s="144"/>
      <c r="AA16" s="145"/>
      <c r="AB16" s="144"/>
      <c r="AC16" s="145"/>
      <c r="AD16" s="144"/>
      <c r="AE16" s="144"/>
      <c r="AF16" s="144"/>
      <c r="AG16" s="78"/>
      <c r="AH16" s="78"/>
      <c r="AI16" s="84"/>
      <c r="AJ16" s="78"/>
      <c r="AK16" s="78"/>
      <c r="AL16" s="78"/>
      <c r="AM16" s="84" t="s">
        <v>39</v>
      </c>
      <c r="AN16" s="78"/>
      <c r="AO16" s="78"/>
      <c r="AP16" s="78"/>
      <c r="AQ16" s="78"/>
      <c r="AR16" s="78"/>
      <c r="AS16" s="78"/>
    </row>
    <row r="17" hidden="1">
      <c r="A17" s="26" t="s">
        <v>512</v>
      </c>
      <c r="B17" s="10"/>
      <c r="C17" s="10">
        <f t="shared" si="2"/>
        <v>0</v>
      </c>
      <c r="D17" s="11">
        <f t="array" ref="D17">SUM(IF(F17:AS17="R",1,0))</f>
        <v>0</v>
      </c>
      <c r="E17" s="11">
        <f t="array" ref="E17">SUM(IF(F17:AS17="R2",1,0))</f>
        <v>0</v>
      </c>
      <c r="F17" s="78"/>
      <c r="G17" s="78"/>
      <c r="H17" s="78"/>
      <c r="I17" s="78"/>
      <c r="J17" s="78"/>
      <c r="K17" s="142"/>
      <c r="L17" s="143"/>
      <c r="M17" s="143"/>
      <c r="N17" s="143"/>
      <c r="O17" s="143"/>
      <c r="P17" s="143"/>
      <c r="Q17" s="143"/>
      <c r="R17" s="78"/>
      <c r="S17" s="78"/>
      <c r="T17" s="78"/>
      <c r="U17" s="78"/>
      <c r="V17" s="78"/>
      <c r="W17" s="78"/>
      <c r="X17" s="78"/>
      <c r="Y17" s="78"/>
      <c r="Z17" s="144"/>
      <c r="AA17" s="144"/>
      <c r="AB17" s="144"/>
      <c r="AC17" s="144"/>
      <c r="AD17" s="144"/>
      <c r="AE17" s="144"/>
      <c r="AF17" s="144"/>
      <c r="AG17" s="78"/>
      <c r="AH17" s="78"/>
      <c r="AI17" s="78"/>
      <c r="AJ17" s="78"/>
      <c r="AK17" s="78"/>
      <c r="AL17" s="78"/>
      <c r="AM17" s="84"/>
      <c r="AN17" s="78"/>
      <c r="AO17" s="78"/>
      <c r="AP17" s="78"/>
      <c r="AQ17" s="78"/>
      <c r="AR17" s="78"/>
      <c r="AS17" s="78"/>
    </row>
    <row r="18">
      <c r="A18" s="22" t="s">
        <v>550</v>
      </c>
      <c r="B18" s="10">
        <f t="shared" ref="B18:B20" si="3">SUM(C18:D18)</f>
        <v>3</v>
      </c>
      <c r="C18" s="10">
        <f>SUM(H18:AS18)</f>
        <v>2</v>
      </c>
      <c r="D18" s="11">
        <f t="array" ref="D18">SUM(IF(F18:AS18="R",1,0))</f>
        <v>1</v>
      </c>
      <c r="E18" s="11">
        <f t="array" ref="E18">SUM(IF(F18:AS18="R2",1,0))</f>
        <v>1</v>
      </c>
      <c r="F18" s="121"/>
      <c r="G18" s="78"/>
      <c r="H18" s="24" t="s">
        <v>39</v>
      </c>
      <c r="I18" s="78"/>
      <c r="J18" s="16"/>
      <c r="K18" s="16"/>
      <c r="L18" s="16"/>
      <c r="M18" s="121"/>
      <c r="N18" s="24"/>
      <c r="O18" s="121"/>
      <c r="P18" s="78"/>
      <c r="Q18" s="16"/>
      <c r="R18" s="16"/>
      <c r="S18" s="84"/>
      <c r="T18" s="84"/>
      <c r="U18" s="78"/>
      <c r="V18" s="121"/>
      <c r="W18" s="121"/>
      <c r="X18" s="24" t="s">
        <v>40</v>
      </c>
      <c r="Y18" s="78"/>
      <c r="Z18" s="121"/>
      <c r="AA18" s="78"/>
      <c r="AB18" s="78"/>
      <c r="AC18" s="78"/>
      <c r="AD18" s="78"/>
      <c r="AE18" s="121"/>
      <c r="AF18" s="24">
        <v>1.0</v>
      </c>
      <c r="AG18" s="121"/>
      <c r="AH18" s="78"/>
      <c r="AI18" s="121"/>
      <c r="AJ18" s="78"/>
      <c r="AK18" s="78"/>
      <c r="AL18" s="78"/>
      <c r="AM18" s="84"/>
      <c r="AN18" s="78"/>
      <c r="AO18" s="121"/>
      <c r="AP18" s="24">
        <v>1.0</v>
      </c>
      <c r="AQ18" s="24"/>
      <c r="AR18" s="78"/>
      <c r="AS18" s="24"/>
    </row>
    <row r="19">
      <c r="A19" s="25" t="s">
        <v>551</v>
      </c>
      <c r="B19" s="10">
        <f t="shared" si="3"/>
        <v>4</v>
      </c>
      <c r="C19" s="10">
        <f t="shared" ref="C19:C22" si="4">SUM(F19:AS19)</f>
        <v>2</v>
      </c>
      <c r="D19" s="11">
        <f t="array" ref="D19">SUM(IF(F19:AS19="R",1,0))</f>
        <v>2</v>
      </c>
      <c r="E19" s="11">
        <f t="array" ref="E19">SUM(IF(F19:AS19="R2",1,0))</f>
        <v>1</v>
      </c>
      <c r="F19" s="78"/>
      <c r="G19" s="24" t="s">
        <v>39</v>
      </c>
      <c r="H19" s="16"/>
      <c r="I19" s="16"/>
      <c r="J19" s="16"/>
      <c r="K19" s="16"/>
      <c r="L19" s="21"/>
      <c r="M19" s="78"/>
      <c r="N19" s="78"/>
      <c r="O19" s="78"/>
      <c r="P19" s="121"/>
      <c r="Q19" s="78"/>
      <c r="R19" s="24">
        <v>1.0</v>
      </c>
      <c r="S19" s="84"/>
      <c r="T19" s="84"/>
      <c r="U19" s="78"/>
      <c r="V19" s="78"/>
      <c r="W19" s="78"/>
      <c r="X19" s="78"/>
      <c r="Y19" s="121"/>
      <c r="Z19" s="78"/>
      <c r="AA19" s="24" t="s">
        <v>40</v>
      </c>
      <c r="AB19" s="84"/>
      <c r="AC19" s="78"/>
      <c r="AD19" s="78"/>
      <c r="AE19" s="84"/>
      <c r="AF19" s="78"/>
      <c r="AG19" s="78"/>
      <c r="AH19" s="24">
        <v>1.0</v>
      </c>
      <c r="AI19" s="78"/>
      <c r="AJ19" s="84" t="s">
        <v>39</v>
      </c>
      <c r="AK19" s="84"/>
      <c r="AL19" s="84"/>
      <c r="AM19" s="84"/>
      <c r="AN19" s="84"/>
      <c r="AO19" s="78"/>
      <c r="AP19" s="78"/>
      <c r="AQ19" s="16"/>
      <c r="AR19" s="16"/>
      <c r="AS19" s="16"/>
    </row>
    <row r="20">
      <c r="A20" s="26" t="s">
        <v>513</v>
      </c>
      <c r="B20" s="10">
        <f t="shared" si="3"/>
        <v>4</v>
      </c>
      <c r="C20" s="10">
        <f t="shared" si="4"/>
        <v>2</v>
      </c>
      <c r="D20" s="11">
        <f t="array" ref="D20">SUM(IF(F20:AS20="R",1,0))</f>
        <v>2</v>
      </c>
      <c r="E20" s="11">
        <f t="array" ref="E20">SUM(IF(F20:AS20="R2",1,0))</f>
        <v>0</v>
      </c>
      <c r="F20" s="84"/>
      <c r="G20" s="78"/>
      <c r="H20" s="84"/>
      <c r="I20" s="78"/>
      <c r="J20" s="78"/>
      <c r="K20" s="142" t="s">
        <v>39</v>
      </c>
      <c r="L20" s="143"/>
      <c r="M20" s="134" t="s">
        <v>39</v>
      </c>
      <c r="N20" s="143"/>
      <c r="O20" s="142"/>
      <c r="P20" s="143"/>
      <c r="Q20" s="143"/>
      <c r="R20" s="78"/>
      <c r="S20" s="78"/>
      <c r="T20" s="24">
        <v>1.0</v>
      </c>
      <c r="U20" s="78"/>
      <c r="V20" s="78"/>
      <c r="W20" s="78"/>
      <c r="X20" s="78"/>
      <c r="Y20" s="78"/>
      <c r="Z20" s="145"/>
      <c r="AA20" s="144"/>
      <c r="AB20" s="144"/>
      <c r="AC20" s="144"/>
      <c r="AD20" s="144"/>
      <c r="AE20" s="132">
        <v>1.0</v>
      </c>
      <c r="AF20" s="144"/>
      <c r="AG20" s="84"/>
      <c r="AH20" s="78"/>
      <c r="AI20" s="84"/>
      <c r="AJ20" s="16"/>
      <c r="AK20" s="16"/>
      <c r="AL20" s="16"/>
      <c r="AM20" s="16"/>
      <c r="AN20" s="16"/>
      <c r="AO20" s="16"/>
      <c r="AP20" s="21"/>
      <c r="AQ20" s="16"/>
      <c r="AR20" s="16"/>
      <c r="AS20" s="16"/>
    </row>
    <row r="21">
      <c r="A21" s="26" t="s">
        <v>552</v>
      </c>
      <c r="B21" s="10"/>
      <c r="C21" s="10">
        <f t="shared" si="4"/>
        <v>1</v>
      </c>
      <c r="D21" s="11">
        <f t="array" ref="D21">SUM(IF(F21:AS21="R",1,0))</f>
        <v>1</v>
      </c>
      <c r="E21" s="11">
        <f t="array" ref="E21">SUM(IF(F21:AS21="R2",1,0))</f>
        <v>1</v>
      </c>
      <c r="F21" s="78"/>
      <c r="G21" s="78"/>
      <c r="H21" s="78"/>
      <c r="I21" s="78"/>
      <c r="J21" s="78"/>
      <c r="K21" s="84" t="s">
        <v>40</v>
      </c>
      <c r="L21" s="78"/>
      <c r="M21" s="78"/>
      <c r="N21" s="78"/>
      <c r="O21" s="78"/>
      <c r="P21" s="78"/>
      <c r="Q21" s="78"/>
      <c r="R21" s="78"/>
      <c r="S21" s="78"/>
      <c r="T21" s="78"/>
      <c r="U21" s="78"/>
      <c r="V21" s="78"/>
      <c r="W21" s="78"/>
      <c r="X21" s="78"/>
      <c r="Y21" s="78"/>
      <c r="Z21" s="78"/>
      <c r="AA21" s="78"/>
      <c r="AB21" s="78"/>
      <c r="AC21" s="84">
        <v>1.0</v>
      </c>
      <c r="AD21" s="78"/>
      <c r="AE21" s="78"/>
      <c r="AF21" s="78"/>
      <c r="AG21" s="78"/>
      <c r="AH21" s="78"/>
      <c r="AI21" s="78"/>
      <c r="AJ21" s="78"/>
      <c r="AK21" s="78"/>
      <c r="AL21" s="78"/>
      <c r="AM21" s="78"/>
      <c r="AN21" s="78"/>
      <c r="AO21" s="84" t="s">
        <v>39</v>
      </c>
      <c r="AP21" s="84"/>
      <c r="AQ21" s="78"/>
      <c r="AR21" s="78"/>
      <c r="AS21" s="78"/>
    </row>
    <row r="22">
      <c r="A22" s="25" t="s">
        <v>514</v>
      </c>
      <c r="B22" s="10">
        <f>SUM(C22:D22)</f>
        <v>3</v>
      </c>
      <c r="C22" s="10">
        <f t="shared" si="4"/>
        <v>2</v>
      </c>
      <c r="D22" s="11">
        <f t="array" ref="D22">SUM(IF(F22:AS22="R",1,0))</f>
        <v>1</v>
      </c>
      <c r="E22" s="11">
        <f t="array" ref="E22">SUM(IF(F22:AS22="R2",1,0))</f>
        <v>0</v>
      </c>
      <c r="F22" s="84"/>
      <c r="G22" s="84"/>
      <c r="H22" s="84"/>
      <c r="I22" s="84" t="s">
        <v>39</v>
      </c>
      <c r="J22" s="84"/>
      <c r="K22" s="16"/>
      <c r="L22" s="16"/>
      <c r="M22" s="16"/>
      <c r="N22" s="21"/>
      <c r="O22" s="78"/>
      <c r="P22" s="78"/>
      <c r="Q22" s="84">
        <v>1.0</v>
      </c>
      <c r="R22" s="84"/>
      <c r="S22" s="84"/>
      <c r="T22" s="78"/>
      <c r="U22" s="84"/>
      <c r="V22" s="78"/>
      <c r="W22" s="78"/>
      <c r="X22" s="78"/>
      <c r="Y22" s="84"/>
      <c r="Z22" s="78"/>
      <c r="AA22" s="84"/>
      <c r="AB22" s="78"/>
      <c r="AC22" s="78"/>
      <c r="AD22" s="84"/>
      <c r="AE22" s="78"/>
      <c r="AF22" s="78"/>
      <c r="AG22" s="84">
        <v>1.0</v>
      </c>
      <c r="AH22" s="16"/>
      <c r="AI22" s="16"/>
      <c r="AJ22" s="16"/>
      <c r="AK22" s="16"/>
      <c r="AL22" s="16"/>
      <c r="AM22" s="21"/>
      <c r="AN22" s="16"/>
      <c r="AO22" s="16"/>
      <c r="AP22" s="16"/>
      <c r="AQ22" s="16"/>
      <c r="AR22" s="84"/>
      <c r="AS22" s="78"/>
    </row>
    <row r="23">
      <c r="A23" s="25" t="s">
        <v>515</v>
      </c>
      <c r="B23" s="10"/>
      <c r="C23" s="10">
        <f>SUM(G23:AS23)</f>
        <v>1</v>
      </c>
      <c r="D23" s="11">
        <f t="array" ref="D23">SUM(IF(G23:AS23="R",1,0))</f>
        <v>4</v>
      </c>
      <c r="E23" s="11">
        <f t="array" ref="E23">SUM(IF(G23:AS23="R2",1,0))</f>
        <v>0</v>
      </c>
      <c r="F23" s="16"/>
      <c r="G23" s="16"/>
      <c r="H23" s="16"/>
      <c r="I23" s="16"/>
      <c r="J23" s="16"/>
      <c r="K23" s="16"/>
      <c r="L23" s="21"/>
      <c r="M23" s="16"/>
      <c r="N23" s="16"/>
      <c r="O23" s="16"/>
      <c r="P23" s="84">
        <v>1.0</v>
      </c>
      <c r="Q23" s="78"/>
      <c r="R23" s="84" t="s">
        <v>39</v>
      </c>
      <c r="S23" s="78"/>
      <c r="T23" s="84" t="s">
        <v>39</v>
      </c>
      <c r="U23" s="84"/>
      <c r="V23" s="84"/>
      <c r="W23" s="78"/>
      <c r="X23" s="84" t="s">
        <v>39</v>
      </c>
      <c r="Y23" s="78"/>
      <c r="Z23" s="78"/>
      <c r="AA23" s="78"/>
      <c r="AB23" s="21"/>
      <c r="AC23" s="16"/>
      <c r="AD23" s="16"/>
      <c r="AE23" s="21"/>
      <c r="AF23" s="16"/>
      <c r="AG23" s="16"/>
      <c r="AH23" s="16"/>
      <c r="AI23" s="16"/>
      <c r="AJ23" s="16"/>
      <c r="AK23" s="16"/>
      <c r="AL23" s="16"/>
      <c r="AM23" s="16"/>
      <c r="AN23" s="21"/>
      <c r="AO23" s="16"/>
      <c r="AP23" s="16"/>
      <c r="AQ23" s="16"/>
      <c r="AR23" s="21" t="s">
        <v>39</v>
      </c>
      <c r="AS23" s="16"/>
    </row>
    <row r="24">
      <c r="A24" s="9" t="s">
        <v>587</v>
      </c>
      <c r="B24" s="10">
        <f>SUM(C24:D24)</f>
        <v>2</v>
      </c>
      <c r="C24" s="10">
        <f t="shared" ref="C24:C27" si="5">SUM(F24:AS24)</f>
        <v>1</v>
      </c>
      <c r="D24" s="11">
        <f t="array" ref="D24">SUM(IF(F24:AS24="R",1,0))</f>
        <v>1</v>
      </c>
      <c r="E24" s="11">
        <f t="array" ref="E24">SUM(IF(F24:AS24="R2",1,0))</f>
        <v>2</v>
      </c>
      <c r="F24" s="78"/>
      <c r="G24" s="78"/>
      <c r="H24" s="84" t="s">
        <v>40</v>
      </c>
      <c r="I24" s="84" t="s">
        <v>40</v>
      </c>
      <c r="J24" s="78"/>
      <c r="K24" s="78"/>
      <c r="L24" s="84">
        <v>1.0</v>
      </c>
      <c r="M24" s="78"/>
      <c r="N24" s="78"/>
      <c r="O24" s="78"/>
      <c r="P24" s="84"/>
      <c r="Q24" s="78"/>
      <c r="R24" s="78"/>
      <c r="S24" s="78"/>
      <c r="T24" s="78"/>
      <c r="U24" s="78"/>
      <c r="V24" s="78"/>
      <c r="W24" s="78"/>
      <c r="X24" s="78"/>
      <c r="Y24" s="78"/>
      <c r="Z24" s="78"/>
      <c r="AA24" s="84"/>
      <c r="AB24" s="84" t="s">
        <v>39</v>
      </c>
      <c r="AC24" s="78"/>
      <c r="AD24" s="78"/>
      <c r="AE24" s="78"/>
      <c r="AF24" s="78"/>
      <c r="AG24" s="78"/>
      <c r="AH24" s="84"/>
      <c r="AI24" s="16"/>
      <c r="AJ24" s="16"/>
      <c r="AK24" s="16"/>
      <c r="AL24" s="16"/>
      <c r="AM24" s="16"/>
      <c r="AN24" s="16"/>
      <c r="AO24" s="16"/>
      <c r="AP24" s="16"/>
      <c r="AQ24" s="16"/>
      <c r="AR24" s="16"/>
      <c r="AS24" s="16"/>
    </row>
    <row r="25">
      <c r="A25" s="9" t="s">
        <v>516</v>
      </c>
      <c r="B25" s="28"/>
      <c r="C25" s="10">
        <f t="shared" si="5"/>
        <v>3</v>
      </c>
      <c r="D25" s="11">
        <f t="array" ref="D25">SUM(IF(F25:AS25="R",1,0))</f>
        <v>0</v>
      </c>
      <c r="E25" s="11">
        <f t="array" ref="E25">SUM(IF(F25:AS25="R2",1,0))</f>
        <v>2</v>
      </c>
      <c r="H25" s="24">
        <v>1.0</v>
      </c>
      <c r="Q25" s="24" t="s">
        <v>40</v>
      </c>
      <c r="Z25" s="24">
        <v>1.0</v>
      </c>
      <c r="AI25" s="24">
        <v>1.0</v>
      </c>
      <c r="AP25" s="17" t="s">
        <v>40</v>
      </c>
      <c r="AS25" s="121"/>
    </row>
    <row r="26">
      <c r="A26" s="62" t="s">
        <v>517</v>
      </c>
      <c r="B26" s="10"/>
      <c r="C26" s="10">
        <f t="shared" si="5"/>
        <v>2</v>
      </c>
      <c r="D26" s="11">
        <f t="array" ref="D26">SUM(IF(F26:AS26="R",1,0))</f>
        <v>2</v>
      </c>
      <c r="E26" s="11">
        <f t="array" ref="E26">SUM(IF(F26:AS26="R2",1,0))</f>
        <v>0</v>
      </c>
      <c r="F26" s="16"/>
      <c r="G26" s="16"/>
      <c r="H26" s="16"/>
      <c r="I26" s="16"/>
      <c r="J26" s="16"/>
      <c r="K26" s="16"/>
      <c r="L26" s="21"/>
      <c r="M26" s="78"/>
      <c r="N26" s="78"/>
      <c r="O26" s="78"/>
      <c r="P26" s="78"/>
      <c r="Q26" s="78"/>
      <c r="R26" s="84"/>
      <c r="S26" s="78"/>
      <c r="T26" s="78"/>
      <c r="U26" s="24" t="s">
        <v>39</v>
      </c>
      <c r="V26" s="78"/>
      <c r="W26" s="78"/>
      <c r="X26" s="78"/>
      <c r="Y26" s="78"/>
      <c r="Z26" s="78"/>
      <c r="AA26" s="78"/>
      <c r="AB26" s="78"/>
      <c r="AC26" s="78"/>
      <c r="AD26" s="24">
        <v>1.0</v>
      </c>
      <c r="AE26" s="78"/>
      <c r="AF26" s="78"/>
      <c r="AG26" s="78"/>
      <c r="AH26" s="78"/>
      <c r="AI26" s="84" t="s">
        <v>39</v>
      </c>
      <c r="AJ26" s="84"/>
      <c r="AK26" s="78"/>
      <c r="AL26" s="78"/>
      <c r="AM26" s="78"/>
      <c r="AN26" s="24">
        <v>1.0</v>
      </c>
      <c r="AO26" s="78"/>
      <c r="AP26" s="78"/>
      <c r="AQ26" s="78"/>
      <c r="AR26" s="78"/>
      <c r="AS26" s="84"/>
    </row>
    <row r="27">
      <c r="A27" s="62" t="s">
        <v>588</v>
      </c>
      <c r="B27" s="10">
        <f>SUM(C27:D27)</f>
        <v>1</v>
      </c>
      <c r="C27" s="10">
        <f t="shared" si="5"/>
        <v>1</v>
      </c>
      <c r="D27" s="11">
        <f t="array" ref="D27">SUM(IF(F27:AS27="R",1,0))</f>
        <v>0</v>
      </c>
      <c r="E27" s="11">
        <f t="array" ref="E27">SUM(IF(F27:AS27="R2",1,0))</f>
        <v>2</v>
      </c>
      <c r="F27" s="84"/>
      <c r="G27" s="78"/>
      <c r="H27" s="84"/>
      <c r="I27" s="78"/>
      <c r="J27" s="78"/>
      <c r="K27" s="16"/>
      <c r="L27" s="16"/>
      <c r="M27" s="121"/>
      <c r="N27" s="78"/>
      <c r="O27" s="84"/>
      <c r="P27" s="78"/>
      <c r="Q27" s="78"/>
      <c r="R27" s="78"/>
      <c r="S27" s="78"/>
      <c r="T27" s="24" t="s">
        <v>40</v>
      </c>
      <c r="U27" s="78"/>
      <c r="V27" s="121"/>
      <c r="W27" s="78"/>
      <c r="X27" s="78"/>
      <c r="Y27" s="78"/>
      <c r="Z27" s="84"/>
      <c r="AA27" s="78"/>
      <c r="AB27" s="78"/>
      <c r="AC27" s="24"/>
      <c r="AD27" s="78"/>
      <c r="AE27" s="24" t="s">
        <v>40</v>
      </c>
      <c r="AF27" s="78"/>
      <c r="AG27" s="16"/>
      <c r="AH27" s="16"/>
      <c r="AI27" s="16"/>
      <c r="AJ27" s="16"/>
      <c r="AK27" s="16"/>
      <c r="AL27" s="16"/>
      <c r="AM27" s="121"/>
      <c r="AN27" s="78"/>
      <c r="AO27" s="24">
        <v>1.0</v>
      </c>
      <c r="AP27" s="84"/>
      <c r="AR27" s="84"/>
      <c r="AS27" s="78"/>
    </row>
    <row r="28">
      <c r="A28" s="62" t="s">
        <v>519</v>
      </c>
      <c r="B28" s="10"/>
      <c r="C28" s="10">
        <f>SUM(H28:AS28)</f>
        <v>1</v>
      </c>
      <c r="D28" s="11">
        <f t="array" ref="D28">SUM(IF(F28:AS28="R",1,0))</f>
        <v>1</v>
      </c>
      <c r="E28" s="11">
        <f t="array" ref="E28">SUM(IF(F28:AS28="R2",1,0))</f>
        <v>1</v>
      </c>
      <c r="F28" s="78"/>
      <c r="G28" s="24" t="s">
        <v>40</v>
      </c>
      <c r="H28" s="16"/>
      <c r="I28" s="16"/>
      <c r="J28" s="16"/>
      <c r="K28" s="16"/>
      <c r="L28" s="21"/>
      <c r="M28" s="78"/>
      <c r="N28" s="24"/>
      <c r="O28" s="78"/>
      <c r="P28" s="121"/>
      <c r="Q28" s="78"/>
      <c r="R28" s="24"/>
      <c r="S28" s="78"/>
      <c r="T28" s="78"/>
      <c r="U28" s="84"/>
      <c r="V28" s="84"/>
      <c r="W28" s="24">
        <v>1.0</v>
      </c>
      <c r="X28" s="78"/>
      <c r="Y28" s="121"/>
      <c r="Z28" s="78"/>
      <c r="AA28" s="24"/>
      <c r="AB28" s="78"/>
      <c r="AC28" s="84"/>
      <c r="AD28" s="84"/>
      <c r="AE28" s="78"/>
      <c r="AF28" s="24" t="s">
        <v>39</v>
      </c>
      <c r="AG28" s="78"/>
      <c r="AH28" s="16"/>
      <c r="AI28" s="16"/>
      <c r="AJ28" s="16"/>
      <c r="AK28" s="16"/>
      <c r="AL28" s="16"/>
      <c r="AM28" s="16"/>
      <c r="AN28" s="21"/>
      <c r="AO28" s="21"/>
      <c r="AP28" s="16"/>
      <c r="AQ28" s="21"/>
      <c r="AR28" s="16"/>
      <c r="AS28" s="16"/>
    </row>
    <row r="29">
      <c r="A29" s="62" t="s">
        <v>589</v>
      </c>
      <c r="B29" s="10">
        <f t="shared" ref="B29:B30" si="6">SUM(C29:D29)</f>
        <v>2</v>
      </c>
      <c r="C29" s="10">
        <f t="shared" ref="C29:C38" si="7">SUM(F29:AS29)</f>
        <v>1</v>
      </c>
      <c r="D29" s="11">
        <f t="array" ref="D29">SUM(IF(F29:AS29="R",1,0))</f>
        <v>1</v>
      </c>
      <c r="E29" s="11">
        <f t="array" ref="E29">SUM(IF(F29:AS29="R2",1,0))</f>
        <v>1</v>
      </c>
      <c r="F29" s="16"/>
      <c r="G29" s="21"/>
      <c r="H29" s="16"/>
      <c r="I29" s="16"/>
      <c r="J29" s="16"/>
      <c r="K29" s="21"/>
      <c r="L29" s="16"/>
      <c r="M29" s="78"/>
      <c r="N29" s="78"/>
      <c r="O29" s="78"/>
      <c r="P29" s="78"/>
      <c r="Q29" s="78"/>
      <c r="R29" s="84"/>
      <c r="S29" s="84" t="s">
        <v>39</v>
      </c>
      <c r="T29" s="78"/>
      <c r="U29" s="78"/>
      <c r="V29" s="78"/>
      <c r="W29" s="84" t="s">
        <v>40</v>
      </c>
      <c r="X29" s="78"/>
      <c r="Y29" s="84"/>
      <c r="Z29" s="78"/>
      <c r="AA29" s="78"/>
      <c r="AB29" s="84">
        <v>1.0</v>
      </c>
      <c r="AC29" s="84"/>
      <c r="AD29" s="78"/>
      <c r="AE29" s="78"/>
      <c r="AF29" s="78"/>
      <c r="AG29" s="78"/>
      <c r="AH29" s="78"/>
      <c r="AI29" s="16"/>
      <c r="AJ29" s="16"/>
      <c r="AK29" s="16"/>
      <c r="AL29" s="16"/>
      <c r="AM29" s="16"/>
      <c r="AN29" s="16"/>
      <c r="AO29" s="16"/>
      <c r="AP29" s="16"/>
      <c r="AQ29" s="16"/>
      <c r="AR29" s="16"/>
      <c r="AS29" s="16"/>
    </row>
    <row r="30">
      <c r="A30" s="26" t="s">
        <v>553</v>
      </c>
      <c r="B30" s="10">
        <f t="shared" si="6"/>
        <v>2</v>
      </c>
      <c r="C30" s="10">
        <f t="shared" si="7"/>
        <v>1</v>
      </c>
      <c r="D30" s="11">
        <f t="array" ref="D30">SUM(IF(F30:AS30="R",1,0))</f>
        <v>1</v>
      </c>
      <c r="E30" s="11">
        <f t="array" ref="E30">SUM(IF(F30:AS30="R2",1,0))</f>
        <v>2</v>
      </c>
      <c r="F30" s="78"/>
      <c r="G30" s="78"/>
      <c r="H30" s="84"/>
      <c r="I30" s="78"/>
      <c r="J30" s="78"/>
      <c r="K30" s="78"/>
      <c r="L30" s="84"/>
      <c r="M30" s="78"/>
      <c r="N30" s="78"/>
      <c r="O30" s="78"/>
      <c r="P30" s="84"/>
      <c r="Q30" s="78"/>
      <c r="R30" s="78"/>
      <c r="S30" s="78"/>
      <c r="T30" s="78"/>
      <c r="U30" s="78"/>
      <c r="V30" s="84" t="s">
        <v>39</v>
      </c>
      <c r="W30" s="78"/>
      <c r="X30" s="78"/>
      <c r="Y30" s="84"/>
      <c r="Z30" s="78"/>
      <c r="AA30" s="78"/>
      <c r="AB30" s="78"/>
      <c r="AC30" s="84" t="s">
        <v>40</v>
      </c>
      <c r="AD30" s="84"/>
      <c r="AE30" s="78"/>
      <c r="AF30" s="78"/>
      <c r="AG30" s="84"/>
      <c r="AH30" s="78"/>
      <c r="AI30" s="84"/>
      <c r="AJ30" s="84" t="s">
        <v>40</v>
      </c>
      <c r="AK30" s="78"/>
      <c r="AL30" s="78"/>
      <c r="AM30" s="84">
        <v>1.0</v>
      </c>
      <c r="AN30" s="84"/>
      <c r="AO30" s="78"/>
      <c r="AP30" s="84"/>
      <c r="AQ30" s="78"/>
      <c r="AR30" s="84"/>
      <c r="AS30" s="78"/>
    </row>
    <row r="31">
      <c r="A31" s="26" t="s">
        <v>475</v>
      </c>
      <c r="B31" s="10"/>
      <c r="C31" s="10">
        <f t="shared" si="7"/>
        <v>1</v>
      </c>
      <c r="D31" s="11">
        <f t="array" ref="D31">SUM(IF(F31:AS31="R",1,0))</f>
        <v>1</v>
      </c>
      <c r="E31" s="11">
        <f t="array" ref="E31">SUM(IF(F31:AS31="R2",1,0))</f>
        <v>2</v>
      </c>
      <c r="F31" s="84"/>
      <c r="G31" s="78"/>
      <c r="H31" s="84"/>
      <c r="I31" s="78"/>
      <c r="J31" s="78"/>
      <c r="K31" s="84">
        <v>1.0</v>
      </c>
      <c r="L31" s="78"/>
      <c r="M31" s="78"/>
      <c r="N31" s="78"/>
      <c r="O31" s="84"/>
      <c r="P31" s="78"/>
      <c r="Q31" s="84"/>
      <c r="R31" s="78"/>
      <c r="S31" s="78"/>
      <c r="T31" s="78"/>
      <c r="U31" s="78"/>
      <c r="V31" s="84" t="s">
        <v>40</v>
      </c>
      <c r="W31" s="78"/>
      <c r="X31" s="84"/>
      <c r="Y31" s="84"/>
      <c r="Z31" s="78"/>
      <c r="AA31" s="78"/>
      <c r="AB31" s="78"/>
      <c r="AC31" s="84" t="s">
        <v>39</v>
      </c>
      <c r="AD31" s="78"/>
      <c r="AE31" s="78"/>
      <c r="AF31" s="78"/>
      <c r="AG31" s="84"/>
      <c r="AH31" s="78"/>
      <c r="AI31" s="78"/>
      <c r="AJ31" s="78"/>
      <c r="AK31" s="78"/>
      <c r="AL31" s="78"/>
      <c r="AM31" s="78"/>
      <c r="AN31" s="78"/>
      <c r="AO31" s="84" t="s">
        <v>40</v>
      </c>
      <c r="AP31" s="78"/>
      <c r="AQ31" s="78"/>
      <c r="AR31" s="84"/>
      <c r="AS31" s="78"/>
    </row>
    <row r="32">
      <c r="A32" s="27" t="s">
        <v>476</v>
      </c>
      <c r="B32" s="10" t="str">
        <f>SUM(B4:B37)</f>
        <v>#REF!</v>
      </c>
      <c r="C32" s="10">
        <f t="shared" si="7"/>
        <v>2</v>
      </c>
      <c r="D32" s="11">
        <f t="array" ref="D32">SUM(IF(F32:AS32="R",1,0))</f>
        <v>1</v>
      </c>
      <c r="E32" s="11">
        <f t="array" ref="E32">SUM(IF(F32:AS32="R2",1,0))</f>
        <v>2</v>
      </c>
      <c r="F32" s="84"/>
      <c r="G32" s="84"/>
      <c r="H32" s="84"/>
      <c r="I32" s="78"/>
      <c r="J32" s="84" t="s">
        <v>39</v>
      </c>
      <c r="K32" s="78"/>
      <c r="L32" s="78"/>
      <c r="M32" s="78"/>
      <c r="N32" s="84"/>
      <c r="O32" s="84">
        <v>1.0</v>
      </c>
      <c r="P32" s="78"/>
      <c r="Q32" s="78"/>
      <c r="R32" s="78"/>
      <c r="S32" s="78"/>
      <c r="T32" s="78"/>
      <c r="U32" s="78"/>
      <c r="V32" s="78"/>
      <c r="W32" s="78"/>
      <c r="X32" s="78"/>
      <c r="Y32" s="84">
        <v>1.0</v>
      </c>
      <c r="Z32" s="78"/>
      <c r="AA32" s="78"/>
      <c r="AB32" s="78"/>
      <c r="AC32" s="78"/>
      <c r="AD32" s="78"/>
      <c r="AE32" s="78"/>
      <c r="AF32" s="84"/>
      <c r="AG32" s="78"/>
      <c r="AH32" s="84"/>
      <c r="AI32" s="84" t="s">
        <v>40</v>
      </c>
      <c r="AJ32" s="78"/>
      <c r="AK32" s="78"/>
      <c r="AL32" s="78"/>
      <c r="AM32" s="78"/>
      <c r="AN32" s="84" t="s">
        <v>40</v>
      </c>
      <c r="AO32" s="84"/>
      <c r="AP32" s="78"/>
      <c r="AQ32" s="84"/>
      <c r="AR32" s="78"/>
      <c r="AS32" s="78"/>
    </row>
    <row r="33">
      <c r="A33" s="27" t="s">
        <v>522</v>
      </c>
      <c r="B33" s="28" t="str">
        <f t="shared" ref="B33:B34" si="8">SUM(#REF!)</f>
        <v>#REF!</v>
      </c>
      <c r="C33" s="10">
        <f t="shared" si="7"/>
        <v>0</v>
      </c>
      <c r="D33" s="11">
        <f t="array" ref="D33">SUM(IF(F33:AS33="R",1,0))</f>
        <v>0</v>
      </c>
      <c r="E33" s="11">
        <f t="array" ref="E33">SUM(IF(F33:AS33="R2",1,0))</f>
        <v>0</v>
      </c>
      <c r="F33" s="78"/>
      <c r="G33" s="78"/>
      <c r="H33" s="16"/>
      <c r="I33" s="16"/>
      <c r="J33" s="16"/>
      <c r="K33" s="16"/>
      <c r="L33" s="16"/>
      <c r="M33" s="16"/>
      <c r="N33" s="21"/>
      <c r="O33" s="16"/>
      <c r="P33" s="21"/>
      <c r="Q33" s="16"/>
      <c r="R33" s="16"/>
      <c r="S33" s="16"/>
      <c r="T33" s="21"/>
      <c r="U33" s="16"/>
      <c r="V33" s="16"/>
      <c r="W33" s="21"/>
      <c r="X33" s="16"/>
      <c r="Y33" s="21"/>
      <c r="Z33" s="16"/>
      <c r="AA33" s="16"/>
      <c r="AB33" s="16"/>
      <c r="AC33" s="21"/>
      <c r="AD33" s="16"/>
      <c r="AE33" s="16"/>
      <c r="AF33" s="21"/>
      <c r="AG33" s="16"/>
      <c r="AH33" s="16"/>
      <c r="AI33" s="16"/>
      <c r="AJ33" s="16"/>
      <c r="AK33" s="16"/>
      <c r="AL33" s="16"/>
      <c r="AM33" s="16"/>
      <c r="AN33" s="16"/>
      <c r="AO33" s="21"/>
      <c r="AP33" s="16"/>
      <c r="AQ33" s="16"/>
      <c r="AR33" s="16"/>
      <c r="AS33" s="16"/>
    </row>
    <row r="34">
      <c r="A34" s="69" t="s">
        <v>523</v>
      </c>
      <c r="B34" s="28" t="str">
        <f t="shared" si="8"/>
        <v>#REF!</v>
      </c>
      <c r="C34" s="10">
        <f t="shared" si="7"/>
        <v>1</v>
      </c>
      <c r="D34" s="11">
        <f t="array" ref="D34">SUM(IF(F34:AS34="R",1,0))</f>
        <v>2</v>
      </c>
      <c r="E34" s="11">
        <f t="array" ref="E34">SUM(IF(F34:AS34="R2",1,0))</f>
        <v>2</v>
      </c>
      <c r="F34" s="78"/>
      <c r="G34" s="78"/>
      <c r="H34" s="78"/>
      <c r="I34" s="78"/>
      <c r="J34" s="84">
        <v>1.0</v>
      </c>
      <c r="K34" s="84"/>
      <c r="L34" s="78"/>
      <c r="M34" s="84"/>
      <c r="N34" s="78"/>
      <c r="O34" s="78"/>
      <c r="P34" s="78"/>
      <c r="Q34" s="78"/>
      <c r="R34" s="78"/>
      <c r="S34" s="78"/>
      <c r="T34" s="78"/>
      <c r="U34" s="84" t="s">
        <v>40</v>
      </c>
      <c r="V34" s="78"/>
      <c r="W34" s="78"/>
      <c r="X34" s="78"/>
      <c r="Y34" s="78"/>
      <c r="Z34" s="84" t="s">
        <v>39</v>
      </c>
      <c r="AA34" s="78"/>
      <c r="AB34" s="78"/>
      <c r="AC34" s="78"/>
      <c r="AD34" s="84"/>
      <c r="AE34" s="78"/>
      <c r="AF34" s="78"/>
      <c r="AG34" s="78"/>
      <c r="AH34" s="84"/>
      <c r="AI34" s="78"/>
      <c r="AJ34" s="78"/>
      <c r="AK34" s="78"/>
      <c r="AL34" s="84" t="s">
        <v>39</v>
      </c>
      <c r="AM34" s="78"/>
      <c r="AN34" s="78"/>
      <c r="AO34" s="78"/>
      <c r="AP34" s="78"/>
      <c r="AQ34" s="84" t="s">
        <v>40</v>
      </c>
      <c r="AR34" s="78"/>
      <c r="AS34" s="78"/>
    </row>
    <row r="35">
      <c r="A35" s="44" t="s">
        <v>524</v>
      </c>
      <c r="C35" s="10">
        <f t="shared" si="7"/>
        <v>1</v>
      </c>
      <c r="D35" s="11">
        <f t="array" ref="D35">SUM(IF(F35:AS35="R",1,0))</f>
        <v>2</v>
      </c>
      <c r="E35" s="11">
        <f t="array" ref="E35">SUM(IF(F35:AS35="R2",1,0))</f>
        <v>0</v>
      </c>
      <c r="F35" s="78"/>
      <c r="G35" s="78"/>
      <c r="H35" s="16"/>
      <c r="I35" s="21"/>
      <c r="J35" s="16"/>
      <c r="K35" s="16"/>
      <c r="L35" s="16"/>
      <c r="M35" s="84"/>
      <c r="N35" s="78"/>
      <c r="O35" s="78"/>
      <c r="P35" s="78"/>
      <c r="Q35" s="78"/>
      <c r="R35" s="84"/>
      <c r="S35" s="84">
        <v>1.0</v>
      </c>
      <c r="T35" s="78"/>
      <c r="U35" s="78"/>
      <c r="V35" s="78"/>
      <c r="W35" s="78"/>
      <c r="X35" s="78"/>
      <c r="Y35" s="84"/>
      <c r="Z35" s="78"/>
      <c r="AA35" s="84"/>
      <c r="AB35" s="78"/>
      <c r="AC35" s="84"/>
      <c r="AD35" s="84" t="s">
        <v>39</v>
      </c>
      <c r="AE35" s="78"/>
      <c r="AF35" s="84"/>
      <c r="AG35" s="84" t="s">
        <v>39</v>
      </c>
      <c r="AH35" s="78"/>
      <c r="AI35" s="16"/>
      <c r="AJ35" s="16"/>
      <c r="AK35" s="16"/>
      <c r="AL35" s="21"/>
      <c r="AM35" s="16"/>
      <c r="AN35" s="16"/>
      <c r="AO35" s="16"/>
      <c r="AP35" s="16"/>
      <c r="AQ35" s="16"/>
      <c r="AR35" s="16"/>
      <c r="AS35" s="21"/>
      <c r="AT35" s="121"/>
      <c r="AU35" s="121"/>
      <c r="AV35" s="121"/>
      <c r="AW35" s="121"/>
    </row>
    <row r="36">
      <c r="A36" s="44" t="s">
        <v>479</v>
      </c>
      <c r="C36" s="10">
        <f t="shared" si="7"/>
        <v>1</v>
      </c>
      <c r="D36" s="11">
        <f t="array" ref="D36">SUM(IF(F36:AS36="R",1,0))</f>
        <v>1</v>
      </c>
      <c r="E36" s="11">
        <f t="array" ref="E36">SUM(IF(F36:AS36="R2",1,0))</f>
        <v>2</v>
      </c>
      <c r="F36" s="78"/>
      <c r="G36" s="78"/>
      <c r="H36" s="78"/>
      <c r="I36" s="84"/>
      <c r="J36" s="84" t="s">
        <v>40</v>
      </c>
      <c r="K36" s="78"/>
      <c r="L36" s="84" t="s">
        <v>40</v>
      </c>
      <c r="M36" s="78"/>
      <c r="N36" s="84"/>
      <c r="O36" s="78"/>
      <c r="P36" s="78"/>
      <c r="Q36" s="78"/>
      <c r="R36" s="78"/>
      <c r="S36" s="78"/>
      <c r="T36" s="78"/>
      <c r="U36" s="78"/>
      <c r="V36" s="78"/>
      <c r="W36" s="84"/>
      <c r="X36" s="78"/>
      <c r="Y36" s="78"/>
      <c r="Z36" s="78"/>
      <c r="AA36" s="84" t="s">
        <v>39</v>
      </c>
      <c r="AB36" s="78"/>
      <c r="AC36" s="78"/>
      <c r="AD36" s="78"/>
      <c r="AE36" s="78"/>
      <c r="AF36" s="78"/>
      <c r="AG36" s="78"/>
      <c r="AH36" s="78"/>
      <c r="AI36" s="78"/>
      <c r="AJ36" s="84"/>
      <c r="AK36" s="78"/>
      <c r="AL36" s="84">
        <v>1.0</v>
      </c>
      <c r="AM36" s="78"/>
      <c r="AN36" s="78"/>
      <c r="AO36" s="78"/>
      <c r="AP36" s="78"/>
      <c r="AQ36" s="84"/>
      <c r="AR36" s="78"/>
      <c r="AS36" s="78"/>
    </row>
    <row r="37">
      <c r="A37" s="26" t="s">
        <v>590</v>
      </c>
      <c r="B37" s="10">
        <f>SUM(C37:D37)</f>
        <v>1</v>
      </c>
      <c r="C37" s="10">
        <f t="shared" si="7"/>
        <v>1</v>
      </c>
      <c r="D37" s="11">
        <f t="array" ref="D37">SUM(IF(F37:AS37="R",1,0))</f>
        <v>0</v>
      </c>
      <c r="E37" s="11">
        <f t="array" ref="E37">SUM(IF(F37:AS37="R2",1,0))</f>
        <v>0</v>
      </c>
      <c r="F37" s="21"/>
      <c r="G37" s="16"/>
      <c r="H37" s="21"/>
      <c r="I37" s="16"/>
      <c r="J37" s="16"/>
      <c r="K37" s="16"/>
      <c r="L37" s="16"/>
      <c r="M37" s="24">
        <v>1.0</v>
      </c>
      <c r="N37" s="78"/>
      <c r="O37" s="16"/>
      <c r="P37" s="16"/>
      <c r="Q37" s="16"/>
      <c r="R37" s="78"/>
      <c r="S37" s="16"/>
      <c r="T37" s="16"/>
      <c r="U37" s="21"/>
      <c r="V37" s="16"/>
      <c r="W37" s="16"/>
      <c r="X37" s="16"/>
      <c r="Y37" s="16"/>
      <c r="Z37" s="16"/>
      <c r="AA37" s="16"/>
      <c r="AB37" s="16"/>
      <c r="AC37" s="16"/>
      <c r="AD37" s="16"/>
      <c r="AE37" s="16"/>
      <c r="AF37" s="16"/>
      <c r="AG37" s="21"/>
      <c r="AH37" s="16"/>
      <c r="AI37" s="16"/>
      <c r="AJ37" s="16"/>
      <c r="AK37" s="16"/>
      <c r="AL37" s="16"/>
      <c r="AM37" s="16"/>
      <c r="AN37" s="16"/>
      <c r="AO37" s="16"/>
      <c r="AP37" s="21"/>
      <c r="AQ37" s="16"/>
      <c r="AR37" s="78"/>
      <c r="AS37" s="16"/>
    </row>
    <row r="38">
      <c r="A38" s="23" t="s">
        <v>481</v>
      </c>
      <c r="C38" s="10">
        <f t="shared" si="7"/>
        <v>1</v>
      </c>
      <c r="D38" s="11">
        <f t="array" ref="D38">SUM(IF(F38:AS38="R",1,0))</f>
        <v>2</v>
      </c>
      <c r="E38" s="11">
        <f t="array" ref="E38">SUM(IF(F38:AS38="R2",1,0))</f>
        <v>2</v>
      </c>
      <c r="F38" s="24" t="s">
        <v>39</v>
      </c>
      <c r="G38" s="121"/>
      <c r="H38" s="16"/>
      <c r="I38" s="16"/>
      <c r="J38" s="16"/>
      <c r="K38" s="16"/>
      <c r="L38" s="21"/>
      <c r="M38" s="16"/>
      <c r="N38" s="16"/>
      <c r="O38" s="16"/>
      <c r="P38" s="16"/>
      <c r="Q38" s="16"/>
      <c r="R38" s="16"/>
      <c r="S38" s="16"/>
      <c r="T38" s="16"/>
      <c r="U38" s="21"/>
      <c r="V38" s="16"/>
      <c r="W38" s="16"/>
      <c r="X38" s="16"/>
      <c r="Y38" s="121"/>
      <c r="Z38" s="24" t="s">
        <v>40</v>
      </c>
      <c r="AA38" s="121"/>
      <c r="AB38" s="121"/>
      <c r="AC38" s="78"/>
      <c r="AD38" s="84"/>
      <c r="AE38" s="78"/>
      <c r="AF38" s="78"/>
      <c r="AG38" s="24" t="s">
        <v>40</v>
      </c>
      <c r="AH38" s="24"/>
      <c r="AI38" s="121"/>
      <c r="AJ38" s="24"/>
      <c r="AK38" s="24" t="s">
        <v>39</v>
      </c>
      <c r="AL38" s="24"/>
      <c r="AM38" s="84"/>
      <c r="AN38" s="78"/>
      <c r="AO38" s="78"/>
      <c r="AP38" s="78"/>
      <c r="AQ38" s="24"/>
      <c r="AR38" s="24">
        <v>1.0</v>
      </c>
      <c r="AS38" s="121"/>
    </row>
    <row r="39">
      <c r="A39" s="17" t="s">
        <v>68</v>
      </c>
      <c r="C39" s="10">
        <f t="shared" ref="C39:C41" si="11">SUM(F39:AU39)</f>
        <v>41</v>
      </c>
      <c r="D39" s="11"/>
      <c r="E39" s="11"/>
      <c r="F39" s="28">
        <f t="shared" ref="F39:AT39" si="9">SUM(F3:F38)</f>
        <v>1</v>
      </c>
      <c r="G39" s="28">
        <f t="shared" si="9"/>
        <v>1</v>
      </c>
      <c r="H39" s="28">
        <f t="shared" si="9"/>
        <v>1</v>
      </c>
      <c r="I39" s="28">
        <f t="shared" si="9"/>
        <v>1</v>
      </c>
      <c r="J39" s="28">
        <f t="shared" si="9"/>
        <v>1</v>
      </c>
      <c r="K39" s="28">
        <f t="shared" si="9"/>
        <v>1</v>
      </c>
      <c r="L39" s="28">
        <f t="shared" si="9"/>
        <v>1</v>
      </c>
      <c r="M39" s="28">
        <f t="shared" si="9"/>
        <v>1</v>
      </c>
      <c r="N39" s="28">
        <f t="shared" si="9"/>
        <v>1</v>
      </c>
      <c r="O39" s="28">
        <f t="shared" si="9"/>
        <v>1</v>
      </c>
      <c r="P39" s="28">
        <f t="shared" si="9"/>
        <v>1</v>
      </c>
      <c r="Q39" s="28">
        <f t="shared" si="9"/>
        <v>1</v>
      </c>
      <c r="R39" s="28">
        <f t="shared" si="9"/>
        <v>1</v>
      </c>
      <c r="S39" s="28">
        <f t="shared" si="9"/>
        <v>1</v>
      </c>
      <c r="T39" s="28">
        <f t="shared" si="9"/>
        <v>1</v>
      </c>
      <c r="U39" s="28">
        <f t="shared" si="9"/>
        <v>1</v>
      </c>
      <c r="V39" s="28">
        <f t="shared" si="9"/>
        <v>1</v>
      </c>
      <c r="W39" s="28">
        <f t="shared" si="9"/>
        <v>1</v>
      </c>
      <c r="X39" s="28">
        <f t="shared" si="9"/>
        <v>1</v>
      </c>
      <c r="Y39" s="28">
        <f t="shared" si="9"/>
        <v>1</v>
      </c>
      <c r="Z39" s="28">
        <f t="shared" si="9"/>
        <v>1</v>
      </c>
      <c r="AA39" s="28">
        <f t="shared" si="9"/>
        <v>1</v>
      </c>
      <c r="AB39" s="28">
        <f t="shared" si="9"/>
        <v>1</v>
      </c>
      <c r="AC39" s="28">
        <f t="shared" si="9"/>
        <v>1</v>
      </c>
      <c r="AD39" s="28">
        <f t="shared" si="9"/>
        <v>1</v>
      </c>
      <c r="AE39" s="28">
        <f t="shared" si="9"/>
        <v>1</v>
      </c>
      <c r="AF39" s="28">
        <f t="shared" si="9"/>
        <v>1</v>
      </c>
      <c r="AG39" s="28">
        <f t="shared" si="9"/>
        <v>1</v>
      </c>
      <c r="AH39" s="28">
        <f t="shared" si="9"/>
        <v>1</v>
      </c>
      <c r="AI39" s="28">
        <f t="shared" si="9"/>
        <v>1</v>
      </c>
      <c r="AJ39" s="28">
        <f t="shared" si="9"/>
        <v>1</v>
      </c>
      <c r="AK39" s="28">
        <f t="shared" si="9"/>
        <v>1</v>
      </c>
      <c r="AL39" s="28">
        <f t="shared" si="9"/>
        <v>1</v>
      </c>
      <c r="AM39" s="28">
        <f t="shared" si="9"/>
        <v>1</v>
      </c>
      <c r="AN39" s="28">
        <f t="shared" si="9"/>
        <v>1</v>
      </c>
      <c r="AO39" s="28">
        <f t="shared" si="9"/>
        <v>1</v>
      </c>
      <c r="AP39" s="28">
        <f t="shared" si="9"/>
        <v>1</v>
      </c>
      <c r="AQ39" s="28">
        <f t="shared" si="9"/>
        <v>1</v>
      </c>
      <c r="AR39" s="28">
        <f t="shared" si="9"/>
        <v>1</v>
      </c>
      <c r="AS39" s="28">
        <f t="shared" si="9"/>
        <v>1</v>
      </c>
      <c r="AT39" s="28">
        <f t="shared" si="9"/>
        <v>0</v>
      </c>
      <c r="AU39" s="28">
        <f t="shared" ref="AU39:AY39" si="10">SUM(H4:H37)</f>
        <v>1</v>
      </c>
      <c r="AV39" s="28">
        <f t="shared" si="10"/>
        <v>1</v>
      </c>
      <c r="AW39" s="28">
        <f t="shared" si="10"/>
        <v>1</v>
      </c>
      <c r="AX39" s="28">
        <f t="shared" si="10"/>
        <v>1</v>
      </c>
      <c r="AY39" s="28">
        <f t="shared" si="10"/>
        <v>1</v>
      </c>
    </row>
    <row r="40">
      <c r="A40" s="17" t="s">
        <v>69</v>
      </c>
      <c r="C40" s="10">
        <f t="shared" si="11"/>
        <v>41</v>
      </c>
      <c r="D40" s="11"/>
      <c r="E40" s="11"/>
      <c r="F40" s="11">
        <f t="array" ref="F40">SUM(IF(F3:F38="R",1,0))</f>
        <v>1</v>
      </c>
      <c r="G40" s="11">
        <f t="array" ref="G40">SUM(IF(G3:G38="R",1,0))</f>
        <v>1</v>
      </c>
      <c r="H40" s="11">
        <f t="array" ref="H40">SUM(IF(H3:H38="R",1,0))</f>
        <v>1</v>
      </c>
      <c r="I40" s="11">
        <f t="array" ref="I40">SUM(IF(I3:I38="R",1,0))</f>
        <v>1</v>
      </c>
      <c r="J40" s="11">
        <f t="array" ref="J40">SUM(IF(J3:J38="R",1,0))</f>
        <v>1</v>
      </c>
      <c r="K40" s="11">
        <f t="array" ref="K40">SUM(IF(K3:K38="R",1,0))</f>
        <v>1</v>
      </c>
      <c r="L40" s="11">
        <f t="array" ref="L40">SUM(IF(L3:L38="R",1,0))</f>
        <v>1</v>
      </c>
      <c r="M40" s="11">
        <f t="array" ref="M40">SUM(IF(M3:M38="R",1,0))</f>
        <v>1</v>
      </c>
      <c r="N40" s="11">
        <f t="array" ref="N40">SUM(IF(N3:N38="R",1,0))</f>
        <v>1</v>
      </c>
      <c r="O40" s="11">
        <f t="array" ref="O40">SUM(IF(O3:O38="R",1,0))</f>
        <v>1</v>
      </c>
      <c r="P40" s="11">
        <f t="array" ref="P40">SUM(IF(P3:P38="R",1,0))</f>
        <v>1</v>
      </c>
      <c r="Q40" s="11">
        <f t="array" ref="Q40">SUM(IF(Q3:Q38="R",1,0))</f>
        <v>1</v>
      </c>
      <c r="R40" s="11">
        <f t="array" ref="R40">SUM(IF(R3:R38="R",1,0))</f>
        <v>1</v>
      </c>
      <c r="S40" s="11">
        <f t="array" ref="S40">SUM(IF(S3:S38="R",1,0))</f>
        <v>1</v>
      </c>
      <c r="T40" s="11">
        <f t="array" ref="T40">SUM(IF(T3:T38="R",1,0))</f>
        <v>1</v>
      </c>
      <c r="U40" s="11">
        <f t="array" ref="U40">SUM(IF(U3:U38="R",1,0))</f>
        <v>1</v>
      </c>
      <c r="V40" s="11">
        <f t="array" ref="V40">SUM(IF(V3:V38="R",1,0))</f>
        <v>1</v>
      </c>
      <c r="W40" s="11">
        <f t="array" ref="W40">SUM(IF(W3:W38="R",1,0))</f>
        <v>1</v>
      </c>
      <c r="X40" s="11">
        <f t="array" ref="X40">SUM(IF(X3:X38="R",1,0))</f>
        <v>1</v>
      </c>
      <c r="Y40" s="11">
        <f t="array" ref="Y40">SUM(IF(Y3:Y38="R",1,0))</f>
        <v>1</v>
      </c>
      <c r="Z40" s="11">
        <f t="array" ref="Z40">SUM(IF(Z3:Z38="R",1,0))</f>
        <v>1</v>
      </c>
      <c r="AA40" s="11">
        <f t="array" ref="AA40">SUM(IF(AA3:AA38="R",1,0))</f>
        <v>1</v>
      </c>
      <c r="AB40" s="11">
        <f t="array" ref="AB40">SUM(IF(AB3:AB38="R",1,0))</f>
        <v>1</v>
      </c>
      <c r="AC40" s="11">
        <f t="array" ref="AC40">SUM(IF(AC3:AC38="R",1,0))</f>
        <v>1</v>
      </c>
      <c r="AD40" s="11">
        <f t="array" ref="AD40">SUM(IF(AD3:AD38="R",1,0))</f>
        <v>1</v>
      </c>
      <c r="AE40" s="11">
        <f t="array" ref="AE40">SUM(IF(AE3:AE38="R",1,0))</f>
        <v>1</v>
      </c>
      <c r="AF40" s="11">
        <f t="array" ref="AF40">SUM(IF(AF3:AF38="R",1,0))</f>
        <v>1</v>
      </c>
      <c r="AG40" s="11">
        <f t="array" ref="AG40">SUM(IF(AG3:AG38="R",1,0))</f>
        <v>1</v>
      </c>
      <c r="AH40" s="11">
        <f t="array" ref="AH40">SUM(IF(AH3:AH38="R",1,0))</f>
        <v>1</v>
      </c>
      <c r="AI40" s="11">
        <f t="array" ref="AI40">SUM(IF(AI3:AI38="R",1,0))</f>
        <v>1</v>
      </c>
      <c r="AJ40" s="11">
        <f t="array" ref="AJ40">SUM(IF(AJ3:AJ38="R",1,0))</f>
        <v>1</v>
      </c>
      <c r="AK40" s="11">
        <f t="array" ref="AK40">SUM(IF(AK3:AK38="R",1,0))</f>
        <v>1</v>
      </c>
      <c r="AL40" s="11">
        <f t="array" ref="AL40">SUM(IF(AL3:AL38="R",1,0))</f>
        <v>1</v>
      </c>
      <c r="AM40" s="11">
        <f t="array" ref="AM40">SUM(IF(AM3:AM38="R",1,0))</f>
        <v>1</v>
      </c>
      <c r="AN40" s="11">
        <f t="array" ref="AN40">SUM(IF(AN3:AN38="R",1,0))</f>
        <v>1</v>
      </c>
      <c r="AO40" s="11">
        <f t="array" ref="AO40">SUM(IF(AO3:AO38="R",1,0))</f>
        <v>1</v>
      </c>
      <c r="AP40" s="11">
        <f t="array" ref="AP40">SUM(IF(AP3:AP38="R",1,0))</f>
        <v>1</v>
      </c>
      <c r="AQ40" s="11">
        <f t="array" ref="AQ40">SUM(IF(AQ3:AQ38="R",1,0))</f>
        <v>1</v>
      </c>
      <c r="AR40" s="11">
        <f t="array" ref="AR40">SUM(IF(AR3:AR38="R",1,0))</f>
        <v>1</v>
      </c>
      <c r="AS40" s="11">
        <f t="array" ref="AS40">SUM(IF(AS3:AS38="R",1,0))</f>
        <v>1</v>
      </c>
      <c r="AT40" s="11">
        <f t="array" ref="AT40">SUM(IF(AT3:AT38="R",1,0))</f>
        <v>0</v>
      </c>
      <c r="AU40" s="11">
        <f t="array" ref="AU40">SUM(IF(H4:H37="R",1,0))</f>
        <v>1</v>
      </c>
      <c r="AV40" s="11">
        <f t="array" ref="AV40">SUM(IF(I4:I37="R",1,0))</f>
        <v>1</v>
      </c>
      <c r="AW40" s="11">
        <f t="array" ref="AW40">SUM(IF(J4:J37="R",1,0))</f>
        <v>1</v>
      </c>
      <c r="AX40" s="11">
        <f t="array" ref="AX40">SUM(IF(K4:K37="R",1,0))</f>
        <v>1</v>
      </c>
      <c r="AY40" s="11">
        <f t="array" ref="AY40">SUM(IF(L4:L37="R",1,0))</f>
        <v>1</v>
      </c>
    </row>
    <row r="41">
      <c r="A41" s="17" t="s">
        <v>70</v>
      </c>
      <c r="C41" s="10">
        <f t="shared" si="11"/>
        <v>41</v>
      </c>
      <c r="D41" s="11"/>
      <c r="E41" s="11"/>
      <c r="F41" s="11">
        <f t="array" ref="F41">SUM(IF(F3:F38="R2",1,0))</f>
        <v>1</v>
      </c>
      <c r="G41" s="11">
        <f t="array" ref="G41">SUM(IF(G3:G38="R2",1,0))</f>
        <v>1</v>
      </c>
      <c r="H41" s="11">
        <f t="array" ref="H41">SUM(IF(H3:H38="R2",1,0))</f>
        <v>1</v>
      </c>
      <c r="I41" s="11">
        <f t="array" ref="I41">SUM(IF(I3:I38="R2",1,0))</f>
        <v>1</v>
      </c>
      <c r="J41" s="11">
        <f t="array" ref="J41">SUM(IF(J3:J38="R2",1,0))</f>
        <v>1</v>
      </c>
      <c r="K41" s="11">
        <f t="array" ref="K41">SUM(IF(K3:K38="R2",1,0))</f>
        <v>1</v>
      </c>
      <c r="L41" s="11">
        <f t="array" ref="L41">SUM(IF(L3:L38="R2",1,0))</f>
        <v>1</v>
      </c>
      <c r="M41" s="11">
        <f t="array" ref="M41">SUM(IF(M3:M38="R2",1,0))</f>
        <v>1</v>
      </c>
      <c r="N41" s="11">
        <f t="array" ref="N41">SUM(IF(N3:N38="R2",1,0))</f>
        <v>1</v>
      </c>
      <c r="O41" s="11">
        <f t="array" ref="O41">SUM(IF(O3:O38="R2",1,0))</f>
        <v>1</v>
      </c>
      <c r="P41" s="11">
        <f t="array" ref="P41">SUM(IF(P3:P38="R2",1,0))</f>
        <v>1</v>
      </c>
      <c r="Q41" s="11">
        <f t="array" ref="Q41">SUM(IF(Q3:Q38="R2",1,0))</f>
        <v>1</v>
      </c>
      <c r="R41" s="11">
        <f t="array" ref="R41">SUM(IF(R3:R38="R2",1,0))</f>
        <v>1</v>
      </c>
      <c r="S41" s="11">
        <f t="array" ref="S41">SUM(IF(S3:S38="R2",1,0))</f>
        <v>1</v>
      </c>
      <c r="T41" s="11">
        <f t="array" ref="T41">SUM(IF(T3:T38="R2",1,0))</f>
        <v>1</v>
      </c>
      <c r="U41" s="11">
        <f t="array" ref="U41">SUM(IF(U3:U38="R2",1,0))</f>
        <v>1</v>
      </c>
      <c r="V41" s="11">
        <f t="array" ref="V41">SUM(IF(V3:V38="R2",1,0))</f>
        <v>1</v>
      </c>
      <c r="W41" s="11">
        <f t="array" ref="W41">SUM(IF(W3:W38="R2",1,0))</f>
        <v>1</v>
      </c>
      <c r="X41" s="11">
        <f t="array" ref="X41">SUM(IF(X3:X38="R2",1,0))</f>
        <v>1</v>
      </c>
      <c r="Y41" s="11">
        <f t="array" ref="Y41">SUM(IF(Y3:Y38="R2",1,0))</f>
        <v>1</v>
      </c>
      <c r="Z41" s="11">
        <f t="array" ref="Z41">SUM(IF(Z3:Z38="R2",1,0))</f>
        <v>1</v>
      </c>
      <c r="AA41" s="11">
        <f t="array" ref="AA41">SUM(IF(AA3:AA38="R2",1,0))</f>
        <v>1</v>
      </c>
      <c r="AB41" s="11">
        <f t="array" ref="AB41">SUM(IF(AB3:AB38="R2",1,0))</f>
        <v>1</v>
      </c>
      <c r="AC41" s="11">
        <f t="array" ref="AC41">SUM(IF(AC3:AC38="R2",1,0))</f>
        <v>1</v>
      </c>
      <c r="AD41" s="11">
        <f t="array" ref="AD41">SUM(IF(AD3:AD38="R2",1,0))</f>
        <v>1</v>
      </c>
      <c r="AE41" s="11">
        <f t="array" ref="AE41">SUM(IF(AE3:AE38="R2",1,0))</f>
        <v>1</v>
      </c>
      <c r="AF41" s="11">
        <f t="array" ref="AF41">SUM(IF(AF3:AF38="R2",1,0))</f>
        <v>1</v>
      </c>
      <c r="AG41" s="11">
        <f t="array" ref="AG41">SUM(IF(AG3:AG38="R2",1,0))</f>
        <v>1</v>
      </c>
      <c r="AH41" s="11">
        <f t="array" ref="AH41">SUM(IF(AH3:AH38="R2",1,0))</f>
        <v>1</v>
      </c>
      <c r="AI41" s="11">
        <f t="array" ref="AI41">SUM(IF(AI3:AI38="R2",1,0))</f>
        <v>1</v>
      </c>
      <c r="AJ41" s="11">
        <f t="array" ref="AJ41">SUM(IF(AJ3:AJ38="R2",1,0))</f>
        <v>1</v>
      </c>
      <c r="AK41" s="11">
        <f t="array" ref="AK41">SUM(IF(AK3:AK38="R2",1,0))</f>
        <v>1</v>
      </c>
      <c r="AL41" s="11">
        <f t="array" ref="AL41">SUM(IF(AL3:AL38="R2",1,0))</f>
        <v>1</v>
      </c>
      <c r="AM41" s="11">
        <f t="array" ref="AM41">SUM(IF(AM3:AM38="R2",1,0))</f>
        <v>1</v>
      </c>
      <c r="AN41" s="11">
        <f t="array" ref="AN41">SUM(IF(AN3:AN38="R2",1,0))</f>
        <v>1</v>
      </c>
      <c r="AO41" s="11">
        <f t="array" ref="AO41">SUM(IF(AO3:AO38="R2",1,0))</f>
        <v>1</v>
      </c>
      <c r="AP41" s="11">
        <f t="array" ref="AP41">SUM(IF(AP3:AP38="R2",1,0))</f>
        <v>1</v>
      </c>
      <c r="AQ41" s="11">
        <f t="array" ref="AQ41">SUM(IF(AQ3:AQ38="R2",1,0))</f>
        <v>1</v>
      </c>
      <c r="AR41" s="11">
        <f t="array" ref="AR41">SUM(IF(AR3:AR38="R2",1,0))</f>
        <v>1</v>
      </c>
      <c r="AS41" s="11">
        <f t="array" ref="AS41">SUM(IF(AS3:AS38="R2",1,0))</f>
        <v>1</v>
      </c>
      <c r="AT41" s="11">
        <f t="array" ref="AT41">SUM(IF(AT3:AT38="R2",1,0))</f>
        <v>0</v>
      </c>
      <c r="AU41" s="11">
        <f t="array" ref="AU41">SUM(IF(H4:H37="R2",1,0))</f>
        <v>1</v>
      </c>
      <c r="AV41" s="11">
        <f t="array" ref="AV41">SUM(IF(I4:I37="R2",1,0))</f>
        <v>1</v>
      </c>
      <c r="AW41" s="11">
        <f t="array" ref="AW41">SUM(IF(J4:J37="R2",1,0))</f>
        <v>1</v>
      </c>
      <c r="AX41" s="11">
        <f t="array" ref="AX41">SUM(IF(K4:K37="R2",1,0))</f>
        <v>1</v>
      </c>
      <c r="AY41" s="11">
        <f t="array" ref="AY41">SUM(IF(L4:L37="R2",1,0))</f>
        <v>1</v>
      </c>
    </row>
    <row r="42">
      <c r="E42" s="46" t="s">
        <v>71</v>
      </c>
      <c r="F42" s="29" t="str">
        <f t="shared" ref="F42:V42" si="12">IFERROR(INDEX($A$3:$A$38, MATCH(1, INDEX($F$3:$AR$38, 0, MATCH(F2, $F$2:$AX$2, 0)), 0)), INDEX($A$3:$A$38, MATCH(1, INDEX($F$3:$AR$38, 0, MATCH(F2&amp;" AM", $F$2:$AX$2, 0)), 0)))</f>
        <v>CPL ANISH VINAAYAK SIVASANKAR</v>
      </c>
      <c r="G42" s="29" t="str">
        <f t="shared" si="12"/>
        <v>PTE JEREMIAH FOO JI SHUAN</v>
      </c>
      <c r="H42" s="29" t="str">
        <f t="shared" si="12"/>
        <v>PTE SIDDARTH SREEKUMAR CHERUBAL </v>
      </c>
      <c r="I42" s="29" t="str">
        <f t="shared" si="12"/>
        <v>CPL MITCHELL LIM </v>
      </c>
      <c r="J42" s="29" t="str">
        <f t="shared" si="12"/>
        <v>PTE CHEONG JUN KAI, HARRY</v>
      </c>
      <c r="K42" s="29" t="str">
        <f t="shared" si="12"/>
        <v>PTE BRYAN MARC MEHAR</v>
      </c>
      <c r="L42" s="29" t="str">
        <f t="shared" si="12"/>
        <v>CPL ISAAC LOH KA LOK</v>
      </c>
      <c r="M42" s="29" t="str">
        <f t="shared" si="12"/>
        <v>PTE TRISTEN LIM XING YU</v>
      </c>
      <c r="N42" s="29" t="str">
        <f t="shared" si="12"/>
        <v>PTE CHEONG KAI JIE</v>
      </c>
      <c r="O42" s="29" t="str">
        <f t="shared" si="12"/>
        <v>PTE BARATHAN  S/O JEGANATHAN</v>
      </c>
      <c r="P42" s="29" t="str">
        <f t="shared" si="12"/>
        <v>PTE RYAN TAY RUI YANG</v>
      </c>
      <c r="Q42" s="29" t="str">
        <f t="shared" si="12"/>
        <v>PTE MUHAMMAD NORSYAFIQ BIN SELAMAT</v>
      </c>
      <c r="R42" s="29" t="str">
        <f t="shared" si="12"/>
        <v>REC MUHAMMAD NUR HAKIM BIN SHAHARIZIN </v>
      </c>
      <c r="S42" s="29" t="str">
        <f t="shared" si="12"/>
        <v>PTE CHONG SIANG NATHAN</v>
      </c>
      <c r="T42" s="29" t="str">
        <f t="shared" si="12"/>
        <v>PTE PARAM MEHROTRA </v>
      </c>
      <c r="U42" s="29" t="str">
        <f t="shared" si="12"/>
        <v>PTE JULLION THNG AIK HONG </v>
      </c>
      <c r="V42" s="29" t="str">
        <f t="shared" si="12"/>
        <v>PTE EBRAHIM HAKEEM BIN AMEEHAR </v>
      </c>
      <c r="W42" s="29" t="str">
        <f t="shared" ref="W42:AC42" si="13">IFERROR(INDEX($A$3:$A$38, MATCH(1, INDEX($F$3:$AR$38, 0, MATCH(W2, $F$2:$AX$2, 0)), 0)), INDEX($A$3:$A$38, MATCH(1, INDEX($F$3:$AR$38, 0, MATCH(X2&amp;" AM", $F$2:$AX$2, 0)), 0)))</f>
        <v>LCP DYLAN TAN</v>
      </c>
      <c r="X42" s="29" t="str">
        <f t="shared" si="13"/>
        <v>PTE CLARENCE ONG JUN YI </v>
      </c>
      <c r="Y42" s="29" t="str">
        <f t="shared" si="13"/>
        <v>PTE BARATHAN  S/O JEGANATHAN</v>
      </c>
      <c r="Z42" s="29" t="str">
        <f t="shared" si="13"/>
        <v>PTE SIDDARTH SREEKUMAR CHERUBAL </v>
      </c>
      <c r="AA42" s="29" t="str">
        <f t="shared" si="13"/>
        <v>PTE MUHAMMAD HILAL IZDIHAR BIN MOHAMAD IZZUL SHAH</v>
      </c>
      <c r="AB42" s="29" t="str">
        <f t="shared" si="13"/>
        <v>CPL JERRYL TAN MING JIE </v>
      </c>
      <c r="AC42" s="29" t="str">
        <f t="shared" si="13"/>
        <v>PTE MOHAMED ROSHAN AKTAR BIN AZEES ALI </v>
      </c>
      <c r="AD42" s="29" t="str">
        <f t="shared" ref="AD42:AR42" si="14">IFERROR(INDEX($A$3:$A$38, MATCH(1, INDEX($F$3:$AR$38, 0, MATCH(AD2, $F$2:$AX$2, 0)), 0)), INDEX($A$3:$A$38, MATCH(1, INDEX($F$3:$AR$38, 0, MATCH(AD2&amp;" AM", $F$2:$AX$2, 0)), 0)))</f>
        <v>CPL SURIAPRAKASH THRIUVALAKU</v>
      </c>
      <c r="AE42" s="29" t="str">
        <f t="shared" si="14"/>
        <v>PTE PARAM MEHROTRA </v>
      </c>
      <c r="AF42" s="29" t="str">
        <f t="shared" si="14"/>
        <v>PTE FATHUL HAKIM BIN MUHAMMAD FAUZI </v>
      </c>
      <c r="AG42" s="29" t="str">
        <f t="shared" si="14"/>
        <v>PTE MUHAMMAD NORSYAFIQ BIN SELAMAT</v>
      </c>
      <c r="AH42" s="29" t="str">
        <f t="shared" si="14"/>
        <v>REC MUHAMMAD NUR HAKIM BIN SHAHARIZIN </v>
      </c>
      <c r="AI42" s="29" t="str">
        <f t="shared" si="14"/>
        <v>PTE SIDDARTH SREEKUMAR CHERUBAL </v>
      </c>
      <c r="AJ42" s="29" t="str">
        <f t="shared" si="14"/>
        <v>PTE HUANG JIANHAO</v>
      </c>
      <c r="AK42" s="29" t="str">
        <f t="shared" si="14"/>
        <v>PTE SHAVIN VALEN </v>
      </c>
      <c r="AL42" s="29" t="str">
        <f t="shared" si="14"/>
        <v>PTE SUSHILTHERAN NAIR S/O SIRITHERAN </v>
      </c>
      <c r="AM42" s="29" t="str">
        <f t="shared" si="14"/>
        <v>REC MUHAMAD RIFQY AQIL BIN MUHAMAD SHAH </v>
      </c>
      <c r="AN42" s="29" t="str">
        <f t="shared" si="14"/>
        <v>CPL SURIAPRAKASH THRIUVALAKU</v>
      </c>
      <c r="AO42" s="29" t="str">
        <f t="shared" si="14"/>
        <v>CPL NICO CHUA WEE FONG </v>
      </c>
      <c r="AP42" s="29" t="str">
        <f t="shared" si="14"/>
        <v>PTE FATHUL HAKIM BIN MUHAMMAD FAUZI </v>
      </c>
      <c r="AQ42" s="29" t="str">
        <f t="shared" si="14"/>
        <v>PTE DARYL SEOW  SHI YU</v>
      </c>
      <c r="AR42" s="29" t="str">
        <f t="shared" si="14"/>
        <v>PTE WANG XINHANG</v>
      </c>
      <c r="AS42" s="29" t="str">
        <f t="array" ref="AS42">IFERROR(INDEX($A$3:$A$38, MATCH(1, INDEX($F$3:$AS$38, 0, MATCH(AS2, $F$2:$AX$2, 0)), 0)), INDEX($A$3:$A$38, MATCH(1, INDEX($F$3:$AR$38, 0, MATCH(AS2&amp;" AM", $F$2:$AX$2, 0)), 0)))</f>
        <v>PTE OH EE BING</v>
      </c>
      <c r="AT42" s="29" t="str">
        <f t="shared" ref="AT42:AU42" si="15">IFERROR(INDEX($A$3:$A$38, MATCH(1, INDEX($F$3:$AR$38, 0, MATCH(AT2, $F$2:$AX$2, 0)), 0)), INDEX($A$3:$A$38, MATCH(1, INDEX($F$3:$AR$38, 0, MATCH(AT2&amp;" AM", $F$2:$AX$2, 0)), 0)))</f>
        <v>#N/A</v>
      </c>
      <c r="AU42" s="29" t="str">
        <f t="shared" si="15"/>
        <v>#N/A</v>
      </c>
      <c r="AV42" s="29" t="str">
        <f t="shared" ref="AV42:AY42" si="16">IFERROR(INDEX($A$3:$A$37, MATCH(1, INDEX($F$3:$AR$37, 0, MATCH(I3, $F$2:$AX$2, 0)), 0)), INDEX($A$3:$A$37, MATCH(1, INDEX($F$3:$AR$37, 0, MATCH(I3&amp;" AM", $F$2:$AX$2, 0)), 0)))</f>
        <v>#N/A</v>
      </c>
      <c r="AW42" s="29" t="str">
        <f t="shared" si="16"/>
        <v>#N/A</v>
      </c>
      <c r="AX42" s="29" t="str">
        <f t="shared" si="16"/>
        <v>#N/A</v>
      </c>
      <c r="AY42" s="29" t="str">
        <f t="shared" si="16"/>
        <v>#N/A</v>
      </c>
    </row>
    <row r="43">
      <c r="E43" s="46" t="s">
        <v>72</v>
      </c>
      <c r="F43" s="28" t="str">
        <f t="shared" ref="F43:AR43" si="17">INDEX($A$3:$A$38, MATCH("R", INDEX($F$3:$AR$38, 0, MATCH(F2, $F$2:$AX$2, 0)), 0))</f>
        <v>PTE WANG XINHANG</v>
      </c>
      <c r="G43" s="28" t="str">
        <f t="shared" si="17"/>
        <v>REC MUHAMMAD NUR HAKIM BIN SHAHARIZIN </v>
      </c>
      <c r="H43" s="28" t="str">
        <f t="shared" si="17"/>
        <v>PTE FATHUL HAKIM BIN MUHAMMAD FAUZI </v>
      </c>
      <c r="I43" s="28" t="str">
        <f t="shared" si="17"/>
        <v>PTE MUHAMMAD NORSYAFIQ BIN SELAMAT</v>
      </c>
      <c r="J43" s="28" t="str">
        <f t="shared" si="17"/>
        <v>PTE BARATHAN  S/O JEGANATHAN</v>
      </c>
      <c r="K43" s="28" t="str">
        <f t="shared" si="17"/>
        <v>PTE PARAM MEHROTRA </v>
      </c>
      <c r="L43" s="28" t="str">
        <f t="shared" si="17"/>
        <v>CPL MITCHELL LIM </v>
      </c>
      <c r="M43" s="28" t="str">
        <f t="shared" si="17"/>
        <v>PTE PARAM MEHROTRA </v>
      </c>
      <c r="N43" s="28" t="str">
        <f t="shared" si="17"/>
        <v>PTE JEREMIAH FOO JI SHUAN</v>
      </c>
      <c r="O43" s="28" t="str">
        <f t="shared" si="17"/>
        <v>CPL ANISH VINAAYAK SIVASANKAR</v>
      </c>
      <c r="P43" s="28" t="str">
        <f t="shared" si="17"/>
        <v>CPL MITCHELL LIM </v>
      </c>
      <c r="Q43" s="28" t="str">
        <f t="shared" si="17"/>
        <v>PTE CLARENCE ONG JUN YI </v>
      </c>
      <c r="R43" s="28" t="str">
        <f t="shared" si="17"/>
        <v>PTE RYAN TAY RUI YANG</v>
      </c>
      <c r="S43" s="28" t="str">
        <f t="shared" si="17"/>
        <v>CPL JERRYL TAN MING JIE </v>
      </c>
      <c r="T43" s="28" t="str">
        <f t="shared" si="17"/>
        <v>PTE RYAN TAY RUI YANG</v>
      </c>
      <c r="U43" s="28" t="str">
        <f t="shared" si="17"/>
        <v>CPL SURIAPRAKASH THRIUVALAKU</v>
      </c>
      <c r="V43" s="28" t="str">
        <f t="shared" si="17"/>
        <v>REC MUHAMAD RIFQY AQIL BIN MUHAMAD SHAH </v>
      </c>
      <c r="W43" s="28" t="str">
        <f t="shared" si="17"/>
        <v>PTE JULLION THNG AIK HONG </v>
      </c>
      <c r="X43" s="28" t="str">
        <f t="shared" si="17"/>
        <v>PTE RYAN TAY RUI YANG</v>
      </c>
      <c r="Y43" s="28" t="str">
        <f t="shared" si="17"/>
        <v>CPL ANISH VINAAYAK SIVASANKAR</v>
      </c>
      <c r="Z43" s="28" t="str">
        <f t="shared" si="17"/>
        <v>PTE CHEONG JUN KAI, HARRY</v>
      </c>
      <c r="AA43" s="28" t="str">
        <f t="shared" si="17"/>
        <v>PTE SUSHILTHERAN NAIR S/O SIRITHERAN </v>
      </c>
      <c r="AB43" s="28" t="str">
        <f t="shared" si="17"/>
        <v>CPL ISAAC LOH KA LOK</v>
      </c>
      <c r="AC43" s="28" t="str">
        <f t="shared" si="17"/>
        <v>PTE BRYAN MARC MEHAR</v>
      </c>
      <c r="AD43" s="28" t="str">
        <f t="shared" si="17"/>
        <v>PTE CHONG SIANG NATHAN</v>
      </c>
      <c r="AE43" s="28" t="str">
        <f t="shared" si="17"/>
        <v>PTE HUANG JIANHAO</v>
      </c>
      <c r="AF43" s="28" t="str">
        <f t="shared" si="17"/>
        <v>LCP DYLAN TAN</v>
      </c>
      <c r="AG43" s="28" t="str">
        <f t="shared" si="17"/>
        <v>PTE CHONG SIANG NATHAN</v>
      </c>
      <c r="AH43" s="28" t="str">
        <f t="shared" si="17"/>
        <v>PTE CHEONG KAI JIE</v>
      </c>
      <c r="AI43" s="28" t="str">
        <f t="shared" si="17"/>
        <v>CPL SURIAPRAKASH THRIUVALAKU</v>
      </c>
      <c r="AJ43" s="28" t="str">
        <f t="shared" si="17"/>
        <v>REC MUHAMMAD NUR HAKIM BIN SHAHARIZIN </v>
      </c>
      <c r="AK43" s="28" t="str">
        <f t="shared" si="17"/>
        <v>PTE WANG XINHANG</v>
      </c>
      <c r="AL43" s="28" t="str">
        <f t="shared" si="17"/>
        <v>PTE CHEONG JUN KAI, HARRY</v>
      </c>
      <c r="AM43" s="28" t="str">
        <f t="shared" si="17"/>
        <v>PTE EBRAHIM HAKEEM BIN AMEEHAR </v>
      </c>
      <c r="AN43" s="28" t="str">
        <f t="shared" si="17"/>
        <v>LCP AL EZRA BIN MOHAMED AL JOHAN </v>
      </c>
      <c r="AO43" s="28" t="str">
        <f t="shared" si="17"/>
        <v>PTE MOHAMED ROSHAN AKTAR BIN AZEES ALI </v>
      </c>
      <c r="AP43" s="28" t="str">
        <f t="shared" si="17"/>
        <v>PTE SHAVIN VALEN </v>
      </c>
      <c r="AQ43" s="28" t="str">
        <f t="shared" si="17"/>
        <v>PTE MUHAMMAD HILAL IZDIHAR BIN MOHAMAD IZZUL SHAH</v>
      </c>
      <c r="AR43" s="28" t="str">
        <f t="shared" si="17"/>
        <v>PTE RYAN TAY RUI YANG</v>
      </c>
      <c r="AS43" s="28" t="str">
        <f t="array" ref="AS43">INDEX($A$3:$A$38, MATCH("R", INDEX($F$3:$AS$38, 0, MATCH(AS2, $F$2:$AX$2, 0)), 0))</f>
        <v>PTE DARYL SEOW  SHI YU</v>
      </c>
      <c r="AT43" s="28" t="str">
        <f t="shared" ref="AT43:AU43" si="18">INDEX($A$3:$A$38, MATCH("R", INDEX($F$3:$AR$38, 0, MATCH(AT2, $F$2:$AX$2, 0)), 0))</f>
        <v>#N/A</v>
      </c>
      <c r="AU43" s="28" t="str">
        <f t="shared" si="18"/>
        <v>#N/A</v>
      </c>
      <c r="AV43" s="28" t="str">
        <f t="shared" ref="AV43:AY43" si="19">INDEX($A$3:$A$37, MATCH("R", INDEX($F$3:$AR$37, 0, MATCH(I3, $F$2:$AX$2, 0)), 0))</f>
        <v>#N/A</v>
      </c>
      <c r="AW43" s="28" t="str">
        <f t="shared" si="19"/>
        <v>#N/A</v>
      </c>
      <c r="AX43" s="28" t="str">
        <f t="shared" si="19"/>
        <v>#N/A</v>
      </c>
      <c r="AY43" s="28" t="str">
        <f t="shared" si="19"/>
        <v>#N/A</v>
      </c>
    </row>
    <row r="44">
      <c r="A44" s="17" t="s">
        <v>232</v>
      </c>
      <c r="C44" s="49">
        <f>COUNTA($F$1:$AS1)</f>
        <v>40</v>
      </c>
      <c r="E44" s="46" t="s">
        <v>70</v>
      </c>
      <c r="F44" s="30" t="str">
        <f t="shared" ref="F44:AR44" si="20">INDEX($A$3:$A$38, MATCH("R2", INDEX($F$3:$AR$38, 0, MATCH(F2, $F$2:$AX$2, 0)), 0))</f>
        <v>PTE CLARENCE ONG JUN YI </v>
      </c>
      <c r="G44" s="30" t="str">
        <f t="shared" si="20"/>
        <v>LCP DYLAN TAN</v>
      </c>
      <c r="H44" s="30" t="str">
        <f t="shared" si="20"/>
        <v>CPL ISAAC LOH KA LOK</v>
      </c>
      <c r="I44" s="30" t="str">
        <f t="shared" si="20"/>
        <v>CPL ISAAC LOH KA LOK</v>
      </c>
      <c r="J44" s="30" t="str">
        <f t="shared" si="20"/>
        <v>PTE SUSHILTHERAN NAIR S/O SIRITHERAN </v>
      </c>
      <c r="K44" s="30" t="str">
        <f t="shared" si="20"/>
        <v>PTE MOHAMED ROSHAN AKTAR BIN AZEES ALI </v>
      </c>
      <c r="L44" s="30" t="str">
        <f t="shared" si="20"/>
        <v>PTE SUSHILTHERAN NAIR S/O SIRITHERAN </v>
      </c>
      <c r="M44" s="30" t="str">
        <f t="shared" si="20"/>
        <v>PTE EBRAHIM HAKEEM BIN AMEEHAR </v>
      </c>
      <c r="N44" s="30" t="str">
        <f t="shared" si="20"/>
        <v>PTE JULLION THNG AIK HONG </v>
      </c>
      <c r="O44" s="30" t="str">
        <f t="shared" si="20"/>
        <v>PTE OH EE BING</v>
      </c>
      <c r="P44" s="30" t="str">
        <f t="shared" si="20"/>
        <v>PTE SHAVIN VALEN </v>
      </c>
      <c r="Q44" s="30" t="str">
        <f t="shared" si="20"/>
        <v>PTE SIDDARTH SREEKUMAR CHERUBAL </v>
      </c>
      <c r="R44" s="30" t="str">
        <f t="shared" si="20"/>
        <v>PTE MUHAMMAD HILAL IZDIHAR BIN MOHAMAD IZZUL SHAH</v>
      </c>
      <c r="S44" s="30" t="str">
        <f t="shared" si="20"/>
        <v>PTE OH EE BING</v>
      </c>
      <c r="T44" s="30" t="str">
        <f t="shared" si="20"/>
        <v>CPL NICO CHUA WEE FONG </v>
      </c>
      <c r="U44" s="30" t="str">
        <f t="shared" si="20"/>
        <v>PTE CHEONG JUN KAI, HARRY</v>
      </c>
      <c r="V44" s="30" t="str">
        <f t="shared" si="20"/>
        <v>PTE BRYAN MARC MEHAR</v>
      </c>
      <c r="W44" s="30" t="str">
        <f t="shared" si="20"/>
        <v>CPL JERRYL TAN MING JIE </v>
      </c>
      <c r="X44" s="30" t="str">
        <f t="shared" si="20"/>
        <v>PTE FATHUL HAKIM BIN MUHAMMAD FAUZI </v>
      </c>
      <c r="Y44" s="30" t="str">
        <f t="shared" si="20"/>
        <v>PTE SHAVIN VALEN </v>
      </c>
      <c r="Z44" s="30" t="str">
        <f t="shared" si="20"/>
        <v>PTE WANG XINHANG</v>
      </c>
      <c r="AA44" s="30" t="str">
        <f t="shared" si="20"/>
        <v>REC MUHAMMAD NUR HAKIM BIN SHAHARIZIN </v>
      </c>
      <c r="AB44" s="30" t="str">
        <f t="shared" si="20"/>
        <v>PTE JULLION THNG AIK HONG </v>
      </c>
      <c r="AC44" s="30" t="str">
        <f t="shared" si="20"/>
        <v>REC MUHAMAD RIFQY AQIL BIN MUHAMAD SHAH </v>
      </c>
      <c r="AD44" s="30" t="str">
        <f t="shared" si="20"/>
        <v>LCP AL EZRA BIN MOHAMED AL JOHAN </v>
      </c>
      <c r="AE44" s="30" t="str">
        <f t="shared" si="20"/>
        <v>CPL NICO CHUA WEE FONG </v>
      </c>
      <c r="AF44" s="30" t="str">
        <f t="shared" si="20"/>
        <v>PTE CLARENCE ONG JUN YI </v>
      </c>
      <c r="AG44" s="30" t="str">
        <f t="shared" si="20"/>
        <v>PTE WANG XINHANG</v>
      </c>
      <c r="AH44" s="30" t="str">
        <f t="shared" si="20"/>
        <v>PTE DARYL SEOW  SHI YU</v>
      </c>
      <c r="AI44" s="30" t="str">
        <f t="shared" si="20"/>
        <v>PTE BARATHAN  S/O JEGANATHAN</v>
      </c>
      <c r="AJ44" s="30" t="str">
        <f t="shared" si="20"/>
        <v>REC MUHAMAD RIFQY AQIL BIN MUHAMAD SHAH </v>
      </c>
      <c r="AK44" s="30" t="str">
        <f t="shared" si="20"/>
        <v>CPL MITCHELL LIM </v>
      </c>
      <c r="AL44" s="30" t="str">
        <f t="shared" si="20"/>
        <v>PTE DARYL SEOW  SHI YU</v>
      </c>
      <c r="AM44" s="30" t="str">
        <f t="shared" si="20"/>
        <v>PTE HUANG JIANHAO</v>
      </c>
      <c r="AN44" s="30" t="str">
        <f t="shared" si="20"/>
        <v>PTE BARATHAN  S/O JEGANATHAN</v>
      </c>
      <c r="AO44" s="30" t="str">
        <f t="shared" si="20"/>
        <v>PTE BRYAN MARC MEHAR</v>
      </c>
      <c r="AP44" s="30" t="str">
        <f t="shared" si="20"/>
        <v>PTE SIDDARTH SREEKUMAR CHERUBAL </v>
      </c>
      <c r="AQ44" s="30" t="str">
        <f t="shared" si="20"/>
        <v>PTE CHEONG JUN KAI, HARRY</v>
      </c>
      <c r="AR44" s="30" t="str">
        <f t="shared" si="20"/>
        <v>PTE CHEONG KAI JIE</v>
      </c>
      <c r="AS44" s="30" t="str">
        <f t="array" ref="AS44">INDEX($A$3:$A$38, MATCH("R2", INDEX($F$3:$AS$38, 0, MATCH(AS2, $F$2:$AX$2, 0)), 0))</f>
        <v>CPL MITCHELL LIM </v>
      </c>
      <c r="AT44" s="30" t="str">
        <f t="shared" ref="AT44:AU44" si="21">INDEX($A$3:$A$38, MATCH("R2", INDEX($F$3:$AR$38, 0, MATCH(AT2, $F$2:$AX$2, 0)), 0))</f>
        <v>#N/A</v>
      </c>
      <c r="AU44" s="30" t="str">
        <f t="shared" si="21"/>
        <v>#N/A</v>
      </c>
      <c r="AV44" s="30" t="str">
        <f t="shared" ref="AV44:AY44" si="22">INDEX($A$3:$A$37, MATCH("R2", INDEX($F$3:$AR$37, 0, MATCH(I3, $F$2:$AX$2, 0)), 0))</f>
        <v>#N/A</v>
      </c>
      <c r="AW44" s="30" t="str">
        <f t="shared" si="22"/>
        <v>#N/A</v>
      </c>
      <c r="AX44" s="30" t="str">
        <f t="shared" si="22"/>
        <v>#N/A</v>
      </c>
      <c r="AY44" s="30" t="str">
        <f t="shared" si="22"/>
        <v>#N/A</v>
      </c>
    </row>
    <row r="45">
      <c r="A45" s="17" t="s">
        <v>154</v>
      </c>
      <c r="C45" s="50">
        <f>SUBTOTAL(103, $A$3:$A$38)
</f>
        <v>35</v>
      </c>
      <c r="J45" s="31"/>
    </row>
    <row r="46">
      <c r="G46" s="17">
        <v>0.0</v>
      </c>
      <c r="H46" s="17" t="s">
        <v>554</v>
      </c>
      <c r="J46" s="31"/>
    </row>
    <row r="47">
      <c r="G47" s="17">
        <v>1.0</v>
      </c>
      <c r="H47" s="17" t="s">
        <v>591</v>
      </c>
      <c r="J47" s="31"/>
      <c r="K47" s="17" t="s">
        <v>556</v>
      </c>
    </row>
    <row r="48">
      <c r="A48" s="26" t="s">
        <v>118</v>
      </c>
      <c r="G48" s="17">
        <v>0.0</v>
      </c>
      <c r="H48" s="17" t="s">
        <v>592</v>
      </c>
      <c r="J48" s="31"/>
      <c r="K48" s="17" t="s">
        <v>593</v>
      </c>
      <c r="L48" s="17">
        <v>13.0</v>
      </c>
    </row>
    <row r="49">
      <c r="A49" s="25" t="s">
        <v>119</v>
      </c>
      <c r="G49" s="17">
        <v>0.0</v>
      </c>
      <c r="H49" s="17" t="s">
        <v>594</v>
      </c>
      <c r="J49" s="31"/>
    </row>
    <row r="50">
      <c r="A50" s="22" t="s">
        <v>120</v>
      </c>
      <c r="J50" s="31"/>
      <c r="L50" s="17" t="s">
        <v>595</v>
      </c>
    </row>
    <row r="51">
      <c r="A51" s="20" t="s">
        <v>121</v>
      </c>
      <c r="H51" s="17" t="s">
        <v>564</v>
      </c>
      <c r="J51" s="31"/>
      <c r="L51" s="17" t="s">
        <v>596</v>
      </c>
    </row>
    <row r="52">
      <c r="A52" s="23" t="s">
        <v>122</v>
      </c>
      <c r="H52" s="17" t="s">
        <v>597</v>
      </c>
      <c r="J52" s="31"/>
      <c r="L52" s="17" t="s">
        <v>598</v>
      </c>
    </row>
    <row r="53">
      <c r="A53" s="14" t="s">
        <v>123</v>
      </c>
      <c r="H53" s="17" t="s">
        <v>599</v>
      </c>
      <c r="J53" s="31"/>
    </row>
    <row r="54">
      <c r="A54" s="9" t="s">
        <v>125</v>
      </c>
      <c r="H54" s="17" t="s">
        <v>600</v>
      </c>
      <c r="J54" s="31"/>
    </row>
    <row r="55">
      <c r="A55" s="44" t="s">
        <v>126</v>
      </c>
      <c r="C55" s="31"/>
      <c r="H55" s="17" t="s">
        <v>601</v>
      </c>
      <c r="J55" s="31"/>
      <c r="L55" s="17" t="s">
        <v>602</v>
      </c>
    </row>
    <row r="56">
      <c r="A56" s="62" t="s">
        <v>203</v>
      </c>
      <c r="H56" s="17" t="s">
        <v>603</v>
      </c>
      <c r="J56" s="31"/>
    </row>
    <row r="57">
      <c r="A57" s="70" t="s">
        <v>233</v>
      </c>
      <c r="J57" s="31"/>
    </row>
    <row r="58">
      <c r="A58" s="69" t="s">
        <v>234</v>
      </c>
      <c r="J58" s="31"/>
    </row>
    <row r="59">
      <c r="A59" s="27" t="s">
        <v>124</v>
      </c>
      <c r="J59" s="31"/>
    </row>
    <row r="60">
      <c r="A60" s="24" t="s">
        <v>528</v>
      </c>
      <c r="J60" s="31"/>
    </row>
    <row r="61">
      <c r="J61" s="31"/>
    </row>
    <row r="62">
      <c r="J62" s="31"/>
    </row>
    <row r="63">
      <c r="J63" s="31"/>
    </row>
    <row r="64">
      <c r="J64" s="31"/>
    </row>
    <row r="65">
      <c r="J65" s="31"/>
    </row>
    <row r="66">
      <c r="J66" s="31"/>
    </row>
    <row r="67">
      <c r="J67" s="31"/>
    </row>
    <row r="68">
      <c r="J68" s="31"/>
    </row>
    <row r="69">
      <c r="J69" s="31"/>
    </row>
    <row r="70">
      <c r="J70" s="31"/>
    </row>
    <row r="71">
      <c r="J71" s="31"/>
    </row>
    <row r="72">
      <c r="J72" s="31"/>
    </row>
    <row r="73">
      <c r="J73" s="31"/>
    </row>
    <row r="74">
      <c r="J74" s="31"/>
    </row>
    <row r="75">
      <c r="J75" s="31"/>
    </row>
    <row r="76">
      <c r="J76" s="31"/>
    </row>
    <row r="77">
      <c r="J77" s="31"/>
    </row>
    <row r="78">
      <c r="J78" s="31"/>
    </row>
    <row r="79">
      <c r="J79" s="31"/>
    </row>
    <row r="80">
      <c r="J80" s="31"/>
    </row>
    <row r="81">
      <c r="J81" s="31"/>
    </row>
    <row r="82">
      <c r="J82" s="31"/>
    </row>
    <row r="83">
      <c r="J83" s="31"/>
    </row>
    <row r="84">
      <c r="J84" s="31"/>
    </row>
    <row r="85">
      <c r="J85" s="31"/>
    </row>
    <row r="86">
      <c r="J86" s="31"/>
    </row>
    <row r="87">
      <c r="J87" s="31"/>
    </row>
    <row r="88">
      <c r="J88" s="31"/>
    </row>
    <row r="89">
      <c r="J89" s="31"/>
    </row>
    <row r="90">
      <c r="J90" s="31"/>
    </row>
    <row r="91">
      <c r="J91" s="31"/>
    </row>
    <row r="92">
      <c r="J92" s="31"/>
    </row>
    <row r="93">
      <c r="J93" s="31"/>
    </row>
    <row r="94">
      <c r="J94" s="31"/>
    </row>
    <row r="95">
      <c r="J95" s="31"/>
    </row>
    <row r="96">
      <c r="J96" s="31"/>
    </row>
    <row r="97">
      <c r="J97" s="31"/>
    </row>
    <row r="98">
      <c r="J98" s="31"/>
    </row>
    <row r="99">
      <c r="J99" s="31"/>
    </row>
    <row r="100">
      <c r="J100" s="31"/>
    </row>
    <row r="101">
      <c r="J101" s="31"/>
    </row>
    <row r="102">
      <c r="J102" s="31"/>
    </row>
    <row r="103">
      <c r="J103" s="31"/>
    </row>
    <row r="104">
      <c r="J104" s="31"/>
    </row>
    <row r="105">
      <c r="J105" s="31"/>
    </row>
    <row r="106">
      <c r="J106" s="31"/>
    </row>
    <row r="107">
      <c r="J107" s="31"/>
    </row>
    <row r="108">
      <c r="J108" s="31"/>
    </row>
    <row r="109">
      <c r="J109" s="31"/>
    </row>
    <row r="110">
      <c r="J110" s="31"/>
    </row>
    <row r="111">
      <c r="J111" s="31"/>
    </row>
    <row r="112">
      <c r="J112" s="31"/>
    </row>
    <row r="113">
      <c r="J113" s="31"/>
    </row>
    <row r="114">
      <c r="J114" s="31"/>
    </row>
    <row r="115">
      <c r="J115" s="31"/>
    </row>
    <row r="116">
      <c r="J116" s="31"/>
    </row>
    <row r="117">
      <c r="J117" s="31"/>
    </row>
    <row r="118">
      <c r="J118" s="31"/>
    </row>
    <row r="119">
      <c r="J119" s="31"/>
    </row>
    <row r="120">
      <c r="J120" s="31"/>
    </row>
    <row r="121">
      <c r="J121" s="31"/>
    </row>
    <row r="122">
      <c r="J122" s="31"/>
    </row>
    <row r="123">
      <c r="J123" s="31"/>
    </row>
    <row r="124">
      <c r="J124" s="31"/>
    </row>
    <row r="125">
      <c r="J125" s="31"/>
    </row>
    <row r="126">
      <c r="J126" s="31"/>
    </row>
    <row r="127">
      <c r="J127" s="31"/>
    </row>
    <row r="128">
      <c r="J128" s="31"/>
    </row>
    <row r="129">
      <c r="J129" s="31"/>
    </row>
    <row r="130">
      <c r="J130" s="31"/>
    </row>
    <row r="131">
      <c r="J131" s="31"/>
    </row>
    <row r="132">
      <c r="J132" s="31"/>
    </row>
    <row r="133">
      <c r="J133" s="31"/>
    </row>
    <row r="134">
      <c r="J134" s="31"/>
    </row>
    <row r="135">
      <c r="J135" s="31"/>
    </row>
    <row r="136">
      <c r="J136" s="31"/>
    </row>
    <row r="137">
      <c r="J137" s="31"/>
    </row>
    <row r="138">
      <c r="J138" s="31"/>
    </row>
    <row r="139">
      <c r="J139" s="31"/>
    </row>
    <row r="140">
      <c r="J140" s="31"/>
    </row>
    <row r="141">
      <c r="J141" s="31"/>
    </row>
    <row r="142">
      <c r="J142" s="31"/>
    </row>
    <row r="143">
      <c r="J143" s="31"/>
    </row>
    <row r="144">
      <c r="J144" s="31"/>
    </row>
    <row r="145">
      <c r="J145" s="31"/>
    </row>
    <row r="146">
      <c r="J146" s="31"/>
    </row>
    <row r="147">
      <c r="J147" s="31"/>
    </row>
    <row r="148">
      <c r="J148" s="31"/>
    </row>
    <row r="149">
      <c r="J149" s="31"/>
    </row>
    <row r="150">
      <c r="J150" s="31"/>
    </row>
    <row r="151">
      <c r="J151" s="31"/>
    </row>
    <row r="152">
      <c r="J152" s="31"/>
    </row>
    <row r="153">
      <c r="J153" s="31"/>
    </row>
    <row r="154">
      <c r="J154" s="31"/>
    </row>
    <row r="155">
      <c r="J155" s="31"/>
    </row>
    <row r="156">
      <c r="J156" s="31"/>
    </row>
    <row r="157">
      <c r="J157" s="31"/>
    </row>
    <row r="158">
      <c r="J158" s="31"/>
    </row>
    <row r="159">
      <c r="J159" s="31"/>
    </row>
    <row r="160">
      <c r="J160" s="31"/>
    </row>
    <row r="161">
      <c r="J161" s="31"/>
    </row>
    <row r="162">
      <c r="J162" s="31"/>
    </row>
    <row r="163">
      <c r="J163" s="31"/>
    </row>
    <row r="164">
      <c r="J164" s="31"/>
    </row>
    <row r="165">
      <c r="J165" s="31"/>
    </row>
    <row r="166">
      <c r="J166" s="31"/>
    </row>
    <row r="167">
      <c r="J167" s="31"/>
    </row>
    <row r="168">
      <c r="J168" s="31"/>
    </row>
    <row r="169">
      <c r="J169" s="31"/>
    </row>
    <row r="170">
      <c r="J170" s="31"/>
    </row>
    <row r="171">
      <c r="J171" s="31"/>
    </row>
    <row r="172">
      <c r="J172" s="31"/>
    </row>
    <row r="173">
      <c r="J173" s="31"/>
    </row>
    <row r="174">
      <c r="J174" s="31"/>
    </row>
    <row r="175">
      <c r="J175" s="31"/>
    </row>
    <row r="176">
      <c r="J176" s="31"/>
    </row>
    <row r="177">
      <c r="J177" s="31"/>
    </row>
    <row r="178">
      <c r="J178" s="31"/>
    </row>
    <row r="179">
      <c r="J179" s="31"/>
    </row>
    <row r="180">
      <c r="J180" s="31"/>
    </row>
    <row r="181">
      <c r="J181" s="31"/>
    </row>
    <row r="182">
      <c r="J182" s="31"/>
    </row>
    <row r="183">
      <c r="J183" s="31"/>
    </row>
    <row r="184">
      <c r="J184" s="31"/>
    </row>
    <row r="185">
      <c r="J185" s="31"/>
    </row>
    <row r="186">
      <c r="J186" s="31"/>
    </row>
    <row r="187">
      <c r="J187" s="31"/>
    </row>
    <row r="188">
      <c r="J188" s="31"/>
    </row>
    <row r="189">
      <c r="J189" s="31"/>
    </row>
    <row r="190">
      <c r="J190" s="31"/>
    </row>
    <row r="191">
      <c r="J191" s="31"/>
    </row>
    <row r="192">
      <c r="J192" s="31"/>
    </row>
    <row r="193">
      <c r="J193" s="31"/>
    </row>
    <row r="194">
      <c r="J194" s="31"/>
    </row>
    <row r="195">
      <c r="J195" s="31"/>
    </row>
    <row r="196">
      <c r="J196" s="31"/>
    </row>
    <row r="197">
      <c r="J197" s="31"/>
    </row>
    <row r="198">
      <c r="J198" s="31"/>
    </row>
    <row r="199">
      <c r="J199" s="31"/>
    </row>
    <row r="200">
      <c r="J200" s="31"/>
    </row>
    <row r="201">
      <c r="J201" s="31"/>
    </row>
    <row r="202">
      <c r="J202" s="31"/>
    </row>
    <row r="203">
      <c r="J203" s="31"/>
    </row>
    <row r="204">
      <c r="J204" s="31"/>
    </row>
    <row r="205">
      <c r="J205" s="31"/>
    </row>
    <row r="206">
      <c r="J206" s="31"/>
    </row>
    <row r="207">
      <c r="J207" s="31"/>
    </row>
    <row r="208">
      <c r="J208" s="31"/>
    </row>
    <row r="209">
      <c r="J209" s="31"/>
    </row>
    <row r="210">
      <c r="J210" s="31"/>
    </row>
    <row r="211">
      <c r="J211" s="31"/>
    </row>
    <row r="212">
      <c r="J212" s="31"/>
    </row>
    <row r="213">
      <c r="J213" s="31"/>
    </row>
    <row r="214">
      <c r="J214" s="31"/>
    </row>
    <row r="215">
      <c r="J215" s="31"/>
    </row>
    <row r="216">
      <c r="J216" s="31"/>
    </row>
    <row r="217">
      <c r="J217" s="31"/>
    </row>
    <row r="218">
      <c r="J218" s="31"/>
    </row>
    <row r="219">
      <c r="J219" s="31"/>
    </row>
    <row r="220">
      <c r="J220" s="31"/>
    </row>
    <row r="221">
      <c r="J221" s="31"/>
    </row>
    <row r="222">
      <c r="J222" s="31"/>
    </row>
    <row r="223">
      <c r="J223" s="31"/>
    </row>
    <row r="224">
      <c r="J224" s="31"/>
    </row>
    <row r="225">
      <c r="J225" s="31"/>
    </row>
    <row r="226">
      <c r="J226" s="31"/>
    </row>
    <row r="227">
      <c r="J227" s="31"/>
    </row>
    <row r="228">
      <c r="J228" s="31"/>
    </row>
    <row r="229">
      <c r="J229" s="31"/>
    </row>
    <row r="230">
      <c r="J230" s="31"/>
    </row>
    <row r="231">
      <c r="J231" s="31"/>
    </row>
    <row r="232">
      <c r="J232" s="31"/>
    </row>
    <row r="233">
      <c r="J233" s="31"/>
    </row>
    <row r="234">
      <c r="J234" s="31"/>
    </row>
    <row r="235">
      <c r="J235" s="31"/>
    </row>
    <row r="236">
      <c r="J236" s="31"/>
    </row>
    <row r="237">
      <c r="J237" s="31"/>
    </row>
    <row r="238">
      <c r="J238" s="31"/>
    </row>
    <row r="239">
      <c r="J239" s="31"/>
    </row>
    <row r="240">
      <c r="J240" s="31"/>
    </row>
    <row r="241">
      <c r="J241" s="31"/>
    </row>
    <row r="242">
      <c r="J242" s="31"/>
    </row>
    <row r="243">
      <c r="J243" s="31"/>
    </row>
    <row r="244">
      <c r="J244" s="31"/>
    </row>
    <row r="245">
      <c r="J245" s="31"/>
    </row>
    <row r="246">
      <c r="J246" s="31"/>
    </row>
    <row r="247">
      <c r="J247" s="31"/>
    </row>
    <row r="248">
      <c r="J248" s="31"/>
    </row>
    <row r="249">
      <c r="J249" s="31"/>
    </row>
    <row r="250">
      <c r="J250" s="31"/>
    </row>
    <row r="251">
      <c r="J251" s="31"/>
    </row>
    <row r="252">
      <c r="J252" s="31"/>
    </row>
    <row r="253">
      <c r="J253" s="31"/>
    </row>
    <row r="254">
      <c r="J254" s="31"/>
    </row>
    <row r="255">
      <c r="J255" s="31"/>
    </row>
    <row r="256">
      <c r="J256" s="31"/>
    </row>
    <row r="257">
      <c r="J257" s="31"/>
    </row>
    <row r="258">
      <c r="J258" s="31"/>
    </row>
    <row r="259">
      <c r="J259" s="31"/>
    </row>
    <row r="260">
      <c r="J260" s="31"/>
    </row>
    <row r="261">
      <c r="J261" s="31"/>
    </row>
    <row r="262">
      <c r="J262" s="31"/>
    </row>
    <row r="263">
      <c r="J263" s="31"/>
    </row>
    <row r="264">
      <c r="J264" s="31"/>
    </row>
    <row r="265">
      <c r="J265" s="31"/>
    </row>
    <row r="266">
      <c r="J266" s="31"/>
    </row>
    <row r="267">
      <c r="J267" s="31"/>
    </row>
    <row r="268">
      <c r="J268" s="31"/>
    </row>
    <row r="269">
      <c r="J269" s="31"/>
    </row>
    <row r="270">
      <c r="J270" s="31"/>
    </row>
    <row r="271">
      <c r="J271" s="31"/>
    </row>
    <row r="272">
      <c r="J272" s="31"/>
    </row>
    <row r="273">
      <c r="J273" s="31"/>
    </row>
    <row r="274">
      <c r="J274" s="31"/>
    </row>
    <row r="275">
      <c r="J275" s="31"/>
    </row>
    <row r="276">
      <c r="J276" s="31"/>
    </row>
    <row r="277">
      <c r="J277" s="31"/>
    </row>
    <row r="278">
      <c r="J278" s="31"/>
    </row>
    <row r="279">
      <c r="J279" s="31"/>
    </row>
    <row r="280">
      <c r="J280" s="31"/>
    </row>
    <row r="281">
      <c r="J281" s="31"/>
    </row>
    <row r="282">
      <c r="J282" s="31"/>
    </row>
    <row r="283">
      <c r="J283" s="31"/>
    </row>
    <row r="284">
      <c r="J284" s="31"/>
    </row>
    <row r="285">
      <c r="J285" s="31"/>
    </row>
    <row r="286">
      <c r="J286" s="31"/>
    </row>
    <row r="287">
      <c r="J287" s="31"/>
    </row>
    <row r="288">
      <c r="J288" s="31"/>
    </row>
    <row r="289">
      <c r="J289" s="31"/>
    </row>
    <row r="290">
      <c r="J290" s="31"/>
    </row>
    <row r="291">
      <c r="J291" s="31"/>
    </row>
    <row r="292">
      <c r="J292" s="31"/>
    </row>
    <row r="293">
      <c r="J293" s="31"/>
    </row>
    <row r="294">
      <c r="J294" s="31"/>
    </row>
    <row r="295">
      <c r="J295" s="31"/>
    </row>
    <row r="296">
      <c r="J296" s="31"/>
    </row>
    <row r="297">
      <c r="J297" s="31"/>
    </row>
    <row r="298">
      <c r="J298" s="31"/>
    </row>
    <row r="299">
      <c r="J299" s="31"/>
    </row>
    <row r="300">
      <c r="J300" s="31"/>
    </row>
    <row r="301">
      <c r="J301" s="31"/>
    </row>
    <row r="302">
      <c r="J302" s="31"/>
    </row>
    <row r="303">
      <c r="J303" s="31"/>
    </row>
    <row r="304">
      <c r="J304" s="31"/>
    </row>
    <row r="305">
      <c r="J305" s="31"/>
    </row>
    <row r="306">
      <c r="J306" s="31"/>
    </row>
    <row r="307">
      <c r="J307" s="31"/>
    </row>
    <row r="308">
      <c r="J308" s="31"/>
    </row>
    <row r="309">
      <c r="J309" s="31"/>
    </row>
    <row r="310">
      <c r="J310" s="31"/>
    </row>
    <row r="311">
      <c r="J311" s="31"/>
    </row>
    <row r="312">
      <c r="J312" s="31"/>
    </row>
    <row r="313">
      <c r="J313" s="31"/>
    </row>
    <row r="314">
      <c r="J314" s="31"/>
    </row>
    <row r="315">
      <c r="J315" s="31"/>
    </row>
    <row r="316">
      <c r="J316" s="31"/>
    </row>
    <row r="317">
      <c r="J317" s="31"/>
    </row>
    <row r="318">
      <c r="J318" s="31"/>
    </row>
    <row r="319">
      <c r="J319" s="31"/>
    </row>
    <row r="320">
      <c r="J320" s="31"/>
    </row>
    <row r="321">
      <c r="J321" s="31"/>
    </row>
    <row r="322">
      <c r="J322" s="31"/>
    </row>
    <row r="323">
      <c r="J323" s="31"/>
    </row>
    <row r="324">
      <c r="J324" s="31"/>
    </row>
    <row r="325">
      <c r="J325" s="31"/>
    </row>
    <row r="326">
      <c r="J326" s="31"/>
    </row>
    <row r="327">
      <c r="J327" s="31"/>
    </row>
    <row r="328">
      <c r="J328" s="31"/>
    </row>
    <row r="329">
      <c r="J329" s="31"/>
    </row>
    <row r="330">
      <c r="J330" s="31"/>
    </row>
    <row r="331">
      <c r="J331" s="31"/>
    </row>
    <row r="332">
      <c r="J332" s="31"/>
    </row>
    <row r="333">
      <c r="J333" s="31"/>
    </row>
    <row r="334">
      <c r="J334" s="31"/>
    </row>
    <row r="335">
      <c r="J335" s="31"/>
    </row>
    <row r="336">
      <c r="J336" s="31"/>
    </row>
    <row r="337">
      <c r="J337" s="31"/>
    </row>
    <row r="338">
      <c r="J338" s="31"/>
    </row>
    <row r="339">
      <c r="J339" s="31"/>
    </row>
    <row r="340">
      <c r="J340" s="31"/>
    </row>
    <row r="341">
      <c r="J341" s="31"/>
    </row>
    <row r="342">
      <c r="J342" s="31"/>
    </row>
    <row r="343">
      <c r="J343" s="31"/>
    </row>
    <row r="344">
      <c r="J344" s="31"/>
    </row>
    <row r="345">
      <c r="J345" s="31"/>
    </row>
    <row r="346">
      <c r="J346" s="31"/>
    </row>
    <row r="347">
      <c r="J347" s="31"/>
    </row>
    <row r="348">
      <c r="J348" s="31"/>
    </row>
    <row r="349">
      <c r="J349" s="31"/>
    </row>
    <row r="350">
      <c r="J350" s="31"/>
    </row>
    <row r="351">
      <c r="J351" s="31"/>
    </row>
    <row r="352">
      <c r="J352" s="31"/>
    </row>
    <row r="353">
      <c r="J353" s="31"/>
    </row>
    <row r="354">
      <c r="J354" s="31"/>
    </row>
    <row r="355">
      <c r="J355" s="31"/>
    </row>
    <row r="356">
      <c r="J356" s="31"/>
    </row>
    <row r="357">
      <c r="J357" s="31"/>
    </row>
    <row r="358">
      <c r="J358" s="31"/>
    </row>
    <row r="359">
      <c r="J359" s="31"/>
    </row>
    <row r="360">
      <c r="J360" s="31"/>
    </row>
    <row r="361">
      <c r="J361" s="31"/>
    </row>
    <row r="362">
      <c r="J362" s="31"/>
    </row>
    <row r="363">
      <c r="J363" s="31"/>
    </row>
    <row r="364">
      <c r="J364" s="31"/>
    </row>
    <row r="365">
      <c r="J365" s="31"/>
    </row>
    <row r="366">
      <c r="J366" s="31"/>
    </row>
    <row r="367">
      <c r="J367" s="31"/>
    </row>
    <row r="368">
      <c r="J368" s="31"/>
    </row>
    <row r="369">
      <c r="J369" s="31"/>
    </row>
    <row r="370">
      <c r="J370" s="31"/>
    </row>
    <row r="371">
      <c r="J371" s="31"/>
    </row>
    <row r="372">
      <c r="J372" s="31"/>
    </row>
    <row r="373">
      <c r="J373" s="31"/>
    </row>
    <row r="374">
      <c r="J374" s="31"/>
    </row>
    <row r="375">
      <c r="J375" s="31"/>
    </row>
    <row r="376">
      <c r="J376" s="31"/>
    </row>
    <row r="377">
      <c r="J377" s="31"/>
    </row>
    <row r="378">
      <c r="J378" s="31"/>
    </row>
    <row r="379">
      <c r="J379" s="31"/>
    </row>
    <row r="380">
      <c r="J380" s="31"/>
    </row>
    <row r="381">
      <c r="J381" s="31"/>
    </row>
    <row r="382">
      <c r="J382" s="31"/>
    </row>
    <row r="383">
      <c r="J383" s="31"/>
    </row>
    <row r="384">
      <c r="J384" s="31"/>
    </row>
    <row r="385">
      <c r="J385" s="31"/>
    </row>
    <row r="386">
      <c r="J386" s="31"/>
    </row>
    <row r="387">
      <c r="J387" s="31"/>
    </row>
    <row r="388">
      <c r="J388" s="31"/>
    </row>
    <row r="389">
      <c r="J389" s="31"/>
    </row>
    <row r="390">
      <c r="J390" s="31"/>
    </row>
    <row r="391">
      <c r="J391" s="31"/>
    </row>
    <row r="392">
      <c r="J392" s="31"/>
    </row>
    <row r="393">
      <c r="J393" s="31"/>
    </row>
    <row r="394">
      <c r="J394" s="31"/>
    </row>
    <row r="395">
      <c r="J395" s="31"/>
    </row>
    <row r="396">
      <c r="J396" s="31"/>
    </row>
    <row r="397">
      <c r="J397" s="31"/>
    </row>
    <row r="398">
      <c r="J398" s="31"/>
    </row>
    <row r="399">
      <c r="J399" s="31"/>
    </row>
    <row r="400">
      <c r="J400" s="31"/>
    </row>
    <row r="401">
      <c r="J401" s="31"/>
    </row>
    <row r="402">
      <c r="J402" s="31"/>
    </row>
    <row r="403">
      <c r="J403" s="31"/>
    </row>
    <row r="404">
      <c r="J404" s="31"/>
    </row>
    <row r="405">
      <c r="J405" s="31"/>
    </row>
    <row r="406">
      <c r="J406" s="31"/>
    </row>
    <row r="407">
      <c r="J407" s="31"/>
    </row>
    <row r="408">
      <c r="J408" s="31"/>
    </row>
    <row r="409">
      <c r="J409" s="31"/>
    </row>
    <row r="410">
      <c r="J410" s="31"/>
    </row>
    <row r="411">
      <c r="J411" s="31"/>
    </row>
    <row r="412">
      <c r="J412" s="31"/>
    </row>
    <row r="413">
      <c r="J413" s="31"/>
    </row>
    <row r="414">
      <c r="J414" s="31"/>
    </row>
    <row r="415">
      <c r="J415" s="31"/>
    </row>
    <row r="416">
      <c r="J416" s="31"/>
    </row>
    <row r="417">
      <c r="J417" s="31"/>
    </row>
    <row r="418">
      <c r="J418" s="31"/>
    </row>
    <row r="419">
      <c r="J419" s="31"/>
    </row>
    <row r="420">
      <c r="J420" s="31"/>
    </row>
    <row r="421">
      <c r="J421" s="31"/>
    </row>
    <row r="422">
      <c r="J422" s="31"/>
    </row>
    <row r="423">
      <c r="J423" s="31"/>
    </row>
    <row r="424">
      <c r="J424" s="31"/>
    </row>
    <row r="425">
      <c r="J425" s="31"/>
    </row>
    <row r="426">
      <c r="J426" s="31"/>
    </row>
    <row r="427">
      <c r="J427" s="31"/>
    </row>
    <row r="428">
      <c r="J428" s="31"/>
    </row>
    <row r="429">
      <c r="J429" s="31"/>
    </row>
    <row r="430">
      <c r="J430" s="31"/>
    </row>
    <row r="431">
      <c r="J431" s="31"/>
    </row>
    <row r="432">
      <c r="J432" s="31"/>
    </row>
    <row r="433">
      <c r="J433" s="31"/>
    </row>
    <row r="434">
      <c r="J434" s="31"/>
    </row>
    <row r="435">
      <c r="J435" s="31"/>
    </row>
    <row r="436">
      <c r="J436" s="31"/>
    </row>
    <row r="437">
      <c r="J437" s="31"/>
    </row>
    <row r="438">
      <c r="J438" s="31"/>
    </row>
    <row r="439">
      <c r="J439" s="31"/>
    </row>
    <row r="440">
      <c r="J440" s="31"/>
    </row>
    <row r="441">
      <c r="J441" s="31"/>
    </row>
    <row r="442">
      <c r="J442" s="31"/>
    </row>
    <row r="443">
      <c r="J443" s="31"/>
    </row>
    <row r="444">
      <c r="J444" s="31"/>
    </row>
    <row r="445">
      <c r="J445" s="31"/>
    </row>
    <row r="446">
      <c r="J446" s="31"/>
    </row>
    <row r="447">
      <c r="J447" s="31"/>
    </row>
    <row r="448">
      <c r="J448" s="31"/>
    </row>
    <row r="449">
      <c r="J449" s="31"/>
    </row>
    <row r="450">
      <c r="J450" s="31"/>
    </row>
    <row r="451">
      <c r="J451" s="31"/>
    </row>
    <row r="452">
      <c r="J452" s="31"/>
    </row>
    <row r="453">
      <c r="J453" s="31"/>
    </row>
    <row r="454">
      <c r="J454" s="31"/>
    </row>
    <row r="455">
      <c r="J455" s="31"/>
    </row>
    <row r="456">
      <c r="J456" s="31"/>
    </row>
    <row r="457">
      <c r="J457" s="31"/>
    </row>
    <row r="458">
      <c r="J458" s="31"/>
    </row>
    <row r="459">
      <c r="J459" s="31"/>
    </row>
    <row r="460">
      <c r="J460" s="31"/>
    </row>
    <row r="461">
      <c r="J461" s="31"/>
    </row>
    <row r="462">
      <c r="J462" s="31"/>
    </row>
    <row r="463">
      <c r="J463" s="31"/>
    </row>
    <row r="464">
      <c r="J464" s="31"/>
    </row>
    <row r="465">
      <c r="J465" s="31"/>
    </row>
    <row r="466">
      <c r="J466" s="31"/>
    </row>
    <row r="467">
      <c r="J467" s="31"/>
    </row>
    <row r="468">
      <c r="J468" s="31"/>
    </row>
    <row r="469">
      <c r="J469" s="31"/>
    </row>
    <row r="470">
      <c r="J470" s="31"/>
    </row>
    <row r="471">
      <c r="J471" s="31"/>
    </row>
    <row r="472">
      <c r="J472" s="31"/>
    </row>
    <row r="473">
      <c r="J473" s="31"/>
    </row>
    <row r="474">
      <c r="J474" s="31"/>
    </row>
    <row r="475">
      <c r="J475" s="31"/>
    </row>
    <row r="476">
      <c r="J476" s="31"/>
    </row>
    <row r="477">
      <c r="J477" s="31"/>
    </row>
    <row r="478">
      <c r="J478" s="31"/>
    </row>
    <row r="479">
      <c r="J479" s="31"/>
    </row>
    <row r="480">
      <c r="J480" s="31"/>
    </row>
    <row r="481">
      <c r="J481" s="31"/>
    </row>
    <row r="482">
      <c r="J482" s="31"/>
    </row>
    <row r="483">
      <c r="J483" s="31"/>
    </row>
    <row r="484">
      <c r="J484" s="31"/>
    </row>
    <row r="485">
      <c r="J485" s="31"/>
    </row>
    <row r="486">
      <c r="J486" s="31"/>
    </row>
    <row r="487">
      <c r="J487" s="31"/>
    </row>
    <row r="488">
      <c r="J488" s="31"/>
    </row>
    <row r="489">
      <c r="J489" s="31"/>
    </row>
    <row r="490">
      <c r="J490" s="31"/>
    </row>
    <row r="491">
      <c r="J491" s="31"/>
    </row>
    <row r="492">
      <c r="J492" s="31"/>
    </row>
    <row r="493">
      <c r="J493" s="31"/>
    </row>
    <row r="494">
      <c r="J494" s="31"/>
    </row>
    <row r="495">
      <c r="J495" s="31"/>
    </row>
    <row r="496">
      <c r="J496" s="31"/>
    </row>
    <row r="497">
      <c r="J497" s="31"/>
    </row>
    <row r="498">
      <c r="J498" s="31"/>
    </row>
    <row r="499">
      <c r="J499" s="31"/>
    </row>
    <row r="500">
      <c r="J500" s="31"/>
    </row>
    <row r="501">
      <c r="J501" s="31"/>
    </row>
    <row r="502">
      <c r="J502" s="31"/>
    </row>
    <row r="503">
      <c r="J503" s="31"/>
    </row>
    <row r="504">
      <c r="J504" s="31"/>
    </row>
    <row r="505">
      <c r="J505" s="31"/>
    </row>
    <row r="506">
      <c r="J506" s="31"/>
    </row>
    <row r="507">
      <c r="J507" s="31"/>
    </row>
    <row r="508">
      <c r="J508" s="31"/>
    </row>
    <row r="509">
      <c r="J509" s="31"/>
    </row>
    <row r="510">
      <c r="J510" s="31"/>
    </row>
    <row r="511">
      <c r="J511" s="31"/>
    </row>
    <row r="512">
      <c r="J512" s="31"/>
    </row>
    <row r="513">
      <c r="J513" s="31"/>
    </row>
    <row r="514">
      <c r="J514" s="31"/>
    </row>
    <row r="515">
      <c r="J515" s="31"/>
    </row>
    <row r="516">
      <c r="J516" s="31"/>
    </row>
    <row r="517">
      <c r="J517" s="31"/>
    </row>
    <row r="518">
      <c r="J518" s="31"/>
    </row>
    <row r="519">
      <c r="J519" s="31"/>
    </row>
    <row r="520">
      <c r="J520" s="31"/>
    </row>
    <row r="521">
      <c r="J521" s="31"/>
    </row>
    <row r="522">
      <c r="J522" s="31"/>
    </row>
    <row r="523">
      <c r="J523" s="31"/>
    </row>
    <row r="524">
      <c r="J524" s="31"/>
    </row>
    <row r="525">
      <c r="J525" s="31"/>
    </row>
    <row r="526">
      <c r="J526" s="31"/>
    </row>
    <row r="527">
      <c r="J527" s="31"/>
    </row>
    <row r="528">
      <c r="J528" s="31"/>
    </row>
    <row r="529">
      <c r="J529" s="31"/>
    </row>
    <row r="530">
      <c r="J530" s="31"/>
    </row>
    <row r="531">
      <c r="J531" s="31"/>
    </row>
    <row r="532">
      <c r="J532" s="31"/>
    </row>
    <row r="533">
      <c r="J533" s="31"/>
    </row>
    <row r="534">
      <c r="J534" s="31"/>
    </row>
    <row r="535">
      <c r="J535" s="31"/>
    </row>
    <row r="536">
      <c r="J536" s="31"/>
    </row>
    <row r="537">
      <c r="J537" s="31"/>
    </row>
    <row r="538">
      <c r="J538" s="31"/>
    </row>
    <row r="539">
      <c r="J539" s="31"/>
    </row>
    <row r="540">
      <c r="J540" s="31"/>
    </row>
    <row r="541">
      <c r="J541" s="31"/>
    </row>
    <row r="542">
      <c r="J542" s="31"/>
    </row>
    <row r="543">
      <c r="J543" s="31"/>
    </row>
    <row r="544">
      <c r="J544" s="31"/>
    </row>
    <row r="545">
      <c r="J545" s="31"/>
    </row>
    <row r="546">
      <c r="J546" s="31"/>
    </row>
    <row r="547">
      <c r="J547" s="31"/>
    </row>
    <row r="548">
      <c r="J548" s="31"/>
    </row>
    <row r="549">
      <c r="J549" s="31"/>
    </row>
    <row r="550">
      <c r="J550" s="31"/>
    </row>
    <row r="551">
      <c r="J551" s="31"/>
    </row>
    <row r="552">
      <c r="J552" s="31"/>
    </row>
    <row r="553">
      <c r="J553" s="31"/>
    </row>
    <row r="554">
      <c r="J554" s="31"/>
    </row>
    <row r="555">
      <c r="J555" s="31"/>
    </row>
    <row r="556">
      <c r="J556" s="31"/>
    </row>
    <row r="557">
      <c r="J557" s="31"/>
    </row>
    <row r="558">
      <c r="J558" s="31"/>
    </row>
    <row r="559">
      <c r="J559" s="31"/>
    </row>
    <row r="560">
      <c r="J560" s="31"/>
    </row>
    <row r="561">
      <c r="J561" s="31"/>
    </row>
    <row r="562">
      <c r="J562" s="31"/>
    </row>
    <row r="563">
      <c r="J563" s="31"/>
    </row>
    <row r="564">
      <c r="J564" s="31"/>
    </row>
    <row r="565">
      <c r="J565" s="31"/>
    </row>
    <row r="566">
      <c r="J566" s="31"/>
    </row>
    <row r="567">
      <c r="J567" s="31"/>
    </row>
    <row r="568">
      <c r="J568" s="31"/>
    </row>
    <row r="569">
      <c r="J569" s="31"/>
    </row>
    <row r="570">
      <c r="J570" s="31"/>
    </row>
    <row r="571">
      <c r="J571" s="31"/>
    </row>
    <row r="572">
      <c r="J572" s="31"/>
    </row>
    <row r="573">
      <c r="J573" s="31"/>
    </row>
    <row r="574">
      <c r="J574" s="31"/>
    </row>
    <row r="575">
      <c r="J575" s="31"/>
    </row>
    <row r="576">
      <c r="J576" s="31"/>
    </row>
    <row r="577">
      <c r="J577" s="31"/>
    </row>
    <row r="578">
      <c r="J578" s="31"/>
    </row>
    <row r="579">
      <c r="J579" s="31"/>
    </row>
    <row r="580">
      <c r="J580" s="31"/>
    </row>
    <row r="581">
      <c r="J581" s="31"/>
    </row>
    <row r="582">
      <c r="J582" s="31"/>
    </row>
    <row r="583">
      <c r="J583" s="31"/>
    </row>
    <row r="584">
      <c r="J584" s="31"/>
    </row>
    <row r="585">
      <c r="J585" s="31"/>
    </row>
    <row r="586">
      <c r="J586" s="31"/>
    </row>
    <row r="587">
      <c r="J587" s="31"/>
    </row>
    <row r="588">
      <c r="J588" s="31"/>
    </row>
    <row r="589">
      <c r="J589" s="31"/>
    </row>
    <row r="590">
      <c r="J590" s="31"/>
    </row>
    <row r="591">
      <c r="J591" s="31"/>
    </row>
    <row r="592">
      <c r="J592" s="31"/>
    </row>
    <row r="593">
      <c r="J593" s="31"/>
    </row>
    <row r="594">
      <c r="J594" s="31"/>
    </row>
    <row r="595">
      <c r="J595" s="31"/>
    </row>
    <row r="596">
      <c r="J596" s="31"/>
    </row>
    <row r="597">
      <c r="J597" s="31"/>
    </row>
    <row r="598">
      <c r="J598" s="31"/>
    </row>
    <row r="599">
      <c r="J599" s="31"/>
    </row>
    <row r="600">
      <c r="J600" s="31"/>
    </row>
    <row r="601">
      <c r="J601" s="31"/>
    </row>
    <row r="602">
      <c r="J602" s="31"/>
    </row>
    <row r="603">
      <c r="J603" s="31"/>
    </row>
    <row r="604">
      <c r="J604" s="31"/>
    </row>
    <row r="605">
      <c r="J605" s="31"/>
    </row>
    <row r="606">
      <c r="J606" s="31"/>
    </row>
    <row r="607">
      <c r="J607" s="31"/>
    </row>
    <row r="608">
      <c r="J608" s="31"/>
    </row>
    <row r="609">
      <c r="J609" s="31"/>
    </row>
    <row r="610">
      <c r="J610" s="31"/>
    </row>
    <row r="611">
      <c r="J611" s="31"/>
    </row>
    <row r="612">
      <c r="J612" s="31"/>
    </row>
    <row r="613">
      <c r="J613" s="31"/>
    </row>
    <row r="614">
      <c r="J614" s="31"/>
    </row>
    <row r="615">
      <c r="J615" s="31"/>
    </row>
    <row r="616">
      <c r="J616" s="31"/>
    </row>
    <row r="617">
      <c r="J617" s="31"/>
    </row>
    <row r="618">
      <c r="J618" s="31"/>
    </row>
    <row r="619">
      <c r="J619" s="31"/>
    </row>
    <row r="620">
      <c r="J620" s="31"/>
    </row>
    <row r="621">
      <c r="J621" s="31"/>
    </row>
    <row r="622">
      <c r="J622" s="31"/>
    </row>
    <row r="623">
      <c r="J623" s="31"/>
    </row>
    <row r="624">
      <c r="J624" s="31"/>
    </row>
    <row r="625">
      <c r="J625" s="31"/>
    </row>
    <row r="626">
      <c r="J626" s="31"/>
    </row>
    <row r="627">
      <c r="J627" s="31"/>
    </row>
    <row r="628">
      <c r="J628" s="31"/>
    </row>
    <row r="629">
      <c r="J629" s="31"/>
    </row>
    <row r="630">
      <c r="J630" s="31"/>
    </row>
    <row r="631">
      <c r="J631" s="31"/>
    </row>
    <row r="632">
      <c r="J632" s="31"/>
    </row>
    <row r="633">
      <c r="J633" s="31"/>
    </row>
    <row r="634">
      <c r="J634" s="31"/>
    </row>
    <row r="635">
      <c r="J635" s="31"/>
    </row>
    <row r="636">
      <c r="J636" s="31"/>
    </row>
    <row r="637">
      <c r="J637" s="31"/>
    </row>
    <row r="638">
      <c r="J638" s="31"/>
    </row>
    <row r="639">
      <c r="J639" s="31"/>
    </row>
    <row r="640">
      <c r="J640" s="31"/>
    </row>
    <row r="641">
      <c r="J641" s="31"/>
    </row>
    <row r="642">
      <c r="J642" s="31"/>
    </row>
    <row r="643">
      <c r="J643" s="31"/>
    </row>
    <row r="644">
      <c r="J644" s="31"/>
    </row>
    <row r="645">
      <c r="J645" s="31"/>
    </row>
    <row r="646">
      <c r="J646" s="31"/>
    </row>
    <row r="647">
      <c r="J647" s="31"/>
    </row>
    <row r="648">
      <c r="J648" s="31"/>
    </row>
    <row r="649">
      <c r="J649" s="31"/>
    </row>
    <row r="650">
      <c r="J650" s="31"/>
    </row>
    <row r="651">
      <c r="J651" s="31"/>
    </row>
    <row r="652">
      <c r="J652" s="31"/>
    </row>
    <row r="653">
      <c r="J653" s="31"/>
    </row>
    <row r="654">
      <c r="J654" s="31"/>
    </row>
    <row r="655">
      <c r="J655" s="31"/>
    </row>
    <row r="656">
      <c r="J656" s="31"/>
    </row>
    <row r="657">
      <c r="J657" s="31"/>
    </row>
    <row r="658">
      <c r="J658" s="31"/>
    </row>
    <row r="659">
      <c r="J659" s="31"/>
    </row>
    <row r="660">
      <c r="J660" s="31"/>
    </row>
    <row r="661">
      <c r="J661" s="31"/>
    </row>
    <row r="662">
      <c r="J662" s="31"/>
    </row>
    <row r="663">
      <c r="J663" s="31"/>
    </row>
    <row r="664">
      <c r="J664" s="31"/>
    </row>
    <row r="665">
      <c r="J665" s="31"/>
    </row>
    <row r="666">
      <c r="J666" s="31"/>
    </row>
    <row r="667">
      <c r="J667" s="31"/>
    </row>
    <row r="668">
      <c r="J668" s="31"/>
    </row>
    <row r="669">
      <c r="J669" s="31"/>
    </row>
    <row r="670">
      <c r="J670" s="31"/>
    </row>
    <row r="671">
      <c r="J671" s="31"/>
    </row>
    <row r="672">
      <c r="J672" s="31"/>
    </row>
    <row r="673">
      <c r="J673" s="31"/>
    </row>
    <row r="674">
      <c r="J674" s="31"/>
    </row>
    <row r="675">
      <c r="J675" s="31"/>
    </row>
    <row r="676">
      <c r="J676" s="31"/>
    </row>
    <row r="677">
      <c r="J677" s="31"/>
    </row>
    <row r="678">
      <c r="J678" s="31"/>
    </row>
    <row r="679">
      <c r="J679" s="31"/>
    </row>
    <row r="680">
      <c r="J680" s="31"/>
    </row>
    <row r="681">
      <c r="J681" s="31"/>
    </row>
    <row r="682">
      <c r="J682" s="31"/>
    </row>
    <row r="683">
      <c r="J683" s="31"/>
    </row>
    <row r="684">
      <c r="J684" s="31"/>
    </row>
    <row r="685">
      <c r="J685" s="31"/>
    </row>
    <row r="686">
      <c r="J686" s="31"/>
    </row>
    <row r="687">
      <c r="J687" s="31"/>
    </row>
    <row r="688">
      <c r="J688" s="31"/>
    </row>
    <row r="689">
      <c r="J689" s="31"/>
    </row>
    <row r="690">
      <c r="J690" s="31"/>
    </row>
    <row r="691">
      <c r="J691" s="31"/>
    </row>
    <row r="692">
      <c r="J692" s="31"/>
    </row>
    <row r="693">
      <c r="J693" s="31"/>
    </row>
    <row r="694">
      <c r="J694" s="31"/>
    </row>
    <row r="695">
      <c r="J695" s="31"/>
    </row>
    <row r="696">
      <c r="J696" s="31"/>
    </row>
    <row r="697">
      <c r="J697" s="31"/>
    </row>
    <row r="698">
      <c r="J698" s="31"/>
    </row>
    <row r="699">
      <c r="J699" s="31"/>
    </row>
    <row r="700">
      <c r="J700" s="31"/>
    </row>
    <row r="701">
      <c r="J701" s="31"/>
    </row>
    <row r="702">
      <c r="J702" s="31"/>
    </row>
    <row r="703">
      <c r="J703" s="31"/>
    </row>
    <row r="704">
      <c r="J704" s="31"/>
    </row>
    <row r="705">
      <c r="J705" s="31"/>
    </row>
    <row r="706">
      <c r="J706" s="31"/>
    </row>
    <row r="707">
      <c r="J707" s="31"/>
    </row>
    <row r="708">
      <c r="J708" s="31"/>
    </row>
    <row r="709">
      <c r="J709" s="31"/>
    </row>
    <row r="710">
      <c r="J710" s="31"/>
    </row>
    <row r="711">
      <c r="J711" s="31"/>
    </row>
    <row r="712">
      <c r="J712" s="31"/>
    </row>
    <row r="713">
      <c r="J713" s="31"/>
    </row>
    <row r="714">
      <c r="J714" s="31"/>
    </row>
    <row r="715">
      <c r="J715" s="31"/>
    </row>
    <row r="716">
      <c r="J716" s="31"/>
    </row>
    <row r="717">
      <c r="J717" s="31"/>
    </row>
    <row r="718">
      <c r="J718" s="31"/>
    </row>
    <row r="719">
      <c r="J719" s="31"/>
    </row>
    <row r="720">
      <c r="J720" s="31"/>
    </row>
    <row r="721">
      <c r="J721" s="31"/>
    </row>
    <row r="722">
      <c r="J722" s="31"/>
    </row>
    <row r="723">
      <c r="J723" s="31"/>
    </row>
    <row r="724">
      <c r="J724" s="31"/>
    </row>
    <row r="725">
      <c r="J725" s="31"/>
    </row>
    <row r="726">
      <c r="J726" s="31"/>
    </row>
    <row r="727">
      <c r="J727" s="31"/>
    </row>
    <row r="728">
      <c r="J728" s="31"/>
    </row>
    <row r="729">
      <c r="J729" s="31"/>
    </row>
    <row r="730">
      <c r="J730" s="31"/>
    </row>
    <row r="731">
      <c r="J731" s="31"/>
    </row>
    <row r="732">
      <c r="J732" s="31"/>
    </row>
    <row r="733">
      <c r="J733" s="31"/>
    </row>
    <row r="734">
      <c r="J734" s="31"/>
    </row>
    <row r="735">
      <c r="J735" s="31"/>
    </row>
    <row r="736">
      <c r="J736" s="31"/>
    </row>
    <row r="737">
      <c r="J737" s="31"/>
    </row>
    <row r="738">
      <c r="J738" s="31"/>
    </row>
    <row r="739">
      <c r="J739" s="31"/>
    </row>
    <row r="740">
      <c r="J740" s="31"/>
    </row>
    <row r="741">
      <c r="J741" s="31"/>
    </row>
    <row r="742">
      <c r="J742" s="31"/>
    </row>
    <row r="743">
      <c r="J743" s="31"/>
    </row>
    <row r="744">
      <c r="J744" s="31"/>
    </row>
    <row r="745">
      <c r="J745" s="31"/>
    </row>
    <row r="746">
      <c r="J746" s="31"/>
    </row>
    <row r="747">
      <c r="J747" s="31"/>
    </row>
    <row r="748">
      <c r="J748" s="31"/>
    </row>
    <row r="749">
      <c r="J749" s="31"/>
    </row>
    <row r="750">
      <c r="J750" s="31"/>
    </row>
    <row r="751">
      <c r="J751" s="31"/>
    </row>
    <row r="752">
      <c r="J752" s="31"/>
    </row>
    <row r="753">
      <c r="J753" s="31"/>
    </row>
    <row r="754">
      <c r="J754" s="31"/>
    </row>
    <row r="755">
      <c r="J755" s="31"/>
    </row>
    <row r="756">
      <c r="J756" s="31"/>
    </row>
    <row r="757">
      <c r="J757" s="31"/>
    </row>
    <row r="758">
      <c r="J758" s="31"/>
    </row>
    <row r="759">
      <c r="J759" s="31"/>
    </row>
    <row r="760">
      <c r="J760" s="31"/>
    </row>
    <row r="761">
      <c r="J761" s="31"/>
    </row>
    <row r="762">
      <c r="J762" s="31"/>
    </row>
    <row r="763">
      <c r="J763" s="31"/>
    </row>
    <row r="764">
      <c r="J764" s="31"/>
    </row>
    <row r="765">
      <c r="J765" s="31"/>
    </row>
    <row r="766">
      <c r="J766" s="31"/>
    </row>
    <row r="767">
      <c r="J767" s="31"/>
    </row>
    <row r="768">
      <c r="J768" s="31"/>
    </row>
    <row r="769">
      <c r="J769" s="31"/>
    </row>
    <row r="770">
      <c r="J770" s="31"/>
    </row>
    <row r="771">
      <c r="J771" s="31"/>
    </row>
    <row r="772">
      <c r="J772" s="31"/>
    </row>
    <row r="773">
      <c r="J773" s="31"/>
    </row>
    <row r="774">
      <c r="J774" s="31"/>
    </row>
    <row r="775">
      <c r="J775" s="31"/>
    </row>
    <row r="776">
      <c r="J776" s="31"/>
    </row>
    <row r="777">
      <c r="J777" s="31"/>
    </row>
    <row r="778">
      <c r="J778" s="31"/>
    </row>
    <row r="779">
      <c r="J779" s="31"/>
    </row>
    <row r="780">
      <c r="J780" s="31"/>
    </row>
    <row r="781">
      <c r="J781" s="31"/>
    </row>
    <row r="782">
      <c r="J782" s="31"/>
    </row>
    <row r="783">
      <c r="J783" s="31"/>
    </row>
    <row r="784">
      <c r="J784" s="31"/>
    </row>
    <row r="785">
      <c r="J785" s="31"/>
    </row>
    <row r="786">
      <c r="J786" s="31"/>
    </row>
    <row r="787">
      <c r="J787" s="31"/>
    </row>
    <row r="788">
      <c r="J788" s="31"/>
    </row>
    <row r="789">
      <c r="J789" s="31"/>
    </row>
    <row r="790">
      <c r="J790" s="31"/>
    </row>
    <row r="791">
      <c r="J791" s="31"/>
    </row>
    <row r="792">
      <c r="J792" s="31"/>
    </row>
    <row r="793">
      <c r="J793" s="31"/>
    </row>
    <row r="794">
      <c r="J794" s="31"/>
    </row>
    <row r="795">
      <c r="J795" s="31"/>
    </row>
    <row r="796">
      <c r="J796" s="31"/>
    </row>
    <row r="797">
      <c r="J797" s="31"/>
    </row>
    <row r="798">
      <c r="J798" s="31"/>
    </row>
    <row r="799">
      <c r="J799" s="31"/>
    </row>
    <row r="800">
      <c r="J800" s="31"/>
    </row>
    <row r="801">
      <c r="J801" s="31"/>
    </row>
    <row r="802">
      <c r="J802" s="31"/>
    </row>
    <row r="803">
      <c r="J803" s="31"/>
    </row>
    <row r="804">
      <c r="J804" s="31"/>
    </row>
    <row r="805">
      <c r="J805" s="31"/>
    </row>
    <row r="806">
      <c r="J806" s="31"/>
    </row>
    <row r="807">
      <c r="J807" s="31"/>
    </row>
    <row r="808">
      <c r="J808" s="31"/>
    </row>
    <row r="809">
      <c r="J809" s="31"/>
    </row>
    <row r="810">
      <c r="J810" s="31"/>
    </row>
    <row r="811">
      <c r="J811" s="31"/>
    </row>
    <row r="812">
      <c r="J812" s="31"/>
    </row>
    <row r="813">
      <c r="J813" s="31"/>
    </row>
    <row r="814">
      <c r="J814" s="31"/>
    </row>
    <row r="815">
      <c r="J815" s="31"/>
    </row>
    <row r="816">
      <c r="J816" s="31"/>
    </row>
    <row r="817">
      <c r="J817" s="31"/>
    </row>
    <row r="818">
      <c r="J818" s="31"/>
    </row>
    <row r="819">
      <c r="J819" s="31"/>
    </row>
    <row r="820">
      <c r="J820" s="31"/>
    </row>
    <row r="821">
      <c r="J821" s="31"/>
    </row>
    <row r="822">
      <c r="J822" s="31"/>
    </row>
    <row r="823">
      <c r="J823" s="31"/>
    </row>
    <row r="824">
      <c r="J824" s="31"/>
    </row>
    <row r="825">
      <c r="J825" s="31"/>
    </row>
    <row r="826">
      <c r="J826" s="31"/>
    </row>
    <row r="827">
      <c r="J827" s="31"/>
    </row>
    <row r="828">
      <c r="J828" s="31"/>
    </row>
    <row r="829">
      <c r="J829" s="31"/>
    </row>
    <row r="830">
      <c r="J830" s="31"/>
    </row>
    <row r="831">
      <c r="J831" s="31"/>
    </row>
    <row r="832">
      <c r="J832" s="31"/>
    </row>
    <row r="833">
      <c r="J833" s="31"/>
    </row>
    <row r="834">
      <c r="J834" s="31"/>
    </row>
    <row r="835">
      <c r="J835" s="31"/>
    </row>
    <row r="836">
      <c r="J836" s="31"/>
    </row>
    <row r="837">
      <c r="J837" s="31"/>
    </row>
    <row r="838">
      <c r="J838" s="31"/>
    </row>
    <row r="839">
      <c r="J839" s="31"/>
    </row>
    <row r="840">
      <c r="J840" s="31"/>
    </row>
    <row r="841">
      <c r="J841" s="31"/>
    </row>
    <row r="842">
      <c r="J842" s="31"/>
    </row>
    <row r="843">
      <c r="J843" s="31"/>
    </row>
    <row r="844">
      <c r="J844" s="31"/>
    </row>
    <row r="845">
      <c r="J845" s="31"/>
    </row>
    <row r="846">
      <c r="J846" s="31"/>
    </row>
    <row r="847">
      <c r="J847" s="31"/>
    </row>
    <row r="848">
      <c r="J848" s="31"/>
    </row>
    <row r="849">
      <c r="J849" s="31"/>
    </row>
    <row r="850">
      <c r="J850" s="31"/>
    </row>
    <row r="851">
      <c r="J851" s="31"/>
    </row>
    <row r="852">
      <c r="J852" s="31"/>
    </row>
    <row r="853">
      <c r="J853" s="31"/>
    </row>
    <row r="854">
      <c r="J854" s="31"/>
    </row>
    <row r="855">
      <c r="J855" s="31"/>
    </row>
    <row r="856">
      <c r="J856" s="31"/>
    </row>
    <row r="857">
      <c r="J857" s="31"/>
    </row>
    <row r="858">
      <c r="J858" s="31"/>
    </row>
    <row r="859">
      <c r="J859" s="31"/>
    </row>
    <row r="860">
      <c r="J860" s="31"/>
    </row>
    <row r="861">
      <c r="J861" s="31"/>
    </row>
    <row r="862">
      <c r="J862" s="31"/>
    </row>
    <row r="863">
      <c r="J863" s="31"/>
    </row>
    <row r="864">
      <c r="J864" s="31"/>
    </row>
    <row r="865">
      <c r="J865" s="31"/>
    </row>
    <row r="866">
      <c r="J866" s="31"/>
    </row>
    <row r="867">
      <c r="J867" s="31"/>
    </row>
    <row r="868">
      <c r="J868" s="31"/>
    </row>
    <row r="869">
      <c r="J869" s="31"/>
    </row>
    <row r="870">
      <c r="J870" s="31"/>
    </row>
    <row r="871">
      <c r="J871" s="31"/>
    </row>
    <row r="872">
      <c r="J872" s="31"/>
    </row>
    <row r="873">
      <c r="J873" s="31"/>
    </row>
    <row r="874">
      <c r="J874" s="31"/>
    </row>
    <row r="875">
      <c r="J875" s="31"/>
    </row>
    <row r="876">
      <c r="J876" s="31"/>
    </row>
    <row r="877">
      <c r="J877" s="31"/>
    </row>
    <row r="878">
      <c r="J878" s="31"/>
    </row>
    <row r="879">
      <c r="J879" s="31"/>
    </row>
    <row r="880">
      <c r="J880" s="31"/>
    </row>
    <row r="881">
      <c r="J881" s="31"/>
    </row>
    <row r="882">
      <c r="J882" s="31"/>
    </row>
    <row r="883">
      <c r="J883" s="31"/>
    </row>
    <row r="884">
      <c r="J884" s="31"/>
    </row>
    <row r="885">
      <c r="J885" s="31"/>
    </row>
    <row r="886">
      <c r="J886" s="31"/>
    </row>
    <row r="887">
      <c r="J887" s="31"/>
    </row>
    <row r="888">
      <c r="J888" s="31"/>
    </row>
    <row r="889">
      <c r="J889" s="31"/>
    </row>
    <row r="890">
      <c r="J890" s="31"/>
    </row>
    <row r="891">
      <c r="J891" s="31"/>
    </row>
    <row r="892">
      <c r="J892" s="31"/>
    </row>
    <row r="893">
      <c r="J893" s="31"/>
    </row>
    <row r="894">
      <c r="J894" s="31"/>
    </row>
    <row r="895">
      <c r="J895" s="31"/>
    </row>
    <row r="896">
      <c r="J896" s="31"/>
    </row>
    <row r="897">
      <c r="J897" s="31"/>
    </row>
    <row r="898">
      <c r="J898" s="31"/>
    </row>
    <row r="899">
      <c r="J899" s="31"/>
    </row>
    <row r="900">
      <c r="J900" s="31"/>
    </row>
    <row r="901">
      <c r="J901" s="31"/>
    </row>
    <row r="902">
      <c r="J902" s="31"/>
    </row>
    <row r="903">
      <c r="J903" s="31"/>
    </row>
    <row r="904">
      <c r="J904" s="31"/>
    </row>
    <row r="905">
      <c r="J905" s="31"/>
    </row>
    <row r="906">
      <c r="J906" s="31"/>
    </row>
    <row r="907">
      <c r="J907" s="31"/>
    </row>
    <row r="908">
      <c r="J908" s="31"/>
    </row>
    <row r="909">
      <c r="J909" s="31"/>
    </row>
    <row r="910">
      <c r="J910" s="31"/>
    </row>
    <row r="911">
      <c r="J911" s="31"/>
    </row>
    <row r="912">
      <c r="J912" s="31"/>
    </row>
    <row r="913">
      <c r="J913" s="31"/>
    </row>
    <row r="914">
      <c r="J914" s="31"/>
    </row>
    <row r="915">
      <c r="J915" s="31"/>
    </row>
    <row r="916">
      <c r="J916" s="31"/>
    </row>
    <row r="917">
      <c r="J917" s="31"/>
    </row>
    <row r="918">
      <c r="J918" s="31"/>
    </row>
    <row r="919">
      <c r="J919" s="31"/>
    </row>
    <row r="920">
      <c r="J920" s="31"/>
    </row>
    <row r="921">
      <c r="J921" s="31"/>
    </row>
    <row r="922">
      <c r="J922" s="31"/>
    </row>
    <row r="923">
      <c r="J923" s="31"/>
    </row>
    <row r="924">
      <c r="J924" s="31"/>
    </row>
    <row r="925">
      <c r="J925" s="31"/>
    </row>
    <row r="926">
      <c r="J926" s="31"/>
    </row>
    <row r="927">
      <c r="J927" s="31"/>
    </row>
    <row r="928">
      <c r="J928" s="31"/>
    </row>
    <row r="929">
      <c r="J929" s="31"/>
    </row>
    <row r="930">
      <c r="J930" s="31"/>
    </row>
    <row r="931">
      <c r="J931" s="31"/>
    </row>
    <row r="932">
      <c r="J932" s="31"/>
    </row>
    <row r="933">
      <c r="J933" s="31"/>
    </row>
    <row r="934">
      <c r="J934" s="31"/>
    </row>
    <row r="935">
      <c r="J935" s="31"/>
    </row>
    <row r="936">
      <c r="J936" s="31"/>
    </row>
    <row r="937">
      <c r="J937" s="31"/>
    </row>
    <row r="938">
      <c r="J938" s="31"/>
    </row>
    <row r="939">
      <c r="J939" s="31"/>
    </row>
    <row r="940">
      <c r="J940" s="31"/>
    </row>
    <row r="941">
      <c r="J941" s="31"/>
    </row>
    <row r="942">
      <c r="J942" s="31"/>
    </row>
    <row r="943">
      <c r="J943" s="31"/>
    </row>
    <row r="944">
      <c r="J944" s="31"/>
    </row>
    <row r="945">
      <c r="J945" s="31"/>
    </row>
    <row r="946">
      <c r="J946" s="31"/>
    </row>
    <row r="947">
      <c r="J947" s="31"/>
    </row>
    <row r="948">
      <c r="J948" s="31"/>
    </row>
    <row r="949">
      <c r="J949" s="31"/>
    </row>
    <row r="950">
      <c r="J950" s="31"/>
    </row>
    <row r="951">
      <c r="J951" s="31"/>
    </row>
    <row r="952">
      <c r="J952" s="31"/>
    </row>
    <row r="953">
      <c r="J953" s="31"/>
    </row>
    <row r="954">
      <c r="J954" s="31"/>
    </row>
    <row r="955">
      <c r="J955" s="31"/>
    </row>
    <row r="956">
      <c r="J956" s="31"/>
    </row>
    <row r="957">
      <c r="J957" s="31"/>
    </row>
    <row r="958">
      <c r="J958" s="31"/>
    </row>
    <row r="959">
      <c r="J959" s="31"/>
    </row>
    <row r="960">
      <c r="J960" s="31"/>
    </row>
    <row r="961">
      <c r="J961" s="31"/>
    </row>
    <row r="962">
      <c r="J962" s="31"/>
    </row>
    <row r="963">
      <c r="J963" s="31"/>
    </row>
    <row r="964">
      <c r="J964" s="31"/>
    </row>
    <row r="965">
      <c r="J965" s="31"/>
    </row>
    <row r="966">
      <c r="J966" s="31"/>
    </row>
    <row r="967">
      <c r="J967" s="31"/>
    </row>
    <row r="968">
      <c r="J968" s="31"/>
    </row>
    <row r="969">
      <c r="J969" s="31"/>
    </row>
    <row r="970">
      <c r="J970" s="31"/>
    </row>
    <row r="971">
      <c r="J971" s="31"/>
    </row>
    <row r="972">
      <c r="J972" s="31"/>
    </row>
    <row r="973">
      <c r="J973" s="31"/>
    </row>
    <row r="974">
      <c r="J974" s="31"/>
    </row>
    <row r="975">
      <c r="J975" s="31"/>
    </row>
    <row r="976">
      <c r="J976" s="31"/>
    </row>
    <row r="977">
      <c r="J977" s="31"/>
    </row>
    <row r="978">
      <c r="J978" s="31"/>
    </row>
    <row r="979">
      <c r="J979" s="31"/>
    </row>
    <row r="980">
      <c r="J980" s="31"/>
    </row>
    <row r="981">
      <c r="J981" s="31"/>
    </row>
    <row r="982">
      <c r="J982" s="31"/>
    </row>
    <row r="983">
      <c r="J983" s="31"/>
    </row>
    <row r="984">
      <c r="J984" s="31"/>
    </row>
    <row r="985">
      <c r="J985" s="31"/>
    </row>
    <row r="986">
      <c r="J986" s="31"/>
    </row>
    <row r="987">
      <c r="J987" s="31"/>
    </row>
    <row r="988">
      <c r="J988" s="31"/>
    </row>
    <row r="989">
      <c r="J989" s="31"/>
    </row>
    <row r="990">
      <c r="J990" s="31"/>
    </row>
    <row r="991">
      <c r="J991" s="31"/>
    </row>
    <row r="992">
      <c r="J992" s="31"/>
    </row>
    <row r="993">
      <c r="J993" s="31"/>
    </row>
    <row r="994">
      <c r="J994" s="31"/>
    </row>
    <row r="995">
      <c r="J995" s="31"/>
    </row>
    <row r="996">
      <c r="J996" s="31"/>
    </row>
    <row r="997">
      <c r="J997" s="31"/>
    </row>
    <row r="998">
      <c r="J998" s="31"/>
    </row>
    <row r="999">
      <c r="J999" s="31"/>
    </row>
  </sheetData>
  <mergeCells count="5">
    <mergeCell ref="A1:A2"/>
    <mergeCell ref="B1:B2"/>
    <mergeCell ref="C1:C2"/>
    <mergeCell ref="D1:D2"/>
    <mergeCell ref="E1:E2"/>
  </mergeCells>
  <conditionalFormatting sqref="F3:AU38 AV3:AY31 AV35:AW35">
    <cfRule type="cellIs" dxfId="3" priority="1" operator="equal">
      <formula>1</formula>
    </cfRule>
  </conditionalFormatting>
  <conditionalFormatting sqref="F3:AU38 AV8:AW8 AV35:AW35 AV37:AY37">
    <cfRule type="cellIs" dxfId="4" priority="2" operator="equal">
      <formula>"R"</formula>
    </cfRule>
  </conditionalFormatting>
  <conditionalFormatting sqref="B3:B31 C3:C38 B37">
    <cfRule type="cellIs" dxfId="5" priority="3" operator="greaterThanOrEqual">
      <formula>3</formula>
    </cfRule>
  </conditionalFormatting>
  <conditionalFormatting sqref="B3:B24 B26:B31 B37">
    <cfRule type="cellIs" dxfId="6" priority="4" operator="lessThan">
      <formula>1</formula>
    </cfRule>
  </conditionalFormatting>
  <conditionalFormatting sqref="B3:B32 C3:C41 B37">
    <cfRule type="cellIs" dxfId="7" priority="5" operator="equal">
      <formula>0</formula>
    </cfRule>
  </conditionalFormatting>
  <conditionalFormatting sqref="B3:B31 C3:C38 B37">
    <cfRule type="cellIs" dxfId="8" priority="6" operator="lessThan">
      <formula>2</formula>
    </cfRule>
  </conditionalFormatting>
  <conditionalFormatting sqref="B3:B31 C3:C38 B37">
    <cfRule type="cellIs" dxfId="9" priority="7" operator="lessThan">
      <formula>3</formula>
    </cfRule>
  </conditionalFormatting>
  <conditionalFormatting sqref="B3:B32 C3:C41 B37">
    <cfRule type="containsBlanks" dxfId="6" priority="8">
      <formula>LEN(TRIM(B3))=0</formula>
    </cfRule>
  </conditionalFormatting>
  <conditionalFormatting sqref="F3:AU38 AV8:AW8 AV35:AW35 AV37:AY37">
    <cfRule type="cellIs" dxfId="10" priority="9" operator="equal">
      <formula>"R2"</formula>
    </cfRule>
  </conditionalFormatting>
  <conditionalFormatting sqref="F39:AY41">
    <cfRule type="cellIs" dxfId="7" priority="10" operator="lessThan">
      <formula>1</formula>
    </cfRule>
  </conditionalFormatting>
  <conditionalFormatting sqref="F39:AY39">
    <cfRule type="cellIs" dxfId="3" priority="11" operator="equal">
      <formula>1</formula>
    </cfRule>
  </conditionalFormatting>
  <conditionalFormatting sqref="F39:AY41">
    <cfRule type="cellIs" dxfId="11" priority="12" operator="greaterThan">
      <formula>1</formula>
    </cfRule>
  </conditionalFormatting>
  <conditionalFormatting sqref="D3:E41">
    <cfRule type="cellIs" dxfId="9" priority="13" operator="equal">
      <formula>1</formula>
    </cfRule>
  </conditionalFormatting>
  <conditionalFormatting sqref="F4:AR5 F25:K25 AE25:AY25 AB31:AB36 F33:AA36 AC33:AY36 F38:AY41">
    <cfRule type="cellIs" dxfId="7" priority="14" operator="lessThan">
      <formula>1</formula>
    </cfRule>
  </conditionalFormatting>
  <conditionalFormatting sqref="F4:AR5 F25:K25 AE25:AY25 AB31:AB36 F33:AA36 AC33:AY36 F38:AY41">
    <cfRule type="cellIs" dxfId="12" priority="15" operator="equal">
      <formula>1</formula>
    </cfRule>
  </conditionalFormatting>
  <conditionalFormatting sqref="F4:AR5 F25:K25 AE25:AY25 AB31:AB36 F33:AA36 AC33:AY36 F38:AY41">
    <cfRule type="cellIs" dxfId="11" priority="16" operator="greaterThan">
      <formula>1</formula>
    </cfRule>
  </conditionalFormatting>
  <conditionalFormatting sqref="D3:D41 E3:E38">
    <cfRule type="cellIs" dxfId="7" priority="17" operator="equal">
      <formula>0</formula>
    </cfRule>
  </conditionalFormatting>
  <conditionalFormatting sqref="D3:D41 E3:E38">
    <cfRule type="cellIs" dxfId="4" priority="18" operator="equal">
      <formula>2</formula>
    </cfRule>
  </conditionalFormatting>
  <conditionalFormatting sqref="E3:E41">
    <cfRule type="cellIs" dxfId="7" priority="19" operator="equal">
      <formula>0</formula>
    </cfRule>
  </conditionalFormatting>
  <conditionalFormatting sqref="E3:E41">
    <cfRule type="cellIs" dxfId="4" priority="20" operator="greaterThanOrEqual">
      <formula>2</formula>
    </cfRule>
  </conditionalFormatting>
  <conditionalFormatting sqref="C44">
    <cfRule type="notContainsBlanks" dxfId="3" priority="21">
      <formula>LEN(TRIM(C44))&gt;0</formula>
    </cfRule>
  </conditionalFormatting>
  <conditionalFormatting sqref="AS2:AY2">
    <cfRule type="containsText" dxfId="13" priority="22" operator="containsText" text="(PAM)">
      <formula>NOT(ISERROR(SEARCH(("(PAM)"),(AS2))))</formula>
    </cfRule>
  </conditionalFormatting>
  <conditionalFormatting sqref="AS2:AY2">
    <cfRule type="containsText" dxfId="13" priority="23" operator="containsText" text="(PPM)">
      <formula>NOT(ISERROR(SEARCH(("(PPM)"),(AS2))))</formula>
    </cfRule>
  </conditionalFormatting>
  <conditionalFormatting sqref="F2:AY2">
    <cfRule type="containsText" dxfId="13" priority="24" operator="containsText" text="PAM">
      <formula>NOT(ISERROR(SEARCH(("PAM"),(F2))))</formula>
    </cfRule>
  </conditionalFormatting>
  <conditionalFormatting sqref="F2:AY2">
    <cfRule type="containsText" dxfId="13" priority="25" operator="containsText" text="PPM">
      <formula>NOT(ISERROR(SEARCH(("PPM"),(F2))))</formula>
    </cfRule>
  </conditionalFormatting>
  <conditionalFormatting sqref="F2:AY2">
    <cfRule type="containsText" dxfId="11" priority="26" operator="containsText" text="(AM)">
      <formula>NOT(ISERROR(SEARCH(("(AM)"),(F2))))</formula>
    </cfRule>
  </conditionalFormatting>
  <conditionalFormatting sqref="F2:AY2">
    <cfRule type="containsText" dxfId="7" priority="27" operator="containsText" text="(PM)">
      <formula>NOT(ISERROR(SEARCH(("(PM)"),(F2))))</formula>
    </cfRule>
  </conditionalFormatting>
  <conditionalFormatting sqref="F2:AY2">
    <cfRule type="notContainsText" dxfId="15" priority="28" operator="notContains" text="(AM)">
      <formula>ISERROR(SEARCH(("(AM)"),(F2)))</formula>
    </cfRule>
  </conditionalFormatting>
  <conditionalFormatting sqref="F2:AY2">
    <cfRule type="notContainsText" dxfId="15" priority="29" operator="notContains" text="(PM)">
      <formula>ISERROR(SEARCH(("(PM)"),(F2)))</formula>
    </cfRule>
  </conditionalFormatting>
  <conditionalFormatting sqref="F2:AY2">
    <cfRule type="notContainsText" dxfId="15" priority="30" operator="notContains" text="(PM)">
      <formula>ISERROR(SEARCH(("(PM)"),(F2)))</formula>
    </cfRule>
  </conditionalFormatting>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26.75"/>
    <col customWidth="1" hidden="1" min="2" max="2" width="11.38"/>
    <col customWidth="1" min="3" max="4" width="4.38"/>
    <col customWidth="1" min="5" max="5" width="7.0"/>
    <col customWidth="1" min="6" max="15" width="8.63"/>
    <col customWidth="1" min="16" max="16" width="8.25"/>
    <col customWidth="1" min="17" max="47" width="8.63"/>
    <col customWidth="1" min="48" max="53" width="9.5"/>
  </cols>
  <sheetData>
    <row r="1" ht="25.5" customHeight="1">
      <c r="A1" s="1" t="s">
        <v>0</v>
      </c>
      <c r="B1" s="1" t="s">
        <v>1</v>
      </c>
      <c r="C1" s="1" t="s">
        <v>2</v>
      </c>
      <c r="D1" s="1" t="s">
        <v>3</v>
      </c>
      <c r="E1" s="1" t="s">
        <v>4</v>
      </c>
      <c r="F1" s="2" t="s">
        <v>427</v>
      </c>
      <c r="G1" s="2" t="s">
        <v>427</v>
      </c>
      <c r="H1" s="2" t="s">
        <v>420</v>
      </c>
      <c r="I1" s="2" t="s">
        <v>420</v>
      </c>
      <c r="J1" s="2" t="s">
        <v>422</v>
      </c>
      <c r="K1" s="2" t="s">
        <v>422</v>
      </c>
      <c r="L1" s="2" t="s">
        <v>423</v>
      </c>
      <c r="M1" s="2" t="s">
        <v>423</v>
      </c>
      <c r="N1" s="2" t="s">
        <v>424</v>
      </c>
      <c r="O1" s="2" t="s">
        <v>425</v>
      </c>
      <c r="P1" s="2" t="s">
        <v>426</v>
      </c>
      <c r="Q1" s="2" t="s">
        <v>427</v>
      </c>
      <c r="R1" s="2" t="s">
        <v>420</v>
      </c>
      <c r="S1" s="2" t="s">
        <v>422</v>
      </c>
      <c r="T1" s="2" t="s">
        <v>422</v>
      </c>
      <c r="U1" s="2" t="s">
        <v>423</v>
      </c>
      <c r="V1" s="2" t="s">
        <v>423</v>
      </c>
      <c r="W1" s="2" t="s">
        <v>424</v>
      </c>
      <c r="X1" s="2" t="s">
        <v>425</v>
      </c>
      <c r="Y1" s="2" t="s">
        <v>426</v>
      </c>
      <c r="Z1" s="2" t="s">
        <v>427</v>
      </c>
      <c r="AA1" s="2" t="s">
        <v>420</v>
      </c>
      <c r="AB1" s="2" t="s">
        <v>422</v>
      </c>
      <c r="AC1" s="2" t="s">
        <v>422</v>
      </c>
      <c r="AD1" s="2" t="s">
        <v>423</v>
      </c>
      <c r="AE1" s="2" t="s">
        <v>423</v>
      </c>
      <c r="AF1" s="2" t="s">
        <v>424</v>
      </c>
      <c r="AG1" s="2" t="s">
        <v>425</v>
      </c>
      <c r="AH1" s="2" t="s">
        <v>426</v>
      </c>
      <c r="AI1" s="2" t="s">
        <v>427</v>
      </c>
      <c r="AJ1" s="2" t="s">
        <v>420</v>
      </c>
      <c r="AK1" s="2" t="s">
        <v>422</v>
      </c>
      <c r="AL1" s="2" t="s">
        <v>422</v>
      </c>
      <c r="AM1" s="2" t="s">
        <v>423</v>
      </c>
      <c r="AN1" s="2" t="s">
        <v>423</v>
      </c>
      <c r="AO1" s="2" t="s">
        <v>424</v>
      </c>
      <c r="AP1" s="2" t="s">
        <v>425</v>
      </c>
      <c r="AQ1" s="2" t="s">
        <v>426</v>
      </c>
      <c r="AR1" s="2" t="s">
        <v>427</v>
      </c>
      <c r="AS1" s="2" t="s">
        <v>420</v>
      </c>
      <c r="AT1" s="2" t="s">
        <v>422</v>
      </c>
      <c r="AU1" s="2" t="s">
        <v>422</v>
      </c>
      <c r="AV1" s="54" t="s">
        <v>423</v>
      </c>
      <c r="AW1" s="54" t="s">
        <v>424</v>
      </c>
      <c r="AX1" s="54" t="s">
        <v>425</v>
      </c>
      <c r="AY1" s="55" t="s">
        <v>8</v>
      </c>
      <c r="AZ1" s="55" t="s">
        <v>7</v>
      </c>
      <c r="BA1" s="55" t="s">
        <v>8</v>
      </c>
    </row>
    <row r="2" ht="25.5" customHeight="1">
      <c r="F2" s="88" t="s">
        <v>604</v>
      </c>
      <c r="G2" s="88" t="s">
        <v>605</v>
      </c>
      <c r="H2" s="88" t="s">
        <v>606</v>
      </c>
      <c r="I2" s="88" t="s">
        <v>607</v>
      </c>
      <c r="J2" s="88" t="s">
        <v>608</v>
      </c>
      <c r="K2" s="88" t="s">
        <v>609</v>
      </c>
      <c r="L2" s="88" t="s">
        <v>610</v>
      </c>
      <c r="M2" s="88" t="s">
        <v>611</v>
      </c>
      <c r="N2" s="87">
        <v>46027.0</v>
      </c>
      <c r="O2" s="87">
        <v>46028.0</v>
      </c>
      <c r="P2" s="87">
        <v>46029.0</v>
      </c>
      <c r="Q2" s="87">
        <v>46030.0</v>
      </c>
      <c r="R2" s="87">
        <v>46031.0</v>
      </c>
      <c r="S2" s="88" t="s">
        <v>612</v>
      </c>
      <c r="T2" s="88" t="s">
        <v>613</v>
      </c>
      <c r="U2" s="88" t="s">
        <v>614</v>
      </c>
      <c r="V2" s="88" t="s">
        <v>615</v>
      </c>
      <c r="W2" s="87">
        <v>46034.0</v>
      </c>
      <c r="X2" s="87">
        <v>46035.0</v>
      </c>
      <c r="Y2" s="87">
        <v>46036.0</v>
      </c>
      <c r="Z2" s="87">
        <v>46037.0</v>
      </c>
      <c r="AA2" s="87">
        <v>46038.0</v>
      </c>
      <c r="AB2" s="88" t="s">
        <v>616</v>
      </c>
      <c r="AC2" s="88" t="s">
        <v>617</v>
      </c>
      <c r="AD2" s="88" t="s">
        <v>618</v>
      </c>
      <c r="AE2" s="88" t="s">
        <v>619</v>
      </c>
      <c r="AF2" s="87">
        <v>46041.0</v>
      </c>
      <c r="AG2" s="87">
        <v>46042.0</v>
      </c>
      <c r="AH2" s="87">
        <v>46043.0</v>
      </c>
      <c r="AI2" s="87">
        <v>46044.0</v>
      </c>
      <c r="AJ2" s="87">
        <v>46045.0</v>
      </c>
      <c r="AK2" s="88" t="s">
        <v>620</v>
      </c>
      <c r="AL2" s="88" t="s">
        <v>621</v>
      </c>
      <c r="AM2" s="88" t="s">
        <v>622</v>
      </c>
      <c r="AN2" s="88" t="s">
        <v>623</v>
      </c>
      <c r="AO2" s="87">
        <v>46048.0</v>
      </c>
      <c r="AP2" s="87">
        <v>46049.0</v>
      </c>
      <c r="AQ2" s="87">
        <v>46050.0</v>
      </c>
      <c r="AR2" s="87">
        <v>46051.0</v>
      </c>
      <c r="AS2" s="87">
        <v>46052.0</v>
      </c>
      <c r="AT2" s="88" t="s">
        <v>624</v>
      </c>
      <c r="AU2" s="88" t="s">
        <v>625</v>
      </c>
      <c r="AV2" s="51"/>
      <c r="AW2" s="51"/>
      <c r="AX2" s="51" t="s">
        <v>252</v>
      </c>
      <c r="AY2" s="51" t="s">
        <v>253</v>
      </c>
      <c r="AZ2" s="51" t="s">
        <v>252</v>
      </c>
      <c r="BA2" s="51" t="s">
        <v>253</v>
      </c>
    </row>
    <row r="3">
      <c r="A3" s="146" t="s">
        <v>626</v>
      </c>
      <c r="B3" s="40">
        <f t="shared" ref="B3:B8" si="1">SUM(C3:D3)</f>
        <v>2</v>
      </c>
      <c r="C3" s="10">
        <f t="shared" ref="C3:C27" si="2">SUM(F3:AU3)</f>
        <v>1</v>
      </c>
      <c r="D3" s="11">
        <f t="array" ref="D3">SUM(IF(F3:AU3="R",1,0))</f>
        <v>1</v>
      </c>
      <c r="E3" s="11">
        <f t="array" ref="E3">SUM(IF(F3:AU3="R2",1,0))</f>
        <v>1</v>
      </c>
      <c r="F3" s="17" t="s">
        <v>40</v>
      </c>
      <c r="G3" s="17" t="s">
        <v>39</v>
      </c>
      <c r="N3" s="17"/>
      <c r="Q3" s="17"/>
      <c r="R3" s="17"/>
      <c r="W3" s="17"/>
      <c r="Z3" s="17"/>
      <c r="AH3" s="17"/>
      <c r="AL3" s="17"/>
      <c r="AM3" s="17"/>
      <c r="AN3" s="17"/>
      <c r="AQ3" s="17">
        <v>1.0</v>
      </c>
      <c r="AV3" s="28">
        <f t="shared" ref="AV3:AV38" si="3">sum(D3:E3)</f>
        <v>2</v>
      </c>
    </row>
    <row r="4">
      <c r="A4" s="25" t="s">
        <v>501</v>
      </c>
      <c r="B4" s="10">
        <f t="shared" si="1"/>
        <v>3</v>
      </c>
      <c r="C4" s="10">
        <f t="shared" si="2"/>
        <v>2</v>
      </c>
      <c r="D4" s="11">
        <f t="array" ref="D4">SUM(IF(F4:AU4="R",1,0))</f>
        <v>1</v>
      </c>
      <c r="E4" s="11">
        <f t="array" ref="E4">SUM(IF(F4:AU4="R2",1,0))</f>
        <v>2</v>
      </c>
      <c r="I4" s="17" t="s">
        <v>39</v>
      </c>
      <c r="K4" s="17" t="s">
        <v>40</v>
      </c>
      <c r="P4" s="17"/>
      <c r="T4" s="17"/>
      <c r="U4" s="17"/>
      <c r="Z4" s="17">
        <v>1.0</v>
      </c>
      <c r="AE4" s="17"/>
      <c r="AI4" s="17" t="s">
        <v>40</v>
      </c>
      <c r="AP4" s="17"/>
      <c r="AR4" s="17">
        <v>1.0</v>
      </c>
      <c r="AV4" s="28">
        <f t="shared" si="3"/>
        <v>3</v>
      </c>
    </row>
    <row r="5">
      <c r="A5" s="25" t="s">
        <v>502</v>
      </c>
      <c r="B5" s="10">
        <f t="shared" si="1"/>
        <v>0</v>
      </c>
      <c r="C5" s="10">
        <f t="shared" si="2"/>
        <v>0</v>
      </c>
      <c r="D5" s="11">
        <f t="array" ref="D5">SUM(IF(F5:AU5="R",1,0))</f>
        <v>0</v>
      </c>
      <c r="E5" s="11">
        <f t="array" ref="E5">SUM(IF(F5:AU5="R2",1,0))</f>
        <v>1</v>
      </c>
      <c r="M5" s="17"/>
      <c r="N5" s="17"/>
      <c r="P5" s="17" t="s">
        <v>40</v>
      </c>
      <c r="R5" s="17"/>
      <c r="W5" s="17"/>
      <c r="AF5" s="17"/>
      <c r="AH5" s="17"/>
      <c r="AI5" s="17"/>
      <c r="AP5" s="17"/>
      <c r="AQ5" s="17"/>
      <c r="AR5" s="17"/>
      <c r="AT5" s="17"/>
      <c r="AV5" s="28">
        <f t="shared" si="3"/>
        <v>1</v>
      </c>
    </row>
    <row r="6">
      <c r="A6" s="14" t="s">
        <v>503</v>
      </c>
      <c r="B6" s="10">
        <f t="shared" si="1"/>
        <v>4</v>
      </c>
      <c r="C6" s="10">
        <f t="shared" si="2"/>
        <v>2</v>
      </c>
      <c r="D6" s="11">
        <f t="array" ref="D6">SUM(IF(F6:AU6="R",1,0))</f>
        <v>2</v>
      </c>
      <c r="E6" s="11">
        <f t="array" ref="E6">SUM(IF(F6:AU6="R2",1,0))</f>
        <v>1</v>
      </c>
      <c r="F6" s="16"/>
      <c r="G6" s="16"/>
      <c r="H6" s="21"/>
      <c r="I6" s="21"/>
      <c r="K6" s="17">
        <v>1.0</v>
      </c>
      <c r="N6" s="16"/>
      <c r="O6" s="21"/>
      <c r="P6" s="21"/>
      <c r="Q6" s="16"/>
      <c r="R6" s="16"/>
      <c r="W6" s="16"/>
      <c r="X6" s="121"/>
      <c r="Y6" s="24"/>
      <c r="Z6" s="121"/>
      <c r="AA6" s="16"/>
      <c r="AE6" s="17">
        <v>1.0</v>
      </c>
      <c r="AF6" s="121"/>
      <c r="AG6" s="24"/>
      <c r="AH6" s="121"/>
      <c r="AI6" s="24" t="s">
        <v>39</v>
      </c>
      <c r="AJ6" s="16"/>
      <c r="AO6" s="24" t="s">
        <v>40</v>
      </c>
      <c r="AP6" s="121"/>
      <c r="AQ6" s="24"/>
      <c r="AR6" s="16"/>
      <c r="AS6" s="16"/>
      <c r="AU6" s="17" t="s">
        <v>39</v>
      </c>
      <c r="AV6" s="28">
        <f t="shared" si="3"/>
        <v>3</v>
      </c>
    </row>
    <row r="7">
      <c r="A7" s="14" t="s">
        <v>504</v>
      </c>
      <c r="B7" s="10">
        <f t="shared" si="1"/>
        <v>2</v>
      </c>
      <c r="C7" s="10">
        <f t="shared" si="2"/>
        <v>1</v>
      </c>
      <c r="D7" s="11">
        <f t="array" ref="D7">SUM(IF(F7:AU7="R",1,0))</f>
        <v>1</v>
      </c>
      <c r="E7" s="11">
        <f t="array" ref="E7">SUM(IF(F7:AU7="R2",1,0))</f>
        <v>0</v>
      </c>
      <c r="F7" s="16"/>
      <c r="G7" s="16"/>
      <c r="H7" s="21"/>
      <c r="I7" s="21"/>
      <c r="J7" s="16"/>
      <c r="K7" s="16"/>
      <c r="N7" s="16"/>
      <c r="O7" s="21"/>
      <c r="P7" s="16"/>
      <c r="Q7" s="16"/>
      <c r="R7" s="16"/>
      <c r="V7" s="17">
        <v>1.0</v>
      </c>
      <c r="W7" s="16"/>
      <c r="X7" s="17"/>
      <c r="Z7" s="121"/>
      <c r="AA7" s="16"/>
      <c r="AF7" s="21"/>
      <c r="AH7" s="24" t="s">
        <v>39</v>
      </c>
      <c r="AI7" s="21"/>
      <c r="AJ7" s="21"/>
      <c r="AO7" s="16"/>
      <c r="AQ7" s="24"/>
      <c r="AR7" s="16"/>
      <c r="AS7" s="21"/>
      <c r="AV7" s="28">
        <f t="shared" si="3"/>
        <v>1</v>
      </c>
    </row>
    <row r="8">
      <c r="A8" s="122" t="s">
        <v>505</v>
      </c>
      <c r="B8" s="10">
        <f t="shared" si="1"/>
        <v>3</v>
      </c>
      <c r="C8" s="10">
        <f t="shared" si="2"/>
        <v>2</v>
      </c>
      <c r="D8" s="11">
        <f t="array" ref="D8">SUM(IF(F8:AU8="R",1,0))</f>
        <v>1</v>
      </c>
      <c r="E8" s="11">
        <f t="array" ref="E8">SUM(IF(F8:AU8="R2",1,0))</f>
        <v>0</v>
      </c>
      <c r="F8" s="16"/>
      <c r="G8" s="16"/>
      <c r="H8" s="21"/>
      <c r="I8" s="21"/>
      <c r="J8" s="16"/>
      <c r="K8" s="16"/>
      <c r="L8" s="16"/>
      <c r="M8" s="16"/>
      <c r="N8" s="16"/>
      <c r="O8" s="16"/>
      <c r="P8" s="16"/>
      <c r="Q8" s="21" t="s">
        <v>39</v>
      </c>
      <c r="R8" s="16"/>
      <c r="S8" s="16"/>
      <c r="T8" s="16"/>
      <c r="U8" s="16"/>
      <c r="V8" s="16"/>
      <c r="W8" s="16"/>
      <c r="X8" s="16"/>
      <c r="Y8" s="16"/>
      <c r="Z8" s="16"/>
      <c r="AA8" s="16"/>
      <c r="AB8" s="16"/>
      <c r="AC8" s="16"/>
      <c r="AD8" s="16"/>
      <c r="AE8" s="21"/>
      <c r="AF8" s="21"/>
      <c r="AG8" s="16"/>
      <c r="AJ8" s="17">
        <v>1.0</v>
      </c>
      <c r="AS8" s="17">
        <v>1.0</v>
      </c>
      <c r="AV8" s="28">
        <f t="shared" si="3"/>
        <v>1</v>
      </c>
    </row>
    <row r="9">
      <c r="A9" s="27" t="s">
        <v>585</v>
      </c>
      <c r="B9" s="10"/>
      <c r="C9" s="10">
        <f t="shared" si="2"/>
        <v>1</v>
      </c>
      <c r="D9" s="11">
        <f t="array" ref="D9">SUM(IF(F9:AU9="R",1,0))</f>
        <v>2</v>
      </c>
      <c r="E9" s="11">
        <f t="array" ref="E9">SUM(IF(F9:AU9="R2",1,0))</f>
        <v>2</v>
      </c>
      <c r="F9" s="21"/>
      <c r="G9" s="21"/>
      <c r="H9" s="21"/>
      <c r="I9" s="21"/>
      <c r="N9" s="16"/>
      <c r="O9" s="16"/>
      <c r="P9" s="16"/>
      <c r="Q9" s="21"/>
      <c r="R9" s="16"/>
      <c r="W9" s="24" t="s">
        <v>40</v>
      </c>
      <c r="X9" s="121"/>
      <c r="Y9" s="24">
        <v>1.0</v>
      </c>
      <c r="Z9" s="121"/>
      <c r="AA9" s="17"/>
      <c r="AE9" s="17"/>
      <c r="AF9" s="121"/>
      <c r="AG9" s="24" t="s">
        <v>39</v>
      </c>
      <c r="AH9" s="24"/>
      <c r="AI9" s="16"/>
      <c r="AJ9" s="16"/>
      <c r="AO9" s="24"/>
      <c r="AP9" s="24"/>
      <c r="AQ9" s="121"/>
      <c r="AR9" s="24" t="s">
        <v>39</v>
      </c>
      <c r="AU9" s="17" t="s">
        <v>40</v>
      </c>
      <c r="AV9" s="28">
        <f t="shared" si="3"/>
        <v>4</v>
      </c>
    </row>
    <row r="10">
      <c r="A10" s="125" t="s">
        <v>586</v>
      </c>
      <c r="B10" s="10">
        <f>SUM(C10:D10)</f>
        <v>3</v>
      </c>
      <c r="C10" s="10">
        <f t="shared" si="2"/>
        <v>1</v>
      </c>
      <c r="D10" s="11">
        <f t="array" ref="D10">SUM(IF(F10:AU10="R",1,0))</f>
        <v>2</v>
      </c>
      <c r="E10" s="11">
        <f t="array" ref="E10">SUM(IF(F10:AU10="R2",1,0))</f>
        <v>1</v>
      </c>
      <c r="G10" s="17"/>
      <c r="K10" s="17"/>
      <c r="O10" s="17" t="s">
        <v>39</v>
      </c>
      <c r="Q10" s="17"/>
      <c r="R10" s="17"/>
      <c r="S10" s="17">
        <v>1.0</v>
      </c>
      <c r="Y10" s="17" t="s">
        <v>39</v>
      </c>
      <c r="AB10" s="17" t="s">
        <v>40</v>
      </c>
      <c r="AH10" s="17"/>
      <c r="AP10" s="17"/>
      <c r="AR10" s="17"/>
      <c r="AT10" s="17"/>
      <c r="AU10" s="17"/>
      <c r="AV10" s="28">
        <f t="shared" si="3"/>
        <v>3</v>
      </c>
    </row>
    <row r="11">
      <c r="A11" s="141" t="s">
        <v>507</v>
      </c>
      <c r="B11" s="10"/>
      <c r="C11" s="10">
        <f t="shared" si="2"/>
        <v>2</v>
      </c>
      <c r="D11" s="11">
        <f t="array" ref="D11">SUM(IF(F11:AU11="R",1,0))</f>
        <v>1</v>
      </c>
      <c r="E11" s="11">
        <f t="array" ref="E11">SUM(IF(F11:AU11="R2",1,0))</f>
        <v>1</v>
      </c>
      <c r="N11" s="17" t="s">
        <v>40</v>
      </c>
      <c r="Q11" s="17"/>
      <c r="R11" s="17"/>
      <c r="W11" s="17" t="s">
        <v>39</v>
      </c>
      <c r="AF11" s="17">
        <v>1.0</v>
      </c>
      <c r="AH11" s="17"/>
      <c r="AJ11" s="17"/>
      <c r="AL11" s="17"/>
      <c r="AM11" s="17"/>
      <c r="AN11" s="17"/>
      <c r="AO11" s="17">
        <v>1.0</v>
      </c>
      <c r="AP11" s="17"/>
      <c r="AQ11" s="17"/>
      <c r="AR11" s="17"/>
      <c r="AT11" s="17"/>
      <c r="AU11" s="17"/>
      <c r="AV11" s="28">
        <f t="shared" si="3"/>
        <v>2</v>
      </c>
    </row>
    <row r="12">
      <c r="A12" s="126" t="s">
        <v>508</v>
      </c>
      <c r="B12" s="10"/>
      <c r="C12" s="10">
        <f t="shared" si="2"/>
        <v>1</v>
      </c>
      <c r="D12" s="11">
        <f t="array" ref="D12">SUM(IF(F12:AU12="R",1,0))</f>
        <v>1</v>
      </c>
      <c r="E12" s="11">
        <f t="array" ref="E12">SUM(IF(F12:AU12="R2",1,0))</f>
        <v>2</v>
      </c>
      <c r="F12" s="121"/>
      <c r="G12" s="121"/>
      <c r="H12" s="16"/>
      <c r="I12" s="16"/>
      <c r="N12" s="16"/>
      <c r="O12" s="16"/>
      <c r="P12" s="16"/>
      <c r="Q12" s="16"/>
      <c r="R12" s="21"/>
      <c r="X12" s="24">
        <v>1.0</v>
      </c>
      <c r="Z12" s="121"/>
      <c r="AA12" s="17"/>
      <c r="AE12" s="17" t="s">
        <v>40</v>
      </c>
      <c r="AG12" s="121"/>
      <c r="AI12" s="21"/>
      <c r="AK12" s="17" t="s">
        <v>39</v>
      </c>
      <c r="AO12" s="16"/>
      <c r="AP12" s="24" t="s">
        <v>40</v>
      </c>
      <c r="AR12" s="121"/>
      <c r="AS12" s="17"/>
      <c r="AV12" s="28">
        <f t="shared" si="3"/>
        <v>3</v>
      </c>
    </row>
    <row r="13">
      <c r="A13" s="127" t="s">
        <v>509</v>
      </c>
      <c r="B13" s="10"/>
      <c r="C13" s="10">
        <f t="shared" si="2"/>
        <v>1</v>
      </c>
      <c r="D13" s="11">
        <f t="array" ref="D13">SUM(IF(F13:AU13="R",1,0))</f>
        <v>2</v>
      </c>
      <c r="E13" s="11">
        <f t="array" ref="E13">SUM(IF(F13:AU13="R2",1,0))</f>
        <v>2</v>
      </c>
      <c r="H13" s="16"/>
      <c r="I13" s="16"/>
      <c r="K13" s="17" t="s">
        <v>39</v>
      </c>
      <c r="N13" s="16"/>
      <c r="O13" s="16"/>
      <c r="P13" s="16"/>
      <c r="Q13" s="16"/>
      <c r="R13" s="16"/>
      <c r="S13" s="17" t="s">
        <v>40</v>
      </c>
      <c r="W13" s="17">
        <v>1.0</v>
      </c>
      <c r="AA13" s="17"/>
      <c r="AG13" s="17" t="s">
        <v>40</v>
      </c>
      <c r="AO13" s="17"/>
      <c r="AS13" s="17" t="s">
        <v>39</v>
      </c>
      <c r="AV13" s="28">
        <f t="shared" si="3"/>
        <v>4</v>
      </c>
    </row>
    <row r="14">
      <c r="A14" s="128" t="s">
        <v>510</v>
      </c>
      <c r="B14" s="10">
        <f>SUM(C14:D14)</f>
        <v>2</v>
      </c>
      <c r="C14" s="10">
        <f t="shared" si="2"/>
        <v>1</v>
      </c>
      <c r="D14" s="11">
        <f t="array" ref="D14">SUM(IF(F14:AU14="R",1,0))</f>
        <v>1</v>
      </c>
      <c r="E14" s="11">
        <f t="array" ref="E14">SUM(IF(F14:AU14="R2",1,0))</f>
        <v>1</v>
      </c>
      <c r="F14" s="17" t="s">
        <v>39</v>
      </c>
      <c r="L14" s="17">
        <v>1.0</v>
      </c>
      <c r="Q14" s="17"/>
      <c r="X14" s="17"/>
      <c r="Z14" s="17"/>
      <c r="AB14" s="17"/>
      <c r="AC14" s="17"/>
      <c r="AD14" s="17"/>
      <c r="AH14" s="17"/>
      <c r="AI14" s="17"/>
      <c r="AK14" s="17" t="s">
        <v>40</v>
      </c>
      <c r="AL14" s="17"/>
      <c r="AM14" s="17"/>
      <c r="AN14" s="17"/>
      <c r="AP14" s="17"/>
      <c r="AS14" s="17"/>
      <c r="AV14" s="28">
        <f t="shared" si="3"/>
        <v>2</v>
      </c>
    </row>
    <row r="15">
      <c r="A15" s="20" t="s">
        <v>471</v>
      </c>
      <c r="B15" s="10"/>
      <c r="C15" s="10">
        <f t="shared" si="2"/>
        <v>0</v>
      </c>
      <c r="D15" s="11">
        <f t="array" ref="D15">SUM(IF(F15:AU15="R",1,0))</f>
        <v>0</v>
      </c>
      <c r="E15" s="11">
        <f t="array" ref="E15">SUM(IF(F15:AU15="R2",1,0))</f>
        <v>1</v>
      </c>
      <c r="F15" s="21"/>
      <c r="G15" s="21"/>
      <c r="H15" s="16"/>
      <c r="I15" s="16"/>
      <c r="J15" s="16"/>
      <c r="K15" s="21"/>
      <c r="L15" s="21"/>
      <c r="M15" s="16"/>
      <c r="N15" s="16"/>
      <c r="O15" s="16"/>
      <c r="P15" s="16"/>
      <c r="Q15" s="16"/>
      <c r="R15" s="16"/>
      <c r="S15" s="17"/>
      <c r="T15" s="17"/>
      <c r="U15" s="17"/>
      <c r="V15" s="17"/>
      <c r="Z15" s="17"/>
      <c r="AF15" s="16"/>
      <c r="AG15" s="16"/>
      <c r="AH15" s="16"/>
      <c r="AI15" s="16"/>
      <c r="AJ15" s="21"/>
      <c r="AQ15" s="17" t="s">
        <v>40</v>
      </c>
      <c r="AV15" s="28">
        <f t="shared" si="3"/>
        <v>1</v>
      </c>
    </row>
    <row r="16" ht="15.0" customHeight="1">
      <c r="A16" s="26" t="s">
        <v>511</v>
      </c>
      <c r="B16" s="10">
        <f>SUM(C16:D16)</f>
        <v>3</v>
      </c>
      <c r="C16" s="10">
        <f t="shared" si="2"/>
        <v>2</v>
      </c>
      <c r="D16" s="11">
        <f t="array" ref="D16">SUM(IF(F16:AU16="R",1,0))</f>
        <v>1</v>
      </c>
      <c r="E16" s="11">
        <f t="array" ref="E16">SUM(IF(F16:AU16="R2",1,0))</f>
        <v>1</v>
      </c>
      <c r="F16" s="17"/>
      <c r="G16" s="17"/>
      <c r="J16" s="17" t="s">
        <v>40</v>
      </c>
      <c r="O16" s="129"/>
      <c r="P16" s="129"/>
      <c r="Q16" s="129"/>
      <c r="R16" s="147"/>
      <c r="S16" s="129"/>
      <c r="U16" s="24">
        <v>1.0</v>
      </c>
      <c r="V16" s="121"/>
      <c r="Y16" s="17"/>
      <c r="Z16" s="17"/>
      <c r="AB16" s="148"/>
      <c r="AC16" s="148"/>
      <c r="AD16" s="149" t="s">
        <v>39</v>
      </c>
      <c r="AE16" s="149"/>
      <c r="AF16" s="148"/>
      <c r="AG16" s="149"/>
      <c r="AH16" s="148"/>
      <c r="AK16" s="17"/>
      <c r="AM16" s="24">
        <v>1.0</v>
      </c>
      <c r="AN16" s="121"/>
      <c r="AP16" s="17"/>
      <c r="AV16" s="28">
        <f t="shared" si="3"/>
        <v>2</v>
      </c>
    </row>
    <row r="17">
      <c r="A17" s="150" t="s">
        <v>627</v>
      </c>
      <c r="B17" s="10"/>
      <c r="C17" s="10">
        <f t="shared" si="2"/>
        <v>1</v>
      </c>
      <c r="D17" s="11">
        <f t="array" ref="D17">SUM(IF(F17:AU17="R",1,0))</f>
        <v>0</v>
      </c>
      <c r="E17" s="11">
        <f t="array" ref="E17">SUM(IF(F17:AU17="R2",1,0))</f>
        <v>1</v>
      </c>
      <c r="G17" s="17" t="s">
        <v>40</v>
      </c>
      <c r="O17" s="129"/>
      <c r="P17" s="147"/>
      <c r="Q17" s="147"/>
      <c r="R17" s="129"/>
      <c r="S17" s="147"/>
      <c r="AB17" s="148"/>
      <c r="AC17" s="148"/>
      <c r="AD17" s="148"/>
      <c r="AE17" s="148"/>
      <c r="AF17" s="148"/>
      <c r="AG17" s="148"/>
      <c r="AH17" s="148"/>
      <c r="AJ17" s="16"/>
      <c r="AK17" s="16"/>
      <c r="AL17" s="16"/>
      <c r="AP17" s="17">
        <v>1.0</v>
      </c>
      <c r="AV17" s="28">
        <f t="shared" si="3"/>
        <v>1</v>
      </c>
    </row>
    <row r="18">
      <c r="A18" s="22" t="s">
        <v>550</v>
      </c>
      <c r="B18" s="10">
        <f t="shared" ref="B18:B20" si="4">SUM(C18:D18)</f>
        <v>3</v>
      </c>
      <c r="C18" s="10">
        <f t="shared" si="2"/>
        <v>1</v>
      </c>
      <c r="D18" s="11">
        <f t="array" ref="D18">SUM(IF(F18:AU18="R",1,0))</f>
        <v>2</v>
      </c>
      <c r="E18" s="11">
        <f t="array" ref="E18">SUM(IF(F18:AU18="R2",1,0))</f>
        <v>1</v>
      </c>
      <c r="F18" s="17">
        <v>1.0</v>
      </c>
      <c r="H18" s="16"/>
      <c r="I18" s="16"/>
      <c r="J18" s="17"/>
      <c r="N18" s="16"/>
      <c r="O18" s="16"/>
      <c r="P18" s="16"/>
      <c r="Q18" s="16"/>
      <c r="R18" s="16"/>
      <c r="T18" s="17" t="s">
        <v>40</v>
      </c>
      <c r="W18" s="17"/>
      <c r="X18" s="17"/>
      <c r="Z18" s="17"/>
      <c r="AC18" s="17" t="s">
        <v>39</v>
      </c>
      <c r="AJ18" s="16"/>
      <c r="AN18" s="17" t="s">
        <v>39</v>
      </c>
      <c r="AP18" s="17"/>
      <c r="AR18" s="17"/>
      <c r="AT18" s="17"/>
      <c r="AU18" s="17"/>
      <c r="AV18" s="28">
        <f t="shared" si="3"/>
        <v>3</v>
      </c>
    </row>
    <row r="19">
      <c r="A19" s="25" t="s">
        <v>551</v>
      </c>
      <c r="B19" s="10">
        <f t="shared" si="4"/>
        <v>3</v>
      </c>
      <c r="C19" s="10">
        <f t="shared" si="2"/>
        <v>1</v>
      </c>
      <c r="D19" s="11">
        <f t="array" ref="D19">SUM(IF(F19:AU19="R",1,0))</f>
        <v>2</v>
      </c>
      <c r="E19" s="11">
        <f t="array" ref="E19">SUM(IF(F19:AU19="R2",1,0))</f>
        <v>2</v>
      </c>
      <c r="F19" s="121"/>
      <c r="G19" s="24"/>
      <c r="H19" s="21"/>
      <c r="I19" s="21"/>
      <c r="N19" s="16"/>
      <c r="O19" s="16"/>
      <c r="P19" s="16"/>
      <c r="Q19" s="16"/>
      <c r="R19" s="17" t="s">
        <v>40</v>
      </c>
      <c r="T19" s="17"/>
      <c r="W19" s="17"/>
      <c r="X19" s="24" t="s">
        <v>39</v>
      </c>
      <c r="Z19" s="121"/>
      <c r="AE19" s="17"/>
      <c r="AF19" s="17"/>
      <c r="AG19" s="24">
        <v>1.0</v>
      </c>
      <c r="AH19" s="17"/>
      <c r="AI19" s="16"/>
      <c r="AJ19" s="17" t="s">
        <v>40</v>
      </c>
      <c r="AL19" s="17"/>
      <c r="AM19" s="17"/>
      <c r="AN19" s="17"/>
      <c r="AO19" s="17"/>
      <c r="AP19" s="24" t="s">
        <v>39</v>
      </c>
      <c r="AR19" s="121"/>
      <c r="AV19" s="28">
        <f t="shared" si="3"/>
        <v>4</v>
      </c>
    </row>
    <row r="20" hidden="1">
      <c r="A20" s="26" t="s">
        <v>513</v>
      </c>
      <c r="B20" s="10">
        <f t="shared" si="4"/>
        <v>0</v>
      </c>
      <c r="C20" s="10">
        <f t="shared" si="2"/>
        <v>0</v>
      </c>
      <c r="D20" s="11">
        <f t="array" ref="D20">SUM(IF(F20:AU20="R",1,0))</f>
        <v>0</v>
      </c>
      <c r="E20" s="11">
        <f t="array" ref="E20">SUM(IF(F20:AU20="R2",1,0))</f>
        <v>0</v>
      </c>
      <c r="F20" s="21"/>
      <c r="G20" s="21"/>
      <c r="H20" s="16"/>
      <c r="I20" s="16"/>
      <c r="J20" s="21"/>
      <c r="K20" s="16"/>
      <c r="O20" s="129"/>
      <c r="P20" s="129"/>
      <c r="Q20" s="129"/>
      <c r="R20" s="147"/>
      <c r="S20" s="147"/>
      <c r="U20" s="121"/>
      <c r="X20" s="17"/>
      <c r="AB20" s="149"/>
      <c r="AC20" s="149"/>
      <c r="AD20" s="132"/>
      <c r="AE20" s="151"/>
      <c r="AF20" s="148"/>
      <c r="AG20" s="148"/>
      <c r="AH20" s="149"/>
      <c r="AI20" s="17"/>
      <c r="AK20" s="17"/>
      <c r="AM20" s="151"/>
      <c r="AN20" s="151"/>
      <c r="AV20" s="28">
        <f t="shared" si="3"/>
        <v>0</v>
      </c>
    </row>
    <row r="21">
      <c r="A21" s="26" t="s">
        <v>552</v>
      </c>
      <c r="B21" s="10"/>
      <c r="C21" s="10">
        <f t="shared" si="2"/>
        <v>3</v>
      </c>
      <c r="D21" s="11">
        <f t="array" ref="D21">SUM(IF(F21:AU21="R",1,0))</f>
        <v>2</v>
      </c>
      <c r="E21" s="11">
        <f t="array" ref="E21">SUM(IF(F21:AU21="R2",1,0))</f>
        <v>1</v>
      </c>
      <c r="H21" s="17" t="s">
        <v>40</v>
      </c>
      <c r="J21" s="17">
        <v>1.0</v>
      </c>
      <c r="L21" s="17" t="s">
        <v>39</v>
      </c>
      <c r="O21" s="17"/>
      <c r="AD21" s="17">
        <v>1.0</v>
      </c>
      <c r="AG21" s="17"/>
      <c r="AM21" s="17" t="s">
        <v>39</v>
      </c>
      <c r="AQ21" s="17"/>
      <c r="AT21" s="17">
        <v>1.0</v>
      </c>
      <c r="AV21" s="28">
        <f t="shared" si="3"/>
        <v>3</v>
      </c>
    </row>
    <row r="22" hidden="1">
      <c r="A22" s="25" t="s">
        <v>514</v>
      </c>
      <c r="B22" s="10">
        <f>SUM(C22:D22)</f>
        <v>0</v>
      </c>
      <c r="C22" s="10">
        <f t="shared" si="2"/>
        <v>0</v>
      </c>
      <c r="D22" s="11">
        <f t="array" ref="D22">SUM(IF(F22:AU22="R",1,0))</f>
        <v>0</v>
      </c>
      <c r="E22" s="11">
        <f t="array" ref="E22">SUM(IF(F22:AU22="R2",1,0))</f>
        <v>0</v>
      </c>
      <c r="F22" s="17"/>
      <c r="G22" s="17"/>
      <c r="H22" s="17"/>
      <c r="I22" s="17"/>
      <c r="J22" s="17"/>
      <c r="K22" s="17"/>
      <c r="L22" s="17"/>
      <c r="M22" s="17"/>
      <c r="N22" s="17"/>
      <c r="S22" s="17"/>
      <c r="T22" s="17"/>
      <c r="U22" s="17"/>
      <c r="V22" s="17"/>
      <c r="W22" s="17"/>
      <c r="AA22" s="17"/>
      <c r="AE22" s="17"/>
      <c r="AI22" s="17"/>
      <c r="AP22" s="17"/>
      <c r="AS22" s="17"/>
      <c r="AV22" s="28">
        <f t="shared" si="3"/>
        <v>0</v>
      </c>
    </row>
    <row r="23">
      <c r="A23" s="25" t="s">
        <v>515</v>
      </c>
      <c r="B23" s="10"/>
      <c r="C23" s="10">
        <f t="shared" si="2"/>
        <v>1</v>
      </c>
      <c r="D23" s="11">
        <f t="array" ref="D23">SUM(IF(H23:AU23="R",1,0))</f>
        <v>1</v>
      </c>
      <c r="E23" s="11">
        <f t="array" ref="E23">SUM(IF(H23:AU23="R2",1,0))</f>
        <v>2</v>
      </c>
      <c r="G23" s="17">
        <v>1.0</v>
      </c>
      <c r="O23" s="17" t="s">
        <v>40</v>
      </c>
      <c r="T23" s="17"/>
      <c r="U23" s="17"/>
      <c r="V23" s="17"/>
      <c r="X23" s="17"/>
      <c r="Y23" s="17"/>
      <c r="Z23" s="17"/>
      <c r="AF23" s="17"/>
      <c r="AH23" s="17" t="s">
        <v>40</v>
      </c>
      <c r="AO23" s="17" t="s">
        <v>39</v>
      </c>
      <c r="AS23" s="17"/>
      <c r="AV23" s="28">
        <f t="shared" si="3"/>
        <v>3</v>
      </c>
    </row>
    <row r="24">
      <c r="A24" s="9" t="s">
        <v>587</v>
      </c>
      <c r="B24" s="10">
        <f>SUM(C24:D24)</f>
        <v>1</v>
      </c>
      <c r="C24" s="10">
        <f t="shared" si="2"/>
        <v>0</v>
      </c>
      <c r="D24" s="11">
        <f t="array" ref="D24">SUM(IF(F24:AU24="R",1,0))</f>
        <v>1</v>
      </c>
      <c r="E24" s="11">
        <f t="array" ref="E24">SUM(IF(F24:AU24="R2",1,0))</f>
        <v>1</v>
      </c>
      <c r="H24" s="16"/>
      <c r="I24" s="16"/>
      <c r="J24" s="17"/>
      <c r="K24" s="17"/>
      <c r="L24" s="17"/>
      <c r="Q24" s="17" t="s">
        <v>40</v>
      </c>
      <c r="AE24" s="17"/>
      <c r="AF24" s="17" t="s">
        <v>39</v>
      </c>
      <c r="AJ24" s="17"/>
      <c r="AV24" s="28">
        <f t="shared" si="3"/>
        <v>2</v>
      </c>
    </row>
    <row r="25">
      <c r="A25" s="9" t="s">
        <v>516</v>
      </c>
      <c r="B25" s="28"/>
      <c r="C25" s="10">
        <f t="shared" si="2"/>
        <v>3</v>
      </c>
      <c r="D25" s="11">
        <f t="array" ref="D25">SUM(IF(F25:AU25="R",1,0))</f>
        <v>1</v>
      </c>
      <c r="E25" s="11">
        <f t="array" ref="E25">SUM(IF(F25:AU25="R2",1,0))</f>
        <v>1</v>
      </c>
      <c r="G25" s="31"/>
      <c r="H25" s="47">
        <v>1.0</v>
      </c>
      <c r="I25" s="31"/>
      <c r="J25" s="45"/>
      <c r="K25" s="152"/>
      <c r="L25" s="31"/>
      <c r="M25" s="24">
        <v>1.0</v>
      </c>
      <c r="S25" s="17"/>
      <c r="T25" s="24" t="s">
        <v>39</v>
      </c>
      <c r="V25" s="121"/>
      <c r="W25" s="16"/>
      <c r="X25" s="16"/>
      <c r="AB25" s="17"/>
      <c r="AC25" s="24" t="s">
        <v>40</v>
      </c>
      <c r="AE25" s="24"/>
      <c r="AK25" s="17"/>
      <c r="AL25" s="121"/>
      <c r="AN25" s="121"/>
      <c r="AU25" s="24">
        <v>1.0</v>
      </c>
      <c r="AV25" s="28">
        <f t="shared" si="3"/>
        <v>2</v>
      </c>
    </row>
    <row r="26">
      <c r="A26" s="62" t="s">
        <v>517</v>
      </c>
      <c r="B26" s="10"/>
      <c r="C26" s="10">
        <f t="shared" si="2"/>
        <v>2</v>
      </c>
      <c r="D26" s="11">
        <f t="array" ref="D26">SUM(IF(F26:AU26="R",1,0))</f>
        <v>1</v>
      </c>
      <c r="E26" s="11">
        <f t="array" ref="E26">SUM(IF(F26:AU26="R2",1,0))</f>
        <v>1</v>
      </c>
      <c r="P26" s="17" t="s">
        <v>39</v>
      </c>
      <c r="T26" s="24">
        <v>1.0</v>
      </c>
      <c r="U26" s="17"/>
      <c r="V26" s="17"/>
      <c r="Y26" s="17" t="s">
        <v>40</v>
      </c>
      <c r="AC26" s="24">
        <v>1.0</v>
      </c>
      <c r="AF26" s="16"/>
      <c r="AG26" s="16"/>
      <c r="AH26" s="16"/>
      <c r="AI26" s="16"/>
      <c r="AJ26" s="16"/>
      <c r="AK26" s="21"/>
      <c r="AL26" s="21"/>
      <c r="AM26" s="21"/>
      <c r="AN26" s="21"/>
      <c r="AO26" s="16"/>
      <c r="AP26" s="16"/>
      <c r="AQ26" s="16"/>
      <c r="AR26" s="16"/>
      <c r="AS26" s="16"/>
      <c r="AT26" s="21"/>
      <c r="AU26" s="21"/>
      <c r="AV26" s="28">
        <f t="shared" si="3"/>
        <v>2</v>
      </c>
    </row>
    <row r="27">
      <c r="A27" s="62" t="s">
        <v>588</v>
      </c>
      <c r="B27" s="10">
        <f>SUM(C27:D27)</f>
        <v>3</v>
      </c>
      <c r="C27" s="10">
        <f t="shared" si="2"/>
        <v>1</v>
      </c>
      <c r="D27" s="11">
        <f t="array" ref="D27">SUM(IF(F27:AU27="R",1,0))</f>
        <v>2</v>
      </c>
      <c r="E27" s="11">
        <f t="array" ref="E27">SUM(IF(F27:AU27="R2",1,0))</f>
        <v>2</v>
      </c>
      <c r="F27" s="21"/>
      <c r="G27" s="21"/>
      <c r="H27" s="16"/>
      <c r="I27" s="16"/>
      <c r="J27" s="24"/>
      <c r="L27" s="24"/>
      <c r="N27" s="17" t="s">
        <v>39</v>
      </c>
      <c r="Q27" s="17"/>
      <c r="R27" s="17">
        <v>1.0</v>
      </c>
      <c r="S27" s="121"/>
      <c r="U27" s="121"/>
      <c r="V27" s="17" t="s">
        <v>40</v>
      </c>
      <c r="X27" s="17"/>
      <c r="AB27" s="24" t="s">
        <v>39</v>
      </c>
      <c r="AC27" s="17"/>
      <c r="AD27" s="24"/>
      <c r="AF27" s="16"/>
      <c r="AG27" s="21"/>
      <c r="AH27" s="21"/>
      <c r="AI27" s="16"/>
      <c r="AJ27" s="16"/>
      <c r="AK27" s="121"/>
      <c r="AM27" s="121"/>
      <c r="AQ27" s="17"/>
      <c r="AS27" s="17"/>
      <c r="AT27" s="24" t="s">
        <v>40</v>
      </c>
      <c r="AV27" s="28">
        <f t="shared" si="3"/>
        <v>4</v>
      </c>
    </row>
    <row r="28">
      <c r="A28" s="62" t="s">
        <v>519</v>
      </c>
      <c r="B28" s="10"/>
      <c r="C28" s="10">
        <f>SUM(J28:AU28)</f>
        <v>1</v>
      </c>
      <c r="D28" s="11">
        <f t="array" ref="D28">SUM(IF(F28:AU28="R",1,0))</f>
        <v>2</v>
      </c>
      <c r="E28" s="11">
        <f t="array" ref="E28">SUM(IF(F28:AU28="R2",1,0))</f>
        <v>1</v>
      </c>
      <c r="F28" s="16"/>
      <c r="G28" s="16"/>
      <c r="H28" s="21"/>
      <c r="I28" s="21"/>
      <c r="O28" s="17">
        <v>1.0</v>
      </c>
      <c r="T28" s="17"/>
      <c r="U28" s="17"/>
      <c r="V28" s="24"/>
      <c r="W28" s="24"/>
      <c r="X28" s="24"/>
      <c r="Y28" s="24"/>
      <c r="Z28" s="24" t="s">
        <v>40</v>
      </c>
      <c r="AE28" s="24"/>
      <c r="AF28" s="16"/>
      <c r="AG28" s="21"/>
      <c r="AH28" s="16"/>
      <c r="AI28" s="16"/>
      <c r="AJ28" s="16"/>
      <c r="AL28" s="17" t="s">
        <v>39</v>
      </c>
      <c r="AQ28" s="17" t="s">
        <v>39</v>
      </c>
      <c r="AR28" s="17"/>
      <c r="AV28" s="28">
        <f t="shared" si="3"/>
        <v>3</v>
      </c>
    </row>
    <row r="29">
      <c r="A29" s="62" t="s">
        <v>589</v>
      </c>
      <c r="B29" s="10">
        <f t="shared" ref="B29:B30" si="5">SUM(C29:D29)</f>
        <v>3</v>
      </c>
      <c r="C29" s="10">
        <f t="shared" ref="C29:C41" si="6">SUM(F29:AU29)</f>
        <v>2</v>
      </c>
      <c r="D29" s="11">
        <f t="array" ref="D29">SUM(IF(F29:AU29="R",1,0))</f>
        <v>1</v>
      </c>
      <c r="E29" s="11">
        <f t="array" ref="E29">SUM(IF(F29:AU29="R2",1,0))</f>
        <v>2</v>
      </c>
      <c r="H29" s="17"/>
      <c r="I29" s="17" t="s">
        <v>40</v>
      </c>
      <c r="O29" s="17"/>
      <c r="P29" s="17">
        <v>1.0</v>
      </c>
      <c r="R29" s="17" t="s">
        <v>39</v>
      </c>
      <c r="T29" s="17"/>
      <c r="V29" s="17"/>
      <c r="W29" s="17"/>
      <c r="AA29" s="17" t="s">
        <v>40</v>
      </c>
      <c r="AF29" s="17"/>
      <c r="AG29" s="17"/>
      <c r="AN29" s="17">
        <v>1.0</v>
      </c>
      <c r="AV29" s="28">
        <f t="shared" si="3"/>
        <v>3</v>
      </c>
    </row>
    <row r="30">
      <c r="A30" s="26" t="s">
        <v>553</v>
      </c>
      <c r="B30" s="10">
        <f t="shared" si="5"/>
        <v>2</v>
      </c>
      <c r="C30" s="10">
        <f t="shared" si="6"/>
        <v>1</v>
      </c>
      <c r="D30" s="11">
        <f t="array" ref="D30">SUM(IF(F30:AU30="R",1,0))</f>
        <v>1</v>
      </c>
      <c r="E30" s="11">
        <f t="array" ref="E30">SUM(IF(F30:AU30="R2",1,0))</f>
        <v>2</v>
      </c>
      <c r="J30" s="17" t="s">
        <v>39</v>
      </c>
      <c r="R30" s="17"/>
      <c r="U30" s="17" t="s">
        <v>40</v>
      </c>
      <c r="Y30" s="17"/>
      <c r="AA30" s="17"/>
      <c r="AB30" s="17">
        <v>1.0</v>
      </c>
      <c r="AG30" s="17"/>
      <c r="AI30" s="17"/>
      <c r="AK30" s="17"/>
      <c r="AL30" s="17"/>
      <c r="AM30" s="17" t="s">
        <v>40</v>
      </c>
      <c r="AN30" s="17"/>
      <c r="AP30" s="17"/>
      <c r="AS30" s="17"/>
      <c r="AV30" s="28">
        <f t="shared" si="3"/>
        <v>3</v>
      </c>
    </row>
    <row r="31">
      <c r="A31" s="26" t="s">
        <v>475</v>
      </c>
      <c r="B31" s="10"/>
      <c r="C31" s="10">
        <f t="shared" si="6"/>
        <v>1</v>
      </c>
      <c r="D31" s="11">
        <f t="array" ref="D31">SUM(IF(F31:AU31="R",1,0))</f>
        <v>2</v>
      </c>
      <c r="E31" s="11">
        <f t="array" ref="E31">SUM(IF(F31:AU31="R2",1,0))</f>
        <v>1</v>
      </c>
      <c r="F31" s="17"/>
      <c r="G31" s="17"/>
      <c r="H31" s="17" t="s">
        <v>39</v>
      </c>
      <c r="L31" s="17" t="s">
        <v>40</v>
      </c>
      <c r="O31" s="17"/>
      <c r="Q31" s="17"/>
      <c r="Y31" s="17"/>
      <c r="Z31" s="17"/>
      <c r="AA31" s="17"/>
      <c r="AG31" s="17"/>
      <c r="AI31" s="17"/>
      <c r="AK31" s="17">
        <v>1.0</v>
      </c>
      <c r="AQ31" s="17"/>
      <c r="AS31" s="17"/>
      <c r="AT31" s="17" t="s">
        <v>39</v>
      </c>
      <c r="AV31" s="28">
        <f t="shared" si="3"/>
        <v>3</v>
      </c>
    </row>
    <row r="32" hidden="1">
      <c r="A32" s="27" t="s">
        <v>476</v>
      </c>
      <c r="B32" s="10" t="str">
        <f>SUM(B4:B37)</f>
        <v>#REF!</v>
      </c>
      <c r="C32" s="10">
        <f t="shared" si="6"/>
        <v>0</v>
      </c>
      <c r="D32" s="11">
        <f t="array" ref="D32">SUM(IF(F32:AU32="R",1,0))</f>
        <v>0</v>
      </c>
      <c r="E32" s="11">
        <f t="array" ref="E32">SUM(IF(F32:AU32="R2",1,0))</f>
        <v>0</v>
      </c>
      <c r="F32" s="17"/>
      <c r="G32" s="17"/>
      <c r="H32" s="17"/>
      <c r="I32" s="17"/>
      <c r="J32" s="17"/>
      <c r="M32" s="17"/>
      <c r="N32" s="17"/>
      <c r="AA32" s="17"/>
      <c r="AJ32" s="17"/>
      <c r="AK32" s="17"/>
      <c r="AQ32" s="17"/>
      <c r="AR32" s="17"/>
      <c r="AV32" s="28">
        <f t="shared" si="3"/>
        <v>0</v>
      </c>
    </row>
    <row r="33">
      <c r="A33" s="27" t="s">
        <v>522</v>
      </c>
      <c r="B33" s="28" t="str">
        <f t="shared" ref="B33:B34" si="7">SUM(#REF!)</f>
        <v>#REF!</v>
      </c>
      <c r="C33" s="10">
        <f t="shared" si="6"/>
        <v>1</v>
      </c>
      <c r="D33" s="11">
        <f t="array" ref="D33">SUM(IF(F33:AU33="R",1,0))</f>
        <v>2</v>
      </c>
      <c r="E33" s="11">
        <f t="array" ref="E33">SUM(IF(F33:AU33="R2",1,0))</f>
        <v>1</v>
      </c>
      <c r="F33" s="16"/>
      <c r="G33" s="16"/>
      <c r="H33" s="16"/>
      <c r="I33" s="16"/>
      <c r="N33" s="16"/>
      <c r="O33" s="16"/>
      <c r="P33" s="16"/>
      <c r="Q33" s="16"/>
      <c r="R33" s="21"/>
      <c r="S33" s="16"/>
      <c r="T33" s="16"/>
      <c r="U33" s="16"/>
      <c r="V33" s="16"/>
      <c r="X33" s="24" t="s">
        <v>40</v>
      </c>
      <c r="Z33" s="24" t="s">
        <v>39</v>
      </c>
      <c r="AA33" s="17"/>
      <c r="AE33" s="17" t="s">
        <v>39</v>
      </c>
      <c r="AF33" s="16"/>
      <c r="AG33" s="24"/>
      <c r="AH33" s="16"/>
      <c r="AI33" s="24">
        <v>1.0</v>
      </c>
      <c r="AJ33" s="16"/>
      <c r="AO33" s="16"/>
      <c r="AP33" s="16"/>
      <c r="AQ33" s="16"/>
      <c r="AR33" s="16"/>
      <c r="AS33" s="16"/>
      <c r="AT33" s="16"/>
      <c r="AU33" s="16"/>
      <c r="AV33" s="28">
        <f t="shared" si="3"/>
        <v>3</v>
      </c>
    </row>
    <row r="34">
      <c r="A34" s="69" t="s">
        <v>523</v>
      </c>
      <c r="B34" s="28" t="str">
        <f t="shared" si="7"/>
        <v>#REF!</v>
      </c>
      <c r="C34" s="10">
        <f t="shared" si="6"/>
        <v>2</v>
      </c>
      <c r="D34" s="11">
        <f t="array" ref="D34">SUM(IF(F34:AU34="R",1,0))</f>
        <v>2</v>
      </c>
      <c r="E34" s="11">
        <f t="array" ref="E34">SUM(IF(F34:AU34="R2",1,0))</f>
        <v>2</v>
      </c>
      <c r="H34" s="24"/>
      <c r="I34" s="24">
        <v>1.0</v>
      </c>
      <c r="J34" s="121"/>
      <c r="K34" s="121"/>
      <c r="L34" s="121"/>
      <c r="M34" s="24" t="s">
        <v>40</v>
      </c>
      <c r="N34" s="21"/>
      <c r="O34" s="21"/>
      <c r="P34" s="21"/>
      <c r="Q34" s="16"/>
      <c r="R34" s="16"/>
      <c r="S34" s="24" t="s">
        <v>39</v>
      </c>
      <c r="T34" s="121"/>
      <c r="U34" s="121"/>
      <c r="V34" s="121"/>
      <c r="AA34" s="24">
        <v>1.0</v>
      </c>
      <c r="AB34" s="24"/>
      <c r="AC34" s="24"/>
      <c r="AD34" s="24"/>
      <c r="AE34" s="121"/>
      <c r="AJ34" s="24" t="s">
        <v>39</v>
      </c>
      <c r="AK34" s="121"/>
      <c r="AL34" s="121"/>
      <c r="AM34" s="24"/>
      <c r="AN34" s="24" t="s">
        <v>40</v>
      </c>
      <c r="AO34" s="17"/>
      <c r="AR34" s="17"/>
      <c r="AS34" s="121"/>
      <c r="AT34" s="24"/>
      <c r="AU34" s="121"/>
      <c r="AV34" s="28">
        <f t="shared" si="3"/>
        <v>4</v>
      </c>
    </row>
    <row r="35">
      <c r="A35" s="44" t="s">
        <v>524</v>
      </c>
      <c r="C35" s="10">
        <f t="shared" si="6"/>
        <v>1</v>
      </c>
      <c r="D35" s="11">
        <f t="array" ref="D35">SUM(IF(F35:AU35="R",1,0))</f>
        <v>2</v>
      </c>
      <c r="E35" s="11">
        <f t="array" ref="E35">SUM(IF(F35:AU35="R2",1,0))</f>
        <v>1</v>
      </c>
      <c r="F35" s="16"/>
      <c r="G35" s="16"/>
      <c r="H35" s="16"/>
      <c r="I35" s="16"/>
      <c r="J35" s="16"/>
      <c r="K35" s="21"/>
      <c r="L35" s="17"/>
      <c r="N35" s="24">
        <v>1.0</v>
      </c>
      <c r="O35" s="24"/>
      <c r="P35" s="24"/>
      <c r="Q35" s="121"/>
      <c r="U35" s="17" t="s">
        <v>39</v>
      </c>
      <c r="V35" s="17"/>
      <c r="W35" s="24"/>
      <c r="X35" s="121"/>
      <c r="Y35" s="121"/>
      <c r="Z35" s="121"/>
      <c r="AA35" s="17" t="s">
        <v>39</v>
      </c>
      <c r="AE35" s="17"/>
      <c r="AF35" s="24" t="s">
        <v>40</v>
      </c>
      <c r="AG35" s="24"/>
      <c r="AH35" s="121"/>
      <c r="AI35" s="17"/>
      <c r="AO35" s="24"/>
      <c r="AP35" s="121"/>
      <c r="AQ35" s="121"/>
      <c r="AR35" s="121"/>
      <c r="AU35" s="17"/>
      <c r="AV35" s="28">
        <f t="shared" si="3"/>
        <v>3</v>
      </c>
      <c r="AW35" s="121"/>
      <c r="AX35" s="121"/>
      <c r="AY35" s="121"/>
    </row>
    <row r="36" hidden="1">
      <c r="A36" s="44" t="s">
        <v>479</v>
      </c>
      <c r="C36" s="10">
        <f t="shared" si="6"/>
        <v>0</v>
      </c>
      <c r="D36" s="11">
        <f t="array" ref="D36">SUM(IF(F36:AU36="R",1,0))</f>
        <v>0</v>
      </c>
      <c r="E36" s="11">
        <f t="array" ref="E36">SUM(IF(F36:AU36="R2",1,0))</f>
        <v>0</v>
      </c>
      <c r="K36" s="17"/>
      <c r="L36" s="17"/>
      <c r="M36" s="17"/>
      <c r="AE36" s="17"/>
      <c r="AL36" s="17"/>
      <c r="AM36" s="17"/>
      <c r="AN36" s="17"/>
      <c r="AO36" s="17"/>
      <c r="AR36" s="17"/>
      <c r="AV36" s="28">
        <f t="shared" si="3"/>
        <v>0</v>
      </c>
    </row>
    <row r="37">
      <c r="A37" s="44" t="s">
        <v>628</v>
      </c>
      <c r="B37" s="10">
        <f>SUM(C37:D37)</f>
        <v>3</v>
      </c>
      <c r="C37" s="10">
        <f t="shared" si="6"/>
        <v>2</v>
      </c>
      <c r="D37" s="11">
        <f t="array" ref="D37">SUM(IF(F37:AU37="R",1,0))</f>
        <v>1</v>
      </c>
      <c r="E37" s="11">
        <f t="array" ref="E37">SUM(IF(F37:AU37="R2",1,0))</f>
        <v>2</v>
      </c>
      <c r="F37" s="17"/>
      <c r="G37" s="17"/>
      <c r="J37" s="17"/>
      <c r="M37" s="17" t="s">
        <v>39</v>
      </c>
      <c r="Q37" s="17">
        <v>1.0</v>
      </c>
      <c r="AD37" s="17" t="s">
        <v>40</v>
      </c>
      <c r="AL37" s="17">
        <v>1.0</v>
      </c>
      <c r="AS37" s="17" t="s">
        <v>40</v>
      </c>
      <c r="AV37" s="28">
        <f t="shared" si="3"/>
        <v>3</v>
      </c>
    </row>
    <row r="38">
      <c r="A38" s="23" t="s">
        <v>481</v>
      </c>
      <c r="C38" s="10">
        <f t="shared" si="6"/>
        <v>1</v>
      </c>
      <c r="D38" s="11">
        <f t="array" ref="D38">SUM(IF(F38:AU38="R",1,0))</f>
        <v>1</v>
      </c>
      <c r="E38" s="11">
        <f t="array" ref="E38">SUM(IF(F38:AU38="R2",1,0))</f>
        <v>2</v>
      </c>
      <c r="F38" s="121"/>
      <c r="G38" s="121"/>
      <c r="N38" s="16"/>
      <c r="O38" s="16"/>
      <c r="P38" s="16"/>
      <c r="Q38" s="16"/>
      <c r="R38" s="16"/>
      <c r="V38" s="17" t="s">
        <v>39</v>
      </c>
      <c r="W38" s="121"/>
      <c r="X38" s="121"/>
      <c r="Y38" s="121"/>
      <c r="Z38" s="121"/>
      <c r="AB38" s="17"/>
      <c r="AC38" s="17"/>
      <c r="AD38" s="17"/>
      <c r="AF38" s="121"/>
      <c r="AG38" s="24"/>
      <c r="AH38" s="24">
        <v>1.0</v>
      </c>
      <c r="AI38" s="24"/>
      <c r="AJ38" s="17"/>
      <c r="AL38" s="17" t="s">
        <v>40</v>
      </c>
      <c r="AM38" s="17"/>
      <c r="AN38" s="17"/>
      <c r="AO38" s="24"/>
      <c r="AP38" s="24"/>
      <c r="AQ38" s="121"/>
      <c r="AR38" s="24" t="s">
        <v>40</v>
      </c>
      <c r="AS38" s="17"/>
      <c r="AV38" s="28">
        <f t="shared" si="3"/>
        <v>3</v>
      </c>
    </row>
    <row r="39">
      <c r="A39" s="17" t="s">
        <v>68</v>
      </c>
      <c r="C39" s="10">
        <f t="shared" si="6"/>
        <v>42</v>
      </c>
      <c r="D39" s="11"/>
      <c r="E39" s="11"/>
      <c r="F39" s="28">
        <f t="shared" ref="F39:AV39" si="8">SUM(F3:F38)</f>
        <v>1</v>
      </c>
      <c r="G39" s="28">
        <f t="shared" si="8"/>
        <v>1</v>
      </c>
      <c r="H39" s="28">
        <f t="shared" si="8"/>
        <v>1</v>
      </c>
      <c r="I39" s="28">
        <f t="shared" si="8"/>
        <v>1</v>
      </c>
      <c r="J39" s="28">
        <f t="shared" si="8"/>
        <v>1</v>
      </c>
      <c r="K39" s="28">
        <f t="shared" si="8"/>
        <v>1</v>
      </c>
      <c r="L39" s="28">
        <f t="shared" si="8"/>
        <v>1</v>
      </c>
      <c r="M39" s="28">
        <f t="shared" si="8"/>
        <v>1</v>
      </c>
      <c r="N39" s="28">
        <f t="shared" si="8"/>
        <v>1</v>
      </c>
      <c r="O39" s="28">
        <f t="shared" si="8"/>
        <v>1</v>
      </c>
      <c r="P39" s="28">
        <f t="shared" si="8"/>
        <v>1</v>
      </c>
      <c r="Q39" s="28">
        <f t="shared" si="8"/>
        <v>1</v>
      </c>
      <c r="R39" s="28">
        <f t="shared" si="8"/>
        <v>1</v>
      </c>
      <c r="S39" s="28">
        <f t="shared" si="8"/>
        <v>1</v>
      </c>
      <c r="T39" s="28">
        <f t="shared" si="8"/>
        <v>1</v>
      </c>
      <c r="U39" s="28">
        <f t="shared" si="8"/>
        <v>1</v>
      </c>
      <c r="V39" s="28">
        <f t="shared" si="8"/>
        <v>1</v>
      </c>
      <c r="W39" s="28">
        <f t="shared" si="8"/>
        <v>1</v>
      </c>
      <c r="X39" s="28">
        <f t="shared" si="8"/>
        <v>1</v>
      </c>
      <c r="Y39" s="28">
        <f t="shared" si="8"/>
        <v>1</v>
      </c>
      <c r="Z39" s="28">
        <f t="shared" si="8"/>
        <v>1</v>
      </c>
      <c r="AA39" s="28">
        <f t="shared" si="8"/>
        <v>1</v>
      </c>
      <c r="AB39" s="28">
        <f t="shared" si="8"/>
        <v>1</v>
      </c>
      <c r="AC39" s="28">
        <f t="shared" si="8"/>
        <v>1</v>
      </c>
      <c r="AD39" s="28">
        <f t="shared" si="8"/>
        <v>1</v>
      </c>
      <c r="AE39" s="28">
        <f t="shared" si="8"/>
        <v>1</v>
      </c>
      <c r="AF39" s="28">
        <f t="shared" si="8"/>
        <v>1</v>
      </c>
      <c r="AG39" s="28">
        <f t="shared" si="8"/>
        <v>1</v>
      </c>
      <c r="AH39" s="28">
        <f t="shared" si="8"/>
        <v>1</v>
      </c>
      <c r="AI39" s="28">
        <f t="shared" si="8"/>
        <v>1</v>
      </c>
      <c r="AJ39" s="28">
        <f t="shared" si="8"/>
        <v>1</v>
      </c>
      <c r="AK39" s="28">
        <f t="shared" si="8"/>
        <v>1</v>
      </c>
      <c r="AL39" s="28">
        <f t="shared" si="8"/>
        <v>1</v>
      </c>
      <c r="AM39" s="28">
        <f t="shared" si="8"/>
        <v>1</v>
      </c>
      <c r="AN39" s="28">
        <f t="shared" si="8"/>
        <v>1</v>
      </c>
      <c r="AO39" s="28">
        <f t="shared" si="8"/>
        <v>1</v>
      </c>
      <c r="AP39" s="28">
        <f t="shared" si="8"/>
        <v>1</v>
      </c>
      <c r="AQ39" s="28">
        <f t="shared" si="8"/>
        <v>1</v>
      </c>
      <c r="AR39" s="28">
        <f t="shared" si="8"/>
        <v>1</v>
      </c>
      <c r="AS39" s="28">
        <f t="shared" si="8"/>
        <v>1</v>
      </c>
      <c r="AT39" s="28">
        <f t="shared" si="8"/>
        <v>1</v>
      </c>
      <c r="AU39" s="28">
        <f t="shared" si="8"/>
        <v>1</v>
      </c>
      <c r="AV39" s="28">
        <f t="shared" si="8"/>
        <v>84</v>
      </c>
      <c r="AW39" s="28">
        <f>SUM(J4:J37)</f>
        <v>1</v>
      </c>
      <c r="AX39" s="28">
        <f>SUM(L4:L37)</f>
        <v>1</v>
      </c>
      <c r="AY39" s="28">
        <f t="shared" ref="AY39:AZ39" si="9">SUM(N4:N37)</f>
        <v>1</v>
      </c>
      <c r="AZ39" s="28">
        <f t="shared" si="9"/>
        <v>1</v>
      </c>
      <c r="BA39" s="28" t="str">
        <f>SUM(#REF!)</f>
        <v>#REF!</v>
      </c>
    </row>
    <row r="40">
      <c r="A40" s="17" t="s">
        <v>69</v>
      </c>
      <c r="C40" s="10">
        <f t="shared" si="6"/>
        <v>42</v>
      </c>
      <c r="D40" s="11"/>
      <c r="E40" s="11"/>
      <c r="F40" s="11">
        <f t="array" ref="F40">SUM(IF(F3:F38="R",1,0))</f>
        <v>1</v>
      </c>
      <c r="G40" s="11">
        <f t="array" ref="G40">SUM(IF(G3:G38="R",1,0))</f>
        <v>1</v>
      </c>
      <c r="H40" s="11">
        <f t="array" ref="H40">SUM(IF(H3:H38="R",1,0))</f>
        <v>1</v>
      </c>
      <c r="I40" s="11">
        <f t="array" ref="I40">SUM(IF(I3:I38="R",1,0))</f>
        <v>1</v>
      </c>
      <c r="J40" s="11">
        <f t="array" ref="J40">SUM(IF(J3:J38="R",1,0))</f>
        <v>1</v>
      </c>
      <c r="K40" s="11">
        <f t="array" ref="K40">SUM(IF(K3:K38="R",1,0))</f>
        <v>1</v>
      </c>
      <c r="L40" s="11">
        <f t="array" ref="L40">SUM(IF(L3:L38="R",1,0))</f>
        <v>1</v>
      </c>
      <c r="M40" s="11">
        <f t="array" ref="M40">SUM(IF(M3:M38="R",1,0))</f>
        <v>1</v>
      </c>
      <c r="N40" s="11">
        <f t="array" ref="N40">SUM(IF(N3:N38="R",1,0))</f>
        <v>1</v>
      </c>
      <c r="O40" s="11">
        <f t="array" ref="O40">SUM(IF(O3:O38="R",1,0))</f>
        <v>1</v>
      </c>
      <c r="P40" s="11">
        <f t="array" ref="P40">SUM(IF(P3:P38="R",1,0))</f>
        <v>1</v>
      </c>
      <c r="Q40" s="11">
        <f t="array" ref="Q40">SUM(IF(Q3:Q38="R",1,0))</f>
        <v>1</v>
      </c>
      <c r="R40" s="11">
        <f t="array" ref="R40">SUM(IF(R3:R38="R",1,0))</f>
        <v>1</v>
      </c>
      <c r="S40" s="11">
        <f t="array" ref="S40">SUM(IF(S3:S38="R",1,0))</f>
        <v>1</v>
      </c>
      <c r="T40" s="11">
        <f t="array" ref="T40">SUM(IF(T3:T38="R",1,0))</f>
        <v>1</v>
      </c>
      <c r="U40" s="11">
        <f t="array" ref="U40">SUM(IF(U3:U38="R",1,0))</f>
        <v>1</v>
      </c>
      <c r="V40" s="11">
        <f t="array" ref="V40">SUM(IF(V3:V38="R",1,0))</f>
        <v>1</v>
      </c>
      <c r="W40" s="11">
        <f t="array" ref="W40">SUM(IF(W3:W38="R",1,0))</f>
        <v>1</v>
      </c>
      <c r="X40" s="11">
        <f t="array" ref="X40">SUM(IF(X3:X38="R",1,0))</f>
        <v>1</v>
      </c>
      <c r="Y40" s="11">
        <f t="array" ref="Y40">SUM(IF(Y3:Y38="R",1,0))</f>
        <v>1</v>
      </c>
      <c r="Z40" s="11">
        <f t="array" ref="Z40">SUM(IF(Z3:Z38="R",1,0))</f>
        <v>1</v>
      </c>
      <c r="AA40" s="11">
        <f t="array" ref="AA40">SUM(IF(AA3:AA38="R",1,0))</f>
        <v>1</v>
      </c>
      <c r="AB40" s="11">
        <f t="array" ref="AB40">SUM(IF(AB3:AB38="R",1,0))</f>
        <v>1</v>
      </c>
      <c r="AC40" s="11">
        <f t="array" ref="AC40">SUM(IF(AC3:AC38="R",1,0))</f>
        <v>1</v>
      </c>
      <c r="AD40" s="11">
        <f t="array" ref="AD40">SUM(IF(AD3:AD38="R",1,0))</f>
        <v>1</v>
      </c>
      <c r="AE40" s="11">
        <f t="array" ref="AE40">SUM(IF(AE3:AE38="R",1,0))</f>
        <v>1</v>
      </c>
      <c r="AF40" s="11">
        <f t="array" ref="AF40">SUM(IF(AF3:AF38="R",1,0))</f>
        <v>1</v>
      </c>
      <c r="AG40" s="11">
        <f t="array" ref="AG40">SUM(IF(AG3:AG38="R",1,0))</f>
        <v>1</v>
      </c>
      <c r="AH40" s="11">
        <f t="array" ref="AH40">SUM(IF(AH3:AH38="R",1,0))</f>
        <v>1</v>
      </c>
      <c r="AI40" s="11">
        <f t="array" ref="AI40">SUM(IF(AI3:AI38="R",1,0))</f>
        <v>1</v>
      </c>
      <c r="AJ40" s="11">
        <f t="array" ref="AJ40">SUM(IF(AJ3:AJ38="R",1,0))</f>
        <v>1</v>
      </c>
      <c r="AK40" s="11">
        <f t="array" ref="AK40">SUM(IF(AK3:AK38="R",1,0))</f>
        <v>1</v>
      </c>
      <c r="AL40" s="11">
        <f t="array" ref="AL40">SUM(IF(AL3:AL38="R",1,0))</f>
        <v>1</v>
      </c>
      <c r="AM40" s="11">
        <f t="array" ref="AM40">SUM(IF(AM3:AM38="R",1,0))</f>
        <v>1</v>
      </c>
      <c r="AN40" s="11">
        <f t="array" ref="AN40">SUM(IF(AN3:AN38="R",1,0))</f>
        <v>1</v>
      </c>
      <c r="AO40" s="11">
        <f t="array" ref="AO40">SUM(IF(AO3:AO38="R",1,0))</f>
        <v>1</v>
      </c>
      <c r="AP40" s="11">
        <f t="array" ref="AP40">SUM(IF(AP3:AP38="R",1,0))</f>
        <v>1</v>
      </c>
      <c r="AQ40" s="11">
        <f t="array" ref="AQ40">SUM(IF(AQ3:AQ38="R",1,0))</f>
        <v>1</v>
      </c>
      <c r="AR40" s="11">
        <f t="array" ref="AR40">SUM(IF(AR3:AR38="R",1,0))</f>
        <v>1</v>
      </c>
      <c r="AS40" s="11">
        <f t="array" ref="AS40">SUM(IF(AS3:AS38="R",1,0))</f>
        <v>1</v>
      </c>
      <c r="AT40" s="11">
        <f t="array" ref="AT40">SUM(IF(AT3:AT38="R",1,0))</f>
        <v>1</v>
      </c>
      <c r="AU40" s="11">
        <f t="array" ref="AU40">SUM(IF(AU3:AU38="R",1,0))</f>
        <v>1</v>
      </c>
      <c r="AV40" s="11">
        <f t="array" ref="AV40">SUM(IF(AV3:AV38="R",1,0))</f>
        <v>0</v>
      </c>
      <c r="AW40" s="11">
        <f t="array" ref="AW40">SUM(IF(J4:J37="R",1,0))</f>
        <v>1</v>
      </c>
      <c r="AX40" s="11">
        <f t="array" ref="AX40">SUM(IF(L4:L37="R",1,0))</f>
        <v>1</v>
      </c>
      <c r="AY40" s="11">
        <f t="array" ref="AY40">SUM(IF(N4:N37="R",1,0))</f>
        <v>1</v>
      </c>
      <c r="AZ40" s="11">
        <f t="array" ref="AZ40">SUM(IF(O4:O37="R",1,0))</f>
        <v>1</v>
      </c>
      <c r="BA40" s="11" t="str">
        <f t="array" ref="BA40">SUM(IF(#REF!="R",1,0))</f>
        <v>#REF!</v>
      </c>
    </row>
    <row r="41">
      <c r="A41" s="17" t="s">
        <v>70</v>
      </c>
      <c r="C41" s="10">
        <f t="shared" si="6"/>
        <v>42</v>
      </c>
      <c r="D41" s="11"/>
      <c r="E41" s="11"/>
      <c r="F41" s="11">
        <f t="array" ref="F41">SUM(IF(F3:F38="R2",1,0))</f>
        <v>1</v>
      </c>
      <c r="G41" s="11">
        <f t="array" ref="G41">SUM(IF(G3:G38="R2",1,0))</f>
        <v>1</v>
      </c>
      <c r="H41" s="11">
        <f t="array" ref="H41">SUM(IF(H3:H38="R2",1,0))</f>
        <v>1</v>
      </c>
      <c r="I41" s="11">
        <f t="array" ref="I41">SUM(IF(I3:I38="R2",1,0))</f>
        <v>1</v>
      </c>
      <c r="J41" s="11">
        <f t="array" ref="J41">SUM(IF(J3:J38="R2",1,0))</f>
        <v>1</v>
      </c>
      <c r="K41" s="11">
        <f t="array" ref="K41">SUM(IF(K3:K38="R2",1,0))</f>
        <v>1</v>
      </c>
      <c r="L41" s="11">
        <f t="array" ref="L41">SUM(IF(L3:L38="R2",1,0))</f>
        <v>1</v>
      </c>
      <c r="M41" s="11">
        <f t="array" ref="M41">SUM(IF(M3:M38="R2",1,0))</f>
        <v>1</v>
      </c>
      <c r="N41" s="11">
        <f t="array" ref="N41">SUM(IF(N3:N38="R2",1,0))</f>
        <v>1</v>
      </c>
      <c r="O41" s="11">
        <f t="array" ref="O41">SUM(IF(O3:O38="R2",1,0))</f>
        <v>1</v>
      </c>
      <c r="P41" s="11">
        <f t="array" ref="P41">SUM(IF(P3:P38="R2",1,0))</f>
        <v>1</v>
      </c>
      <c r="Q41" s="11">
        <f t="array" ref="Q41">SUM(IF(Q3:Q38="R2",1,0))</f>
        <v>1</v>
      </c>
      <c r="R41" s="11">
        <f t="array" ref="R41">SUM(IF(R3:R38="R2",1,0))</f>
        <v>1</v>
      </c>
      <c r="S41" s="11">
        <f t="array" ref="S41">SUM(IF(S3:S38="R2",1,0))</f>
        <v>1</v>
      </c>
      <c r="T41" s="11">
        <f t="array" ref="T41">SUM(IF(T3:T38="R2",1,0))</f>
        <v>1</v>
      </c>
      <c r="U41" s="11">
        <f t="array" ref="U41">SUM(IF(U3:U38="R2",1,0))</f>
        <v>1</v>
      </c>
      <c r="V41" s="11">
        <f t="array" ref="V41">SUM(IF(V3:V38="R2",1,0))</f>
        <v>1</v>
      </c>
      <c r="W41" s="11">
        <f t="array" ref="W41">SUM(IF(W3:W38="R2",1,0))</f>
        <v>1</v>
      </c>
      <c r="X41" s="11">
        <f t="array" ref="X41">SUM(IF(X3:X38="R2",1,0))</f>
        <v>1</v>
      </c>
      <c r="Y41" s="11">
        <f t="array" ref="Y41">SUM(IF(Y3:Y38="R2",1,0))</f>
        <v>1</v>
      </c>
      <c r="Z41" s="11">
        <f t="array" ref="Z41">SUM(IF(Z3:Z38="R2",1,0))</f>
        <v>1</v>
      </c>
      <c r="AA41" s="11">
        <f t="array" ref="AA41">SUM(IF(AA3:AA38="R2",1,0))</f>
        <v>1</v>
      </c>
      <c r="AB41" s="11">
        <f t="array" ref="AB41">SUM(IF(AB3:AB38="R2",1,0))</f>
        <v>1</v>
      </c>
      <c r="AC41" s="11">
        <f t="array" ref="AC41">SUM(IF(AC3:AC38="R2",1,0))</f>
        <v>1</v>
      </c>
      <c r="AD41" s="11">
        <f t="array" ref="AD41">SUM(IF(AD3:AD38="R2",1,0))</f>
        <v>1</v>
      </c>
      <c r="AE41" s="11">
        <f t="array" ref="AE41">SUM(IF(AE3:AE38="R2",1,0))</f>
        <v>1</v>
      </c>
      <c r="AF41" s="11">
        <f t="array" ref="AF41">SUM(IF(AF3:AF38="R2",1,0))</f>
        <v>1</v>
      </c>
      <c r="AG41" s="11">
        <f t="array" ref="AG41">SUM(IF(AG3:AG38="R2",1,0))</f>
        <v>1</v>
      </c>
      <c r="AH41" s="11">
        <f t="array" ref="AH41">SUM(IF(AH3:AH38="R2",1,0))</f>
        <v>1</v>
      </c>
      <c r="AI41" s="11">
        <f t="array" ref="AI41">SUM(IF(AI3:AI38="R2",1,0))</f>
        <v>1</v>
      </c>
      <c r="AJ41" s="11">
        <f t="array" ref="AJ41">SUM(IF(AJ3:AJ38="R2",1,0))</f>
        <v>1</v>
      </c>
      <c r="AK41" s="11">
        <f t="array" ref="AK41">SUM(IF(AK3:AK38="R2",1,0))</f>
        <v>1</v>
      </c>
      <c r="AL41" s="11">
        <f t="array" ref="AL41">SUM(IF(AL3:AL38="R2",1,0))</f>
        <v>1</v>
      </c>
      <c r="AM41" s="11">
        <f t="array" ref="AM41">SUM(IF(AM3:AM38="R2",1,0))</f>
        <v>1</v>
      </c>
      <c r="AN41" s="11">
        <f t="array" ref="AN41">SUM(IF(AN3:AN38="R2",1,0))</f>
        <v>1</v>
      </c>
      <c r="AO41" s="11">
        <f t="array" ref="AO41">SUM(IF(AO3:AO38="R2",1,0))</f>
        <v>1</v>
      </c>
      <c r="AP41" s="11">
        <f t="array" ref="AP41">SUM(IF(AP3:AP38="R2",1,0))</f>
        <v>1</v>
      </c>
      <c r="AQ41" s="11">
        <f t="array" ref="AQ41">SUM(IF(AQ3:AQ38="R2",1,0))</f>
        <v>1</v>
      </c>
      <c r="AR41" s="11">
        <f t="array" ref="AR41">SUM(IF(AR3:AR38="R2",1,0))</f>
        <v>1</v>
      </c>
      <c r="AS41" s="11">
        <f t="array" ref="AS41">SUM(IF(AS3:AS38="R2",1,0))</f>
        <v>1</v>
      </c>
      <c r="AT41" s="11">
        <f t="array" ref="AT41">SUM(IF(AT3:AT38="R2",1,0))</f>
        <v>1</v>
      </c>
      <c r="AU41" s="11">
        <f t="array" ref="AU41">SUM(IF(AU3:AU38="R2",1,0))</f>
        <v>1</v>
      </c>
      <c r="AV41" s="11">
        <f t="array" ref="AV41">SUM(IF(AV3:AV38="R2",1,0))</f>
        <v>0</v>
      </c>
      <c r="AW41" s="11">
        <f t="array" ref="AW41">SUM(IF(J4:J37="R2",1,0))</f>
        <v>1</v>
      </c>
      <c r="AX41" s="11">
        <f t="array" ref="AX41">SUM(IF(L4:L37="R2",1,0))</f>
        <v>1</v>
      </c>
      <c r="AY41" s="11">
        <f t="array" ref="AY41">SUM(IF(N4:N37="R2",1,0))</f>
        <v>1</v>
      </c>
      <c r="AZ41" s="11">
        <f t="array" ref="AZ41">SUM(IF(O4:O37="R2",1,0))</f>
        <v>1</v>
      </c>
      <c r="BA41" s="11" t="str">
        <f t="array" ref="BA41">SUM(IF(#REF!="R2",1,0))</f>
        <v>#REF!</v>
      </c>
    </row>
    <row r="42">
      <c r="E42" s="46" t="s">
        <v>71</v>
      </c>
      <c r="F42" s="29" t="str">
        <f t="shared" ref="F42:AS42" si="10">IFERROR(INDEX($A$3:$A$38, MATCH(1, INDEX($F$3:$AS$38, 0, MATCH(F2, $F$2:$AZ$2, 0)), 0)), INDEX($A$3:$A$38, MATCH(1, INDEX($F$3:$AS$38, 0, MATCH(F2&amp;" AM", $F$2:$AZ$2, 0)), 0)))</f>
        <v>PTE FATHUL HAKIM BIN MUHAMMAD FAUZI </v>
      </c>
      <c r="G42" s="29" t="str">
        <f t="shared" si="10"/>
        <v>PTE RYAN TAY RUI YANG</v>
      </c>
      <c r="H42" s="29" t="str">
        <f t="shared" si="10"/>
        <v>PTE SIDDARTH SREEKUMAR CHERUBAL </v>
      </c>
      <c r="I42" s="29" t="str">
        <f t="shared" si="10"/>
        <v>PTE CHEONG JUN KAI, HARRY</v>
      </c>
      <c r="J42" s="29" t="str">
        <f t="shared" si="10"/>
        <v>PTE MOHAMED ROSHAN AKTAR BIN AZEES ALI </v>
      </c>
      <c r="K42" s="29" t="str">
        <f t="shared" si="10"/>
        <v>PTE JEREMIAH FOO JI SHUAN</v>
      </c>
      <c r="L42" s="29" t="str">
        <f t="shared" si="10"/>
        <v>PTE HUANG JIANHAO</v>
      </c>
      <c r="M42" s="29" t="str">
        <f t="shared" si="10"/>
        <v>PTE SIDDARTH SREEKUMAR CHERUBAL </v>
      </c>
      <c r="N42" s="29" t="str">
        <f t="shared" si="10"/>
        <v>PTE CHONG SIANG NATHAN</v>
      </c>
      <c r="O42" s="29" t="str">
        <f t="shared" si="10"/>
        <v>LCP DYLAN TAN</v>
      </c>
      <c r="P42" s="29" t="str">
        <f t="shared" si="10"/>
        <v>CPL JERRYL TAN MING JIE </v>
      </c>
      <c r="Q42" s="29" t="str">
        <f t="shared" si="10"/>
        <v>LCP IMRAN</v>
      </c>
      <c r="R42" s="29" t="str">
        <f t="shared" si="10"/>
        <v>CPL NICO CHUA WEE FONG </v>
      </c>
      <c r="S42" s="29" t="str">
        <f t="shared" si="10"/>
        <v>CPL MITCHELL LIM </v>
      </c>
      <c r="T42" s="29" t="str">
        <f t="shared" si="10"/>
        <v>CPL SURIAPRAKASH THRIUVALAKU</v>
      </c>
      <c r="U42" s="29" t="str">
        <f t="shared" si="10"/>
        <v>PTE EBRAHIM HAKEEM BIN AMEEHAR </v>
      </c>
      <c r="V42" s="29" t="str">
        <f t="shared" si="10"/>
        <v>PTE CHEONG KAI JIE</v>
      </c>
      <c r="W42" s="29" t="str">
        <f t="shared" si="10"/>
        <v>PTE TAN WEI JIE</v>
      </c>
      <c r="X42" s="29" t="str">
        <f t="shared" si="10"/>
        <v>PTE SHAVIN VALEN </v>
      </c>
      <c r="Y42" s="29" t="str">
        <f t="shared" si="10"/>
        <v>CPL ANISH VINAAYAK SIVASANKAR</v>
      </c>
      <c r="Z42" s="29" t="str">
        <f t="shared" si="10"/>
        <v>PTE MUHAMMAD HILAL IZDIHAR BIN MOHAMAD IZZUL SHAH</v>
      </c>
      <c r="AA42" s="29" t="str">
        <f t="shared" si="10"/>
        <v>PTE CHEONG JUN KAI, HARRY</v>
      </c>
      <c r="AB42" s="29" t="str">
        <f t="shared" si="10"/>
        <v>REC MUHAMAD RIFQY AQIL BIN MUHAMAD SHAH </v>
      </c>
      <c r="AC42" s="29" t="str">
        <f t="shared" si="10"/>
        <v>CPL SURIAPRAKASH THRIUVALAKU</v>
      </c>
      <c r="AD42" s="29" t="str">
        <f t="shared" si="10"/>
        <v>PTE MOHAMED ROSHAN AKTAR BIN AZEES ALI </v>
      </c>
      <c r="AE42" s="29" t="str">
        <f t="shared" si="10"/>
        <v>PTE JEREMIAH FOO JI SHUAN</v>
      </c>
      <c r="AF42" s="29" t="str">
        <f t="shared" si="10"/>
        <v>PTE DARYL SEOW  SHI YU</v>
      </c>
      <c r="AG42" s="29" t="str">
        <f t="shared" si="10"/>
        <v>REC MUHAMMAD NUR HAKIM BIN SHAHARIZIN </v>
      </c>
      <c r="AH42" s="29" t="str">
        <f t="shared" si="10"/>
        <v>PTE WANG XINHANG</v>
      </c>
      <c r="AI42" s="29" t="str">
        <f t="shared" si="10"/>
        <v>PTE ASHRAVEN S/O SIVARAMAN</v>
      </c>
      <c r="AJ42" s="29" t="str">
        <f t="shared" si="10"/>
        <v>PTE JULLION THNG AIK HONG </v>
      </c>
      <c r="AK42" s="29" t="str">
        <f t="shared" si="10"/>
        <v>PTE BRYAN MARC MEHAR</v>
      </c>
      <c r="AL42" s="29" t="str">
        <f t="shared" si="10"/>
        <v>LCP IMRAN</v>
      </c>
      <c r="AM42" s="29" t="str">
        <f t="shared" si="10"/>
        <v>PTE EBRAHIM HAKEEM BIN AMEEHAR </v>
      </c>
      <c r="AN42" s="29" t="str">
        <f t="shared" si="10"/>
        <v>CPL JERRYL TAN MING JIE </v>
      </c>
      <c r="AO42" s="29" t="str">
        <f t="shared" si="10"/>
        <v>PTE DARYL SEOW  SHI YU</v>
      </c>
      <c r="AP42" s="29" t="str">
        <f t="shared" si="10"/>
        <v>PTE GUO JUNQI LEO</v>
      </c>
      <c r="AQ42" s="29" t="str">
        <f t="shared" si="10"/>
        <v>PTE SHYEIKH SALEH HUSSAIN BIN MOHAMMED SULAIMAN</v>
      </c>
      <c r="AR42" s="29" t="str">
        <f t="shared" si="10"/>
        <v>PTE MUHAMMAD HILAL IZDIHAR BIN MOHAMAD IZZUL SHAH</v>
      </c>
      <c r="AS42" s="29" t="str">
        <f t="shared" si="10"/>
        <v>PTE JULLION THNG AIK HONG </v>
      </c>
      <c r="AT42" s="29" t="str">
        <f t="array" ref="AT42">IFERROR(INDEX($A$3:$A$38, MATCH(1, INDEX($F$3:$AT$38, 0, MATCH(AT2, $F$2:$AZ$2, 0)), 0)), INDEX($A$3:$A$38, MATCH(1, INDEX($F$3:$AS$38, 0, MATCH(AT2&amp;" AM", $F$2:$AZ$2, 0)), 0)))</f>
        <v>PTE MOHAMED ROSHAN AKTAR BIN AZEES ALI </v>
      </c>
      <c r="AU42" s="29" t="str">
        <f t="array" ref="AU42">IFERROR(INDEX($A$3:$A$38, MATCH(1, INDEX($F$3:$AU$38, 0, MATCH(AU2, $F$2:$AZ$2, 0)), 0)), INDEX($A$3:$A$38, MATCH(1, INDEX($F$3:$AS$38, 0, MATCH(AU2&amp;" AM", $F$2:$AZ$2, 0)), 0)))</f>
        <v>PTE SIDDARTH SREEKUMAR CHERUBAL </v>
      </c>
      <c r="AV42" s="29" t="str">
        <f t="shared" ref="AV42:AW42" si="11">IFERROR(INDEX($A$3:$A$38, MATCH(1, INDEX($F$3:$AS$38, 0, MATCH(AV2, $F$2:$AZ$2, 0)), 0)), INDEX($A$3:$A$38, MATCH(1, INDEX($F$3:$AS$38, 0, MATCH(AV2&amp;" AM", $F$2:$AZ$2, 0)), 0)))</f>
        <v>#N/A</v>
      </c>
      <c r="AW42" s="29" t="str">
        <f t="shared" si="11"/>
        <v>#N/A</v>
      </c>
      <c r="AX42" s="29" t="str">
        <f t="array" ref="AX42">IFERROR(INDEX($A$3:$A$37, MATCH(1, INDEX($F$3:$AS$37, 0, MATCH(L3, $F$2:$AZ$2, 0)), 0)), INDEX($A$3:$A$37, MATCH(1, INDEX($F$3:$AS$37, 0, MATCH(L3&amp;" AM", $F$2:$AZ$2, 0)), 0)))</f>
        <v>#N/A</v>
      </c>
      <c r="AY42" s="29" t="str">
        <f t="shared" ref="AY42:AZ42" si="12">IFERROR(INDEX($A$3:$A$37, MATCH(1, INDEX($F$3:$AS$37, 0, MATCH(N3, $F$2:$AZ$2, 0)), 0)), INDEX($A$3:$A$37, MATCH(1, INDEX($F$3:$AS$37, 0, MATCH(N3&amp;" AM", $F$2:$AZ$2, 0)), 0)))</f>
        <v>#N/A</v>
      </c>
      <c r="AZ42" s="29" t="str">
        <f t="shared" si="12"/>
        <v>#N/A</v>
      </c>
      <c r="BA42" s="29" t="str">
        <f t="array" ref="BA42">IFERROR(INDEX($A$3:$A$37, MATCH(1, INDEX($F$3:$AS$37, 0, MATCH(#REF!, $F$2:$AZ$2, 0)), 0)), INDEX($A$3:$A$37, MATCH(1, INDEX($F$3:$AS$37, 0, MATCH(#REF!&amp;" AM", $F$2:$AZ$2, 0)), 0)))</f>
        <v>#REF!</v>
      </c>
    </row>
    <row r="43">
      <c r="E43" s="46" t="s">
        <v>72</v>
      </c>
      <c r="F43" s="28" t="str">
        <f t="shared" ref="F43:AS43" si="13">INDEX($A$3:$A$38, MATCH("R", INDEX($F$3:$AS$38, 0, MATCH(F2, $F$2:$AZ$2, 0)), 0))</f>
        <v>PTE HUANG JIANHAO</v>
      </c>
      <c r="G43" s="28" t="str">
        <f t="shared" si="13"/>
        <v>PTE SHYEIKH SALEH HUSSAIN BIN MOHAMMED SULAIMAN</v>
      </c>
      <c r="H43" s="28" t="str">
        <f t="shared" si="13"/>
        <v>PTE BRYAN MARC MEHAR</v>
      </c>
      <c r="I43" s="28" t="str">
        <f t="shared" si="13"/>
        <v>PTE MUHAMMAD HILAL IZDIHAR BIN MOHAMAD IZZUL SHAH</v>
      </c>
      <c r="J43" s="28" t="str">
        <f t="shared" si="13"/>
        <v>REC MUHAMAD RIFQY AQIL BIN MUHAMAD SHAH </v>
      </c>
      <c r="K43" s="28" t="str">
        <f t="shared" si="13"/>
        <v>PTE TAN WEI JIE</v>
      </c>
      <c r="L43" s="28" t="str">
        <f t="shared" si="13"/>
        <v>PTE MOHAMED ROSHAN AKTAR BIN AZEES ALI </v>
      </c>
      <c r="M43" s="28" t="str">
        <f t="shared" si="13"/>
        <v>LCP IMRAN</v>
      </c>
      <c r="N43" s="28" t="str">
        <f t="shared" si="13"/>
        <v>CPL NICO CHUA WEE FONG </v>
      </c>
      <c r="O43" s="28" t="str">
        <f t="shared" si="13"/>
        <v>CPL MITCHELL LIM </v>
      </c>
      <c r="P43" s="28" t="str">
        <f t="shared" si="13"/>
        <v>CPL SURIAPRAKASH THRIUVALAKU</v>
      </c>
      <c r="Q43" s="28" t="str">
        <f t="shared" si="13"/>
        <v>PTE JULLION THNG AIK HONG </v>
      </c>
      <c r="R43" s="28" t="str">
        <f t="shared" si="13"/>
        <v>CPL JERRYL TAN MING JIE </v>
      </c>
      <c r="S43" s="28" t="str">
        <f t="shared" si="13"/>
        <v>PTE CHEONG JUN KAI, HARRY</v>
      </c>
      <c r="T43" s="28" t="str">
        <f t="shared" si="13"/>
        <v>PTE SIDDARTH SREEKUMAR CHERUBAL </v>
      </c>
      <c r="U43" s="28" t="str">
        <f t="shared" si="13"/>
        <v>PTE CHONG SIANG NATHAN</v>
      </c>
      <c r="V43" s="28" t="str">
        <f t="shared" si="13"/>
        <v>PTE WANG XINHANG</v>
      </c>
      <c r="W43" s="28" t="str">
        <f t="shared" si="13"/>
        <v>PTE DARYL SEOW  SHI YU</v>
      </c>
      <c r="X43" s="28" t="str">
        <f t="shared" si="13"/>
        <v>REC MUHAMMAD NUR HAKIM BIN SHAHARIZIN </v>
      </c>
      <c r="Y43" s="28" t="str">
        <f t="shared" si="13"/>
        <v>CPL MITCHELL LIM </v>
      </c>
      <c r="Z43" s="28" t="str">
        <f t="shared" si="13"/>
        <v>PTE ASHRAVEN S/O SIVARAMAN</v>
      </c>
      <c r="AA43" s="28" t="str">
        <f t="shared" si="13"/>
        <v>PTE CHONG SIANG NATHAN</v>
      </c>
      <c r="AB43" s="28" t="str">
        <f t="shared" si="13"/>
        <v>CPL NICO CHUA WEE FONG </v>
      </c>
      <c r="AC43" s="28" t="str">
        <f t="shared" si="13"/>
        <v>PTE FATHUL HAKIM BIN MUHAMMAD FAUZI </v>
      </c>
      <c r="AD43" s="28" t="str">
        <f t="shared" si="13"/>
        <v>PTE EBRAHIM HAKEEM BIN AMEEHAR </v>
      </c>
      <c r="AE43" s="28" t="str">
        <f t="shared" si="13"/>
        <v>PTE ASHRAVEN S/O SIVARAMAN</v>
      </c>
      <c r="AF43" s="28" t="str">
        <f t="shared" si="13"/>
        <v>CPL ISAAC LOH KA LOK</v>
      </c>
      <c r="AG43" s="28" t="str">
        <f t="shared" si="13"/>
        <v>CPL ANISH VINAAYAK SIVASANKAR</v>
      </c>
      <c r="AH43" s="28" t="str">
        <f t="shared" si="13"/>
        <v>PTE CHEONG KAI JIE</v>
      </c>
      <c r="AI43" s="28" t="str">
        <f t="shared" si="13"/>
        <v>PTE JEREMIAH FOO JI SHUAN</v>
      </c>
      <c r="AJ43" s="28" t="str">
        <f t="shared" si="13"/>
        <v>PTE CHEONG JUN KAI, HARRY</v>
      </c>
      <c r="AK43" s="28" t="str">
        <f t="shared" si="13"/>
        <v>PTE SHAVIN VALEN </v>
      </c>
      <c r="AL43" s="28" t="str">
        <f t="shared" si="13"/>
        <v>LCP DYLAN TAN</v>
      </c>
      <c r="AM43" s="28" t="str">
        <f t="shared" si="13"/>
        <v>PTE MOHAMED ROSHAN AKTAR BIN AZEES ALI </v>
      </c>
      <c r="AN43" s="28" t="str">
        <f t="shared" si="13"/>
        <v>PTE FATHUL HAKIM BIN MUHAMMAD FAUZI </v>
      </c>
      <c r="AO43" s="28" t="str">
        <f t="shared" si="13"/>
        <v>PTE RYAN TAY RUI YANG</v>
      </c>
      <c r="AP43" s="28" t="str">
        <f t="shared" si="13"/>
        <v>REC MUHAMMAD NUR HAKIM BIN SHAHARIZIN </v>
      </c>
      <c r="AQ43" s="28" t="str">
        <f t="shared" si="13"/>
        <v>LCP DYLAN TAN</v>
      </c>
      <c r="AR43" s="28" t="str">
        <f t="shared" si="13"/>
        <v>CPL ANISH VINAAYAK SIVASANKAR</v>
      </c>
      <c r="AS43" s="28" t="str">
        <f t="shared" si="13"/>
        <v>PTE TAN WEI JIE</v>
      </c>
      <c r="AT43" s="28" t="str">
        <f t="array" ref="AT43">INDEX($A$3:$A$38, MATCH("R", INDEX($F$3:$AT$38, 0, MATCH(AT2, $F$2:$AZ$2, 0)), 0))</f>
        <v>PTE BRYAN MARC MEHAR</v>
      </c>
      <c r="AU43" s="28" t="str">
        <f t="array" ref="AU43">INDEX($A$3:$A$38, MATCH("R", INDEX($F$3:$AU$38, 0, MATCH(AU2, $F$2:$AZ$2, 0)), 0))</f>
        <v>PTE JEREMIAH FOO JI SHUAN</v>
      </c>
      <c r="AV43" s="28" t="str">
        <f t="shared" ref="AV43:AW43" si="14">INDEX($A$3:$A$38, MATCH("R", INDEX($F$3:$AS$38, 0, MATCH(AV2, $F$2:$AZ$2, 0)), 0))</f>
        <v>#N/A</v>
      </c>
      <c r="AW43" s="28" t="str">
        <f t="shared" si="14"/>
        <v>#N/A</v>
      </c>
      <c r="AX43" s="28" t="str">
        <f t="array" ref="AX43">INDEX($A$3:$A$37, MATCH("R", INDEX($F$3:$AS$37, 0, MATCH(L3, $F$2:$AZ$2, 0)), 0))</f>
        <v>#N/A</v>
      </c>
      <c r="AY43" s="28" t="str">
        <f t="shared" ref="AY43:AZ43" si="15">INDEX($A$3:$A$37, MATCH("R", INDEX($F$3:$AS$37, 0, MATCH(N3, $F$2:$AZ$2, 0)), 0))</f>
        <v>#N/A</v>
      </c>
      <c r="AZ43" s="28" t="str">
        <f t="shared" si="15"/>
        <v>#N/A</v>
      </c>
      <c r="BA43" s="28" t="str">
        <f t="array" ref="BA43">INDEX($A$3:$A$37, MATCH("R", INDEX($F$3:$AS$37, 0, MATCH(#REF!, $F$2:$AZ$2, 0)), 0))</f>
        <v>#REF!</v>
      </c>
    </row>
    <row r="44">
      <c r="A44" s="17" t="s">
        <v>232</v>
      </c>
      <c r="C44" s="49">
        <f>COUNTA($F$1:$AU1)</f>
        <v>42</v>
      </c>
      <c r="E44" s="46" t="s">
        <v>70</v>
      </c>
      <c r="F44" s="30" t="str">
        <f t="shared" ref="F44:AS44" si="16">INDEX($A$3:$A$38, MATCH("R2", INDEX($F$3:$AS$38, 0, MATCH(F2, $F$2:$AZ$2, 0)), 0))</f>
        <v>PTE SHYEIKH SALEH HUSSAIN BIN MOHAMMED SULAIMAN</v>
      </c>
      <c r="G44" s="30" t="str">
        <f t="shared" si="16"/>
        <v>PTE GUO JUNQI LEO</v>
      </c>
      <c r="H44" s="30" t="str">
        <f t="shared" si="16"/>
        <v>PTE MOHAMED ROSHAN AKTAR BIN AZEES ALI </v>
      </c>
      <c r="I44" s="30" t="str">
        <f t="shared" si="16"/>
        <v>CPL JERRYL TAN MING JIE </v>
      </c>
      <c r="J44" s="30" t="str">
        <f t="shared" si="16"/>
        <v>PTE EBRAHIM HAKEEM BIN AMEEHAR </v>
      </c>
      <c r="K44" s="30" t="str">
        <f t="shared" si="16"/>
        <v>PTE MUHAMMAD HILAL IZDIHAR BIN MOHAMAD IZZUL SHAH</v>
      </c>
      <c r="L44" s="30" t="str">
        <f t="shared" si="16"/>
        <v>PTE BRYAN MARC MEHAR</v>
      </c>
      <c r="M44" s="30" t="str">
        <f t="shared" si="16"/>
        <v>PTE CHEONG JUN KAI, HARRY</v>
      </c>
      <c r="N44" s="30" t="str">
        <f t="shared" si="16"/>
        <v>PTE DARYL SEOW  SHI YU</v>
      </c>
      <c r="O44" s="30" t="str">
        <f t="shared" si="16"/>
        <v>PTE RYAN TAY RUI YANG</v>
      </c>
      <c r="P44" s="30" t="str">
        <f t="shared" si="16"/>
        <v>PTE OH EE BING</v>
      </c>
      <c r="Q44" s="30" t="str">
        <f t="shared" si="16"/>
        <v>CPL ISAAC LOH KA LOK</v>
      </c>
      <c r="R44" s="30" t="str">
        <f t="shared" si="16"/>
        <v>REC MUHAMMAD NUR HAKIM BIN SHAHARIZIN </v>
      </c>
      <c r="S44" s="30" t="str">
        <f t="shared" si="16"/>
        <v>PTE TAN WEI JIE</v>
      </c>
      <c r="T44" s="30" t="str">
        <f t="shared" si="16"/>
        <v>PTE FATHUL HAKIM BIN MUHAMMAD FAUZI </v>
      </c>
      <c r="U44" s="30" t="str">
        <f t="shared" si="16"/>
        <v>REC MUHAMAD RIFQY AQIL BIN MUHAMAD SHAH </v>
      </c>
      <c r="V44" s="30" t="str">
        <f t="shared" si="16"/>
        <v>CPL NICO CHUA WEE FONG </v>
      </c>
      <c r="W44" s="30" t="str">
        <f t="shared" si="16"/>
        <v>CPL ANISH VINAAYAK SIVASANKAR</v>
      </c>
      <c r="X44" s="30" t="str">
        <f t="shared" si="16"/>
        <v>PTE ASHRAVEN S/O SIVARAMAN</v>
      </c>
      <c r="Y44" s="30" t="str">
        <f t="shared" si="16"/>
        <v>CPL SURIAPRAKASH THRIUVALAKU</v>
      </c>
      <c r="Z44" s="30" t="str">
        <f t="shared" si="16"/>
        <v>LCP DYLAN TAN</v>
      </c>
      <c r="AA44" s="30" t="str">
        <f t="shared" si="16"/>
        <v>CPL JERRYL TAN MING JIE </v>
      </c>
      <c r="AB44" s="30" t="str">
        <f t="shared" si="16"/>
        <v>CPL MITCHELL LIM </v>
      </c>
      <c r="AC44" s="30" t="str">
        <f t="shared" si="16"/>
        <v>PTE SIDDARTH SREEKUMAR CHERUBAL </v>
      </c>
      <c r="AD44" s="30" t="str">
        <f t="shared" si="16"/>
        <v>LCP IMRAN</v>
      </c>
      <c r="AE44" s="30" t="str">
        <f t="shared" si="16"/>
        <v>PTE SHAVIN VALEN </v>
      </c>
      <c r="AF44" s="30" t="str">
        <f t="shared" si="16"/>
        <v>PTE CHONG SIANG NATHAN</v>
      </c>
      <c r="AG44" s="30" t="str">
        <f t="shared" si="16"/>
        <v>PTE TAN WEI JIE</v>
      </c>
      <c r="AH44" s="30" t="str">
        <f t="shared" si="16"/>
        <v>PTE RYAN TAY RUI YANG</v>
      </c>
      <c r="AI44" s="30" t="str">
        <f t="shared" si="16"/>
        <v>PTE MUHAMMAD HILAL IZDIHAR BIN MOHAMAD IZZUL SHAH</v>
      </c>
      <c r="AJ44" s="30" t="str">
        <f t="shared" si="16"/>
        <v>REC MUHAMMAD NUR HAKIM BIN SHAHARIZIN </v>
      </c>
      <c r="AK44" s="30" t="str">
        <f t="shared" si="16"/>
        <v>PTE HUANG JIANHAO</v>
      </c>
      <c r="AL44" s="30" t="str">
        <f t="shared" si="16"/>
        <v>PTE WANG XINHANG</v>
      </c>
      <c r="AM44" s="30" t="str">
        <f t="shared" si="16"/>
        <v>REC MUHAMAD RIFQY AQIL BIN MUHAMAD SHAH </v>
      </c>
      <c r="AN44" s="30" t="str">
        <f t="shared" si="16"/>
        <v>PTE CHEONG JUN KAI, HARRY</v>
      </c>
      <c r="AO44" s="30" t="str">
        <f t="shared" si="16"/>
        <v>PTE JEREMIAH FOO JI SHUAN</v>
      </c>
      <c r="AP44" s="30" t="str">
        <f t="shared" si="16"/>
        <v>PTE SHAVIN VALEN </v>
      </c>
      <c r="AQ44" s="30" t="str">
        <f t="shared" si="16"/>
        <v>PTE CLARENCE ONG JUN YI </v>
      </c>
      <c r="AR44" s="30" t="str">
        <f t="shared" si="16"/>
        <v>PTE WANG XINHANG</v>
      </c>
      <c r="AS44" s="30" t="str">
        <f t="shared" si="16"/>
        <v>LCP IMRAN</v>
      </c>
      <c r="AT44" s="30" t="str">
        <f t="array" ref="AT44">INDEX($A$3:$A$38, MATCH("R2", INDEX($F$3:$AT$38, 0, MATCH(AT2, $F$2:$AZ$2, 0)), 0))</f>
        <v>CPL NICO CHUA WEE FONG </v>
      </c>
      <c r="AU44" s="30" t="str">
        <f t="array" ref="AU44">INDEX($A$3:$A$38, MATCH("R2", INDEX($F$3:$AU$38, 0, MATCH(AU2, $F$2:$AZ$2, 0)), 0))</f>
        <v>CPL ANISH VINAAYAK SIVASANKAR</v>
      </c>
      <c r="AV44" s="30" t="str">
        <f t="shared" ref="AV44:AW44" si="17">INDEX($A$3:$A$38, MATCH("R2", INDEX($F$3:$AS$38, 0, MATCH(AV2, $F$2:$AZ$2, 0)), 0))</f>
        <v>#N/A</v>
      </c>
      <c r="AW44" s="30" t="str">
        <f t="shared" si="17"/>
        <v>#N/A</v>
      </c>
      <c r="AX44" s="30" t="str">
        <f t="array" ref="AX44">INDEX($A$3:$A$37, MATCH("R2", INDEX($F$3:$AS$37, 0, MATCH(L3, $F$2:$AZ$2, 0)), 0))</f>
        <v>#N/A</v>
      </c>
      <c r="AY44" s="30" t="str">
        <f t="shared" ref="AY44:AZ44" si="18">INDEX($A$3:$A$37, MATCH("R2", INDEX($F$3:$AS$37, 0, MATCH(N3, $F$2:$AZ$2, 0)), 0))</f>
        <v>#N/A</v>
      </c>
      <c r="AZ44" s="30" t="str">
        <f t="shared" si="18"/>
        <v>#N/A</v>
      </c>
      <c r="BA44" s="30" t="str">
        <f t="array" ref="BA44">INDEX($A$3:$A$37, MATCH("R2", INDEX($F$3:$AS$37, 0, MATCH(#REF!, $F$2:$AZ$2, 0)), 0))</f>
        <v>#REF!</v>
      </c>
    </row>
    <row r="45">
      <c r="A45" s="17" t="s">
        <v>154</v>
      </c>
      <c r="C45" s="50">
        <f>SUBTOTAL(103, $A$3:$A$38)
</f>
        <v>32</v>
      </c>
      <c r="M45" s="31"/>
      <c r="N45" s="31"/>
    </row>
    <row r="46">
      <c r="I46" s="17"/>
      <c r="M46" s="31"/>
      <c r="N46" s="31"/>
    </row>
    <row r="47">
      <c r="I47" s="17"/>
      <c r="J47" s="17" t="s">
        <v>629</v>
      </c>
      <c r="M47" s="31"/>
      <c r="N47" s="31"/>
      <c r="O47" s="17" t="s">
        <v>556</v>
      </c>
    </row>
    <row r="48">
      <c r="A48" s="26" t="s">
        <v>118</v>
      </c>
      <c r="I48" s="17"/>
      <c r="J48" s="17" t="s">
        <v>630</v>
      </c>
      <c r="M48" s="31"/>
      <c r="N48" s="31"/>
      <c r="O48" s="17" t="s">
        <v>631</v>
      </c>
      <c r="P48" s="17" t="s">
        <v>632</v>
      </c>
    </row>
    <row r="49">
      <c r="A49" s="25" t="s">
        <v>119</v>
      </c>
      <c r="I49" s="17"/>
      <c r="K49" s="17"/>
      <c r="M49" s="31"/>
      <c r="N49" s="31"/>
      <c r="O49" s="17" t="s">
        <v>633</v>
      </c>
      <c r="P49" s="17" t="s">
        <v>634</v>
      </c>
    </row>
    <row r="50">
      <c r="A50" s="22" t="s">
        <v>120</v>
      </c>
      <c r="M50" s="31"/>
      <c r="N50" s="31"/>
    </row>
    <row r="51">
      <c r="A51" s="20" t="s">
        <v>121</v>
      </c>
      <c r="J51" s="17"/>
      <c r="L51" s="47" t="s">
        <v>635</v>
      </c>
      <c r="M51" s="31"/>
      <c r="N51" s="31"/>
    </row>
    <row r="52">
      <c r="A52" s="23" t="s">
        <v>122</v>
      </c>
      <c r="I52" s="17" t="s">
        <v>636</v>
      </c>
      <c r="J52" s="17" t="s">
        <v>637</v>
      </c>
      <c r="L52" s="47" t="s">
        <v>638</v>
      </c>
      <c r="M52" s="31"/>
      <c r="N52" s="31"/>
    </row>
    <row r="53">
      <c r="A53" s="14" t="s">
        <v>123</v>
      </c>
      <c r="I53" s="17" t="s">
        <v>636</v>
      </c>
      <c r="J53" s="17" t="s">
        <v>639</v>
      </c>
      <c r="L53" s="47" t="s">
        <v>640</v>
      </c>
      <c r="M53" s="31"/>
    </row>
    <row r="54">
      <c r="A54" s="9" t="s">
        <v>125</v>
      </c>
      <c r="I54" s="17" t="s">
        <v>641</v>
      </c>
      <c r="J54" s="17" t="s">
        <v>642</v>
      </c>
      <c r="L54" s="17" t="s">
        <v>643</v>
      </c>
      <c r="M54" s="31"/>
    </row>
    <row r="55">
      <c r="A55" s="44" t="s">
        <v>126</v>
      </c>
      <c r="C55" s="31"/>
      <c r="I55" s="17" t="s">
        <v>636</v>
      </c>
      <c r="J55" s="17" t="s">
        <v>599</v>
      </c>
      <c r="L55" s="17" t="s">
        <v>644</v>
      </c>
      <c r="M55" s="31"/>
    </row>
    <row r="56">
      <c r="A56" s="62" t="s">
        <v>203</v>
      </c>
      <c r="I56" s="17" t="s">
        <v>636</v>
      </c>
      <c r="J56" s="17" t="s">
        <v>645</v>
      </c>
      <c r="M56" s="31"/>
      <c r="N56" s="31"/>
    </row>
    <row r="57">
      <c r="A57" s="70" t="s">
        <v>233</v>
      </c>
      <c r="I57" s="17" t="s">
        <v>636</v>
      </c>
      <c r="J57" s="17" t="s">
        <v>646</v>
      </c>
      <c r="M57" s="31"/>
      <c r="N57" s="47"/>
    </row>
    <row r="58">
      <c r="A58" s="69" t="s">
        <v>234</v>
      </c>
      <c r="I58" s="17" t="s">
        <v>636</v>
      </c>
      <c r="J58" s="17" t="s">
        <v>647</v>
      </c>
      <c r="M58" s="31"/>
      <c r="N58" s="47"/>
    </row>
    <row r="59">
      <c r="A59" s="27" t="s">
        <v>124</v>
      </c>
      <c r="J59" s="17" t="s">
        <v>648</v>
      </c>
      <c r="M59" s="31"/>
    </row>
    <row r="60">
      <c r="A60" s="24" t="s">
        <v>528</v>
      </c>
      <c r="I60" s="17" t="s">
        <v>649</v>
      </c>
      <c r="J60" s="17" t="s">
        <v>650</v>
      </c>
      <c r="M60" s="31"/>
      <c r="N60" s="31"/>
    </row>
    <row r="61">
      <c r="I61" s="17" t="s">
        <v>636</v>
      </c>
      <c r="J61" s="17" t="s">
        <v>651</v>
      </c>
      <c r="M61" s="31"/>
      <c r="N61" s="31"/>
    </row>
    <row r="62">
      <c r="M62" s="31"/>
      <c r="N62" s="31"/>
    </row>
    <row r="63">
      <c r="M63" s="31"/>
      <c r="N63" s="31"/>
    </row>
    <row r="64">
      <c r="M64" s="31"/>
      <c r="N64" s="31"/>
    </row>
    <row r="65">
      <c r="M65" s="31"/>
      <c r="N65" s="31"/>
    </row>
    <row r="66">
      <c r="M66" s="31"/>
      <c r="N66" s="31"/>
    </row>
    <row r="67">
      <c r="M67" s="31"/>
      <c r="N67" s="31"/>
    </row>
    <row r="68">
      <c r="M68" s="31"/>
      <c r="N68" s="31"/>
    </row>
    <row r="69">
      <c r="M69" s="31"/>
      <c r="N69" s="31"/>
    </row>
    <row r="70">
      <c r="M70" s="31"/>
      <c r="N70" s="31"/>
    </row>
    <row r="71">
      <c r="M71" s="31"/>
      <c r="N71" s="31"/>
    </row>
    <row r="72">
      <c r="M72" s="31"/>
      <c r="N72" s="31"/>
    </row>
    <row r="73">
      <c r="M73" s="31"/>
      <c r="N73" s="31"/>
    </row>
    <row r="74">
      <c r="M74" s="31"/>
      <c r="N74" s="31"/>
    </row>
    <row r="75">
      <c r="M75" s="31"/>
      <c r="N75" s="31"/>
    </row>
    <row r="76">
      <c r="M76" s="31"/>
      <c r="N76" s="31"/>
    </row>
    <row r="77">
      <c r="M77" s="31"/>
      <c r="N77" s="31"/>
    </row>
    <row r="78">
      <c r="M78" s="31"/>
      <c r="N78" s="31"/>
    </row>
    <row r="79">
      <c r="M79" s="31"/>
      <c r="N79" s="31"/>
    </row>
    <row r="80">
      <c r="M80" s="31"/>
      <c r="N80" s="31"/>
    </row>
    <row r="81">
      <c r="M81" s="31"/>
      <c r="N81" s="31"/>
    </row>
    <row r="82">
      <c r="M82" s="31"/>
      <c r="N82" s="31"/>
    </row>
    <row r="83">
      <c r="M83" s="31"/>
      <c r="N83" s="31"/>
    </row>
    <row r="84">
      <c r="M84" s="31"/>
      <c r="N84" s="31"/>
    </row>
    <row r="85">
      <c r="M85" s="31"/>
      <c r="N85" s="31"/>
    </row>
    <row r="86">
      <c r="M86" s="31"/>
      <c r="N86" s="31"/>
    </row>
    <row r="87">
      <c r="M87" s="31"/>
      <c r="N87" s="31"/>
    </row>
    <row r="88">
      <c r="M88" s="31"/>
      <c r="N88" s="31"/>
    </row>
    <row r="89">
      <c r="M89" s="31"/>
      <c r="N89" s="31"/>
    </row>
    <row r="90">
      <c r="M90" s="31"/>
      <c r="N90" s="31"/>
    </row>
    <row r="91">
      <c r="M91" s="31"/>
      <c r="N91" s="31"/>
    </row>
    <row r="92">
      <c r="M92" s="31"/>
      <c r="N92" s="31"/>
    </row>
    <row r="93">
      <c r="M93" s="31"/>
      <c r="N93" s="31"/>
    </row>
    <row r="94">
      <c r="M94" s="31"/>
      <c r="N94" s="31"/>
    </row>
    <row r="95">
      <c r="M95" s="31"/>
      <c r="N95" s="31"/>
    </row>
    <row r="96">
      <c r="M96" s="31"/>
      <c r="N96" s="31"/>
    </row>
    <row r="97">
      <c r="M97" s="31"/>
      <c r="N97" s="31"/>
    </row>
    <row r="98">
      <c r="M98" s="31"/>
      <c r="N98" s="31"/>
    </row>
    <row r="99">
      <c r="M99" s="31"/>
      <c r="N99" s="31"/>
    </row>
    <row r="100">
      <c r="M100" s="31"/>
      <c r="N100" s="31"/>
    </row>
    <row r="101">
      <c r="M101" s="31"/>
      <c r="N101" s="31"/>
    </row>
    <row r="102">
      <c r="M102" s="31"/>
      <c r="N102" s="31"/>
    </row>
    <row r="103">
      <c r="M103" s="31"/>
      <c r="N103" s="31"/>
    </row>
    <row r="104">
      <c r="M104" s="31"/>
      <c r="N104" s="31"/>
    </row>
    <row r="105">
      <c r="M105" s="31"/>
      <c r="N105" s="31"/>
    </row>
    <row r="106">
      <c r="M106" s="31"/>
      <c r="N106" s="31"/>
    </row>
    <row r="107">
      <c r="M107" s="31"/>
      <c r="N107" s="31"/>
    </row>
    <row r="108">
      <c r="M108" s="31"/>
      <c r="N108" s="31"/>
    </row>
    <row r="109">
      <c r="M109" s="31"/>
      <c r="N109" s="31"/>
    </row>
    <row r="110">
      <c r="M110" s="31"/>
      <c r="N110" s="31"/>
    </row>
    <row r="111">
      <c r="M111" s="31"/>
      <c r="N111" s="31"/>
    </row>
    <row r="112">
      <c r="M112" s="31"/>
      <c r="N112" s="31"/>
    </row>
    <row r="113">
      <c r="M113" s="31"/>
      <c r="N113" s="31"/>
    </row>
    <row r="114">
      <c r="M114" s="31"/>
      <c r="N114" s="31"/>
    </row>
    <row r="115">
      <c r="M115" s="31"/>
      <c r="N115" s="31"/>
    </row>
    <row r="116">
      <c r="M116" s="31"/>
      <c r="N116" s="31"/>
    </row>
    <row r="117">
      <c r="M117" s="31"/>
      <c r="N117" s="31"/>
    </row>
    <row r="118">
      <c r="M118" s="31"/>
      <c r="N118" s="31"/>
    </row>
    <row r="119">
      <c r="M119" s="31"/>
      <c r="N119" s="31"/>
    </row>
    <row r="120">
      <c r="M120" s="31"/>
      <c r="N120" s="31"/>
    </row>
    <row r="121">
      <c r="M121" s="31"/>
      <c r="N121" s="31"/>
    </row>
    <row r="122">
      <c r="M122" s="31"/>
      <c r="N122" s="31"/>
    </row>
    <row r="123">
      <c r="M123" s="31"/>
      <c r="N123" s="31"/>
    </row>
    <row r="124">
      <c r="M124" s="31"/>
      <c r="N124" s="31"/>
    </row>
    <row r="125">
      <c r="M125" s="31"/>
      <c r="N125" s="31"/>
    </row>
    <row r="126">
      <c r="M126" s="31"/>
      <c r="N126" s="31"/>
    </row>
    <row r="127">
      <c r="M127" s="31"/>
      <c r="N127" s="31"/>
    </row>
    <row r="128">
      <c r="M128" s="31"/>
      <c r="N128" s="31"/>
    </row>
    <row r="129">
      <c r="M129" s="31"/>
      <c r="N129" s="31"/>
    </row>
    <row r="130">
      <c r="M130" s="31"/>
      <c r="N130" s="31"/>
    </row>
    <row r="131">
      <c r="M131" s="31"/>
      <c r="N131" s="31"/>
    </row>
    <row r="132">
      <c r="M132" s="31"/>
      <c r="N132" s="31"/>
    </row>
    <row r="133">
      <c r="M133" s="31"/>
      <c r="N133" s="31"/>
    </row>
    <row r="134">
      <c r="M134" s="31"/>
      <c r="N134" s="31"/>
    </row>
    <row r="135">
      <c r="M135" s="31"/>
      <c r="N135" s="31"/>
    </row>
    <row r="136">
      <c r="M136" s="31"/>
      <c r="N136" s="31"/>
    </row>
    <row r="137">
      <c r="M137" s="31"/>
      <c r="N137" s="31"/>
    </row>
    <row r="138">
      <c r="M138" s="31"/>
      <c r="N138" s="31"/>
    </row>
    <row r="139">
      <c r="M139" s="31"/>
      <c r="N139" s="31"/>
    </row>
    <row r="140">
      <c r="M140" s="31"/>
      <c r="N140" s="31"/>
    </row>
    <row r="141">
      <c r="M141" s="31"/>
      <c r="N141" s="31"/>
    </row>
    <row r="142">
      <c r="M142" s="31"/>
      <c r="N142" s="31"/>
    </row>
    <row r="143">
      <c r="M143" s="31"/>
      <c r="N143" s="31"/>
    </row>
    <row r="144">
      <c r="M144" s="31"/>
      <c r="N144" s="31"/>
    </row>
    <row r="145">
      <c r="M145" s="31"/>
      <c r="N145" s="31"/>
    </row>
    <row r="146">
      <c r="M146" s="31"/>
      <c r="N146" s="31"/>
    </row>
    <row r="147">
      <c r="M147" s="31"/>
      <c r="N147" s="31"/>
    </row>
    <row r="148">
      <c r="M148" s="31"/>
      <c r="N148" s="31"/>
    </row>
    <row r="149">
      <c r="M149" s="31"/>
      <c r="N149" s="31"/>
    </row>
    <row r="150">
      <c r="M150" s="31"/>
      <c r="N150" s="31"/>
    </row>
    <row r="151">
      <c r="M151" s="31"/>
      <c r="N151" s="31"/>
    </row>
    <row r="152">
      <c r="M152" s="31"/>
      <c r="N152" s="31"/>
    </row>
    <row r="153">
      <c r="M153" s="31"/>
      <c r="N153" s="31"/>
    </row>
    <row r="154">
      <c r="M154" s="31"/>
      <c r="N154" s="31"/>
    </row>
    <row r="155">
      <c r="M155" s="31"/>
      <c r="N155" s="31"/>
    </row>
    <row r="156">
      <c r="M156" s="31"/>
      <c r="N156" s="31"/>
    </row>
    <row r="157">
      <c r="M157" s="31"/>
      <c r="N157" s="31"/>
    </row>
    <row r="158">
      <c r="M158" s="31"/>
      <c r="N158" s="31"/>
    </row>
    <row r="159">
      <c r="M159" s="31"/>
      <c r="N159" s="31"/>
    </row>
    <row r="160">
      <c r="M160" s="31"/>
      <c r="N160" s="31"/>
    </row>
    <row r="161">
      <c r="M161" s="31"/>
      <c r="N161" s="31"/>
    </row>
    <row r="162">
      <c r="M162" s="31"/>
      <c r="N162" s="31"/>
    </row>
    <row r="163">
      <c r="M163" s="31"/>
      <c r="N163" s="31"/>
    </row>
    <row r="164">
      <c r="M164" s="31"/>
      <c r="N164" s="31"/>
    </row>
    <row r="165">
      <c r="M165" s="31"/>
      <c r="N165" s="31"/>
    </row>
    <row r="166">
      <c r="M166" s="31"/>
      <c r="N166" s="31"/>
    </row>
    <row r="167">
      <c r="M167" s="31"/>
      <c r="N167" s="31"/>
    </row>
    <row r="168">
      <c r="M168" s="31"/>
      <c r="N168" s="31"/>
    </row>
    <row r="169">
      <c r="M169" s="31"/>
      <c r="N169" s="31"/>
    </row>
    <row r="170">
      <c r="M170" s="31"/>
      <c r="N170" s="31"/>
    </row>
    <row r="171">
      <c r="M171" s="31"/>
      <c r="N171" s="31"/>
    </row>
    <row r="172">
      <c r="M172" s="31"/>
      <c r="N172" s="31"/>
    </row>
    <row r="173">
      <c r="M173" s="31"/>
      <c r="N173" s="31"/>
    </row>
    <row r="174">
      <c r="M174" s="31"/>
      <c r="N174" s="31"/>
    </row>
    <row r="175">
      <c r="M175" s="31"/>
      <c r="N175" s="31"/>
    </row>
    <row r="176">
      <c r="M176" s="31"/>
      <c r="N176" s="31"/>
    </row>
    <row r="177">
      <c r="M177" s="31"/>
      <c r="N177" s="31"/>
    </row>
    <row r="178">
      <c r="M178" s="31"/>
      <c r="N178" s="31"/>
    </row>
    <row r="179">
      <c r="M179" s="31"/>
      <c r="N179" s="31"/>
    </row>
    <row r="180">
      <c r="M180" s="31"/>
      <c r="N180" s="31"/>
    </row>
    <row r="181">
      <c r="M181" s="31"/>
      <c r="N181" s="31"/>
    </row>
    <row r="182">
      <c r="M182" s="31"/>
      <c r="N182" s="31"/>
    </row>
    <row r="183">
      <c r="M183" s="31"/>
      <c r="N183" s="31"/>
    </row>
    <row r="184">
      <c r="M184" s="31"/>
      <c r="N184" s="31"/>
    </row>
    <row r="185">
      <c r="M185" s="31"/>
      <c r="N185" s="31"/>
    </row>
    <row r="186">
      <c r="M186" s="31"/>
      <c r="N186" s="31"/>
    </row>
    <row r="187">
      <c r="M187" s="31"/>
      <c r="N187" s="31"/>
    </row>
    <row r="188">
      <c r="M188" s="31"/>
      <c r="N188" s="31"/>
    </row>
    <row r="189">
      <c r="M189" s="31"/>
      <c r="N189" s="31"/>
    </row>
    <row r="190">
      <c r="M190" s="31"/>
      <c r="N190" s="31"/>
    </row>
    <row r="191">
      <c r="M191" s="31"/>
      <c r="N191" s="31"/>
    </row>
    <row r="192">
      <c r="M192" s="31"/>
      <c r="N192" s="31"/>
    </row>
    <row r="193">
      <c r="M193" s="31"/>
      <c r="N193" s="31"/>
    </row>
    <row r="194">
      <c r="M194" s="31"/>
      <c r="N194" s="31"/>
    </row>
    <row r="195">
      <c r="M195" s="31"/>
      <c r="N195" s="31"/>
    </row>
    <row r="196">
      <c r="M196" s="31"/>
      <c r="N196" s="31"/>
    </row>
    <row r="197">
      <c r="M197" s="31"/>
      <c r="N197" s="31"/>
    </row>
    <row r="198">
      <c r="M198" s="31"/>
      <c r="N198" s="31"/>
    </row>
    <row r="199">
      <c r="M199" s="31"/>
      <c r="N199" s="31"/>
    </row>
    <row r="200">
      <c r="M200" s="31"/>
      <c r="N200" s="31"/>
    </row>
    <row r="201">
      <c r="M201" s="31"/>
      <c r="N201" s="31"/>
    </row>
    <row r="202">
      <c r="M202" s="31"/>
      <c r="N202" s="31"/>
    </row>
    <row r="203">
      <c r="M203" s="31"/>
      <c r="N203" s="31"/>
    </row>
    <row r="204">
      <c r="M204" s="31"/>
      <c r="N204" s="31"/>
    </row>
    <row r="205">
      <c r="M205" s="31"/>
      <c r="N205" s="31"/>
    </row>
    <row r="206">
      <c r="M206" s="31"/>
      <c r="N206" s="31"/>
    </row>
    <row r="207">
      <c r="M207" s="31"/>
      <c r="N207" s="31"/>
    </row>
    <row r="208">
      <c r="M208" s="31"/>
      <c r="N208" s="31"/>
    </row>
    <row r="209">
      <c r="M209" s="31"/>
      <c r="N209" s="31"/>
    </row>
    <row r="210">
      <c r="M210" s="31"/>
      <c r="N210" s="31"/>
    </row>
    <row r="211">
      <c r="M211" s="31"/>
      <c r="N211" s="31"/>
    </row>
    <row r="212">
      <c r="M212" s="31"/>
      <c r="N212" s="31"/>
    </row>
    <row r="213">
      <c r="M213" s="31"/>
      <c r="N213" s="31"/>
    </row>
    <row r="214">
      <c r="M214" s="31"/>
      <c r="N214" s="31"/>
    </row>
    <row r="215">
      <c r="M215" s="31"/>
      <c r="N215" s="31"/>
    </row>
    <row r="216">
      <c r="M216" s="31"/>
      <c r="N216" s="31"/>
    </row>
    <row r="217">
      <c r="M217" s="31"/>
      <c r="N217" s="31"/>
    </row>
    <row r="218">
      <c r="M218" s="31"/>
      <c r="N218" s="31"/>
    </row>
    <row r="219">
      <c r="M219" s="31"/>
      <c r="N219" s="31"/>
    </row>
    <row r="220">
      <c r="M220" s="31"/>
      <c r="N220" s="31"/>
    </row>
    <row r="221">
      <c r="M221" s="31"/>
      <c r="N221" s="31"/>
    </row>
    <row r="222">
      <c r="M222" s="31"/>
      <c r="N222" s="31"/>
    </row>
    <row r="223">
      <c r="M223" s="31"/>
      <c r="N223" s="31"/>
    </row>
    <row r="224">
      <c r="M224" s="31"/>
      <c r="N224" s="31"/>
    </row>
    <row r="225">
      <c r="M225" s="31"/>
      <c r="N225" s="31"/>
    </row>
    <row r="226">
      <c r="M226" s="31"/>
      <c r="N226" s="31"/>
    </row>
    <row r="227">
      <c r="M227" s="31"/>
      <c r="N227" s="31"/>
    </row>
    <row r="228">
      <c r="M228" s="31"/>
      <c r="N228" s="31"/>
    </row>
    <row r="229">
      <c r="M229" s="31"/>
      <c r="N229" s="31"/>
    </row>
    <row r="230">
      <c r="M230" s="31"/>
      <c r="N230" s="31"/>
    </row>
    <row r="231">
      <c r="M231" s="31"/>
      <c r="N231" s="31"/>
    </row>
    <row r="232">
      <c r="M232" s="31"/>
      <c r="N232" s="31"/>
    </row>
    <row r="233">
      <c r="M233" s="31"/>
      <c r="N233" s="31"/>
    </row>
    <row r="234">
      <c r="M234" s="31"/>
      <c r="N234" s="31"/>
    </row>
    <row r="235">
      <c r="M235" s="31"/>
      <c r="N235" s="31"/>
    </row>
    <row r="236">
      <c r="M236" s="31"/>
      <c r="N236" s="31"/>
    </row>
    <row r="237">
      <c r="M237" s="31"/>
      <c r="N237" s="31"/>
    </row>
    <row r="238">
      <c r="M238" s="31"/>
      <c r="N238" s="31"/>
    </row>
    <row r="239">
      <c r="M239" s="31"/>
      <c r="N239" s="31"/>
    </row>
    <row r="240">
      <c r="M240" s="31"/>
      <c r="N240" s="31"/>
    </row>
    <row r="241">
      <c r="M241" s="31"/>
      <c r="N241" s="31"/>
    </row>
    <row r="242">
      <c r="M242" s="31"/>
      <c r="N242" s="31"/>
    </row>
    <row r="243">
      <c r="M243" s="31"/>
      <c r="N243" s="31"/>
    </row>
    <row r="244">
      <c r="M244" s="31"/>
      <c r="N244" s="31"/>
    </row>
    <row r="245">
      <c r="M245" s="31"/>
      <c r="N245" s="31"/>
    </row>
    <row r="246">
      <c r="M246" s="31"/>
      <c r="N246" s="31"/>
    </row>
    <row r="247">
      <c r="M247" s="31"/>
      <c r="N247" s="31"/>
    </row>
    <row r="248">
      <c r="M248" s="31"/>
      <c r="N248" s="31"/>
    </row>
    <row r="249">
      <c r="M249" s="31"/>
      <c r="N249" s="31"/>
    </row>
    <row r="250">
      <c r="M250" s="31"/>
      <c r="N250" s="31"/>
    </row>
    <row r="251">
      <c r="M251" s="31"/>
      <c r="N251" s="31"/>
    </row>
    <row r="252">
      <c r="M252" s="31"/>
      <c r="N252" s="31"/>
    </row>
    <row r="253">
      <c r="M253" s="31"/>
      <c r="N253" s="31"/>
    </row>
    <row r="254">
      <c r="M254" s="31"/>
      <c r="N254" s="31"/>
    </row>
    <row r="255">
      <c r="M255" s="31"/>
      <c r="N255" s="31"/>
    </row>
    <row r="256">
      <c r="M256" s="31"/>
      <c r="N256" s="31"/>
    </row>
    <row r="257">
      <c r="M257" s="31"/>
      <c r="N257" s="31"/>
    </row>
    <row r="258">
      <c r="M258" s="31"/>
      <c r="N258" s="31"/>
    </row>
    <row r="259">
      <c r="M259" s="31"/>
      <c r="N259" s="31"/>
    </row>
    <row r="260">
      <c r="M260" s="31"/>
      <c r="N260" s="31"/>
    </row>
    <row r="261">
      <c r="M261" s="31"/>
      <c r="N261" s="31"/>
    </row>
    <row r="262">
      <c r="M262" s="31"/>
      <c r="N262" s="31"/>
    </row>
    <row r="263">
      <c r="M263" s="31"/>
      <c r="N263" s="31"/>
    </row>
    <row r="264">
      <c r="M264" s="31"/>
      <c r="N264" s="31"/>
    </row>
    <row r="265">
      <c r="M265" s="31"/>
      <c r="N265" s="31"/>
    </row>
    <row r="266">
      <c r="M266" s="31"/>
      <c r="N266" s="31"/>
    </row>
    <row r="267">
      <c r="M267" s="31"/>
      <c r="N267" s="31"/>
    </row>
    <row r="268">
      <c r="M268" s="31"/>
      <c r="N268" s="31"/>
    </row>
    <row r="269">
      <c r="M269" s="31"/>
      <c r="N269" s="31"/>
    </row>
    <row r="270">
      <c r="M270" s="31"/>
      <c r="N270" s="31"/>
    </row>
    <row r="271">
      <c r="M271" s="31"/>
      <c r="N271" s="31"/>
    </row>
    <row r="272">
      <c r="M272" s="31"/>
      <c r="N272" s="31"/>
    </row>
    <row r="273">
      <c r="M273" s="31"/>
      <c r="N273" s="31"/>
    </row>
    <row r="274">
      <c r="M274" s="31"/>
      <c r="N274" s="31"/>
    </row>
    <row r="275">
      <c r="M275" s="31"/>
      <c r="N275" s="31"/>
    </row>
    <row r="276">
      <c r="M276" s="31"/>
      <c r="N276" s="31"/>
    </row>
    <row r="277">
      <c r="M277" s="31"/>
      <c r="N277" s="31"/>
    </row>
    <row r="278">
      <c r="M278" s="31"/>
      <c r="N278" s="31"/>
    </row>
    <row r="279">
      <c r="M279" s="31"/>
      <c r="N279" s="31"/>
    </row>
    <row r="280">
      <c r="M280" s="31"/>
      <c r="N280" s="31"/>
    </row>
    <row r="281">
      <c r="M281" s="31"/>
      <c r="N281" s="31"/>
    </row>
    <row r="282">
      <c r="M282" s="31"/>
      <c r="N282" s="31"/>
    </row>
    <row r="283">
      <c r="M283" s="31"/>
      <c r="N283" s="31"/>
    </row>
    <row r="284">
      <c r="M284" s="31"/>
      <c r="N284" s="31"/>
    </row>
    <row r="285">
      <c r="M285" s="31"/>
      <c r="N285" s="31"/>
    </row>
    <row r="286">
      <c r="M286" s="31"/>
      <c r="N286" s="31"/>
    </row>
    <row r="287">
      <c r="M287" s="31"/>
      <c r="N287" s="31"/>
    </row>
    <row r="288">
      <c r="M288" s="31"/>
      <c r="N288" s="31"/>
    </row>
    <row r="289">
      <c r="M289" s="31"/>
      <c r="N289" s="31"/>
    </row>
    <row r="290">
      <c r="M290" s="31"/>
      <c r="N290" s="31"/>
    </row>
    <row r="291">
      <c r="M291" s="31"/>
      <c r="N291" s="31"/>
    </row>
    <row r="292">
      <c r="M292" s="31"/>
      <c r="N292" s="31"/>
    </row>
    <row r="293">
      <c r="M293" s="31"/>
      <c r="N293" s="31"/>
    </row>
    <row r="294">
      <c r="M294" s="31"/>
      <c r="N294" s="31"/>
    </row>
    <row r="295">
      <c r="M295" s="31"/>
      <c r="N295" s="31"/>
    </row>
    <row r="296">
      <c r="M296" s="31"/>
      <c r="N296" s="31"/>
    </row>
    <row r="297">
      <c r="M297" s="31"/>
      <c r="N297" s="31"/>
    </row>
    <row r="298">
      <c r="M298" s="31"/>
      <c r="N298" s="31"/>
    </row>
    <row r="299">
      <c r="M299" s="31"/>
      <c r="N299" s="31"/>
    </row>
    <row r="300">
      <c r="M300" s="31"/>
      <c r="N300" s="31"/>
    </row>
    <row r="301">
      <c r="M301" s="31"/>
      <c r="N301" s="31"/>
    </row>
    <row r="302">
      <c r="M302" s="31"/>
      <c r="N302" s="31"/>
    </row>
    <row r="303">
      <c r="M303" s="31"/>
      <c r="N303" s="31"/>
    </row>
    <row r="304">
      <c r="M304" s="31"/>
      <c r="N304" s="31"/>
    </row>
    <row r="305">
      <c r="M305" s="31"/>
      <c r="N305" s="31"/>
    </row>
    <row r="306">
      <c r="M306" s="31"/>
      <c r="N306" s="31"/>
    </row>
    <row r="307">
      <c r="M307" s="31"/>
      <c r="N307" s="31"/>
    </row>
    <row r="308">
      <c r="M308" s="31"/>
      <c r="N308" s="31"/>
    </row>
    <row r="309">
      <c r="M309" s="31"/>
      <c r="N309" s="31"/>
    </row>
    <row r="310">
      <c r="M310" s="31"/>
      <c r="N310" s="31"/>
    </row>
    <row r="311">
      <c r="M311" s="31"/>
      <c r="N311" s="31"/>
    </row>
    <row r="312">
      <c r="M312" s="31"/>
      <c r="N312" s="31"/>
    </row>
    <row r="313">
      <c r="M313" s="31"/>
      <c r="N313" s="31"/>
    </row>
    <row r="314">
      <c r="M314" s="31"/>
      <c r="N314" s="31"/>
    </row>
    <row r="315">
      <c r="M315" s="31"/>
      <c r="N315" s="31"/>
    </row>
    <row r="316">
      <c r="M316" s="31"/>
      <c r="N316" s="31"/>
    </row>
    <row r="317">
      <c r="M317" s="31"/>
      <c r="N317" s="31"/>
    </row>
    <row r="318">
      <c r="M318" s="31"/>
      <c r="N318" s="31"/>
    </row>
    <row r="319">
      <c r="M319" s="31"/>
      <c r="N319" s="31"/>
    </row>
    <row r="320">
      <c r="M320" s="31"/>
      <c r="N320" s="31"/>
    </row>
    <row r="321">
      <c r="M321" s="31"/>
      <c r="N321" s="31"/>
    </row>
    <row r="322">
      <c r="M322" s="31"/>
      <c r="N322" s="31"/>
    </row>
    <row r="323">
      <c r="M323" s="31"/>
      <c r="N323" s="31"/>
    </row>
    <row r="324">
      <c r="M324" s="31"/>
      <c r="N324" s="31"/>
    </row>
    <row r="325">
      <c r="M325" s="31"/>
      <c r="N325" s="31"/>
    </row>
    <row r="326">
      <c r="M326" s="31"/>
      <c r="N326" s="31"/>
    </row>
    <row r="327">
      <c r="M327" s="31"/>
      <c r="N327" s="31"/>
    </row>
    <row r="328">
      <c r="M328" s="31"/>
      <c r="N328" s="31"/>
    </row>
    <row r="329">
      <c r="M329" s="31"/>
      <c r="N329" s="31"/>
    </row>
    <row r="330">
      <c r="M330" s="31"/>
      <c r="N330" s="31"/>
    </row>
    <row r="331">
      <c r="M331" s="31"/>
      <c r="N331" s="31"/>
    </row>
    <row r="332">
      <c r="M332" s="31"/>
      <c r="N332" s="31"/>
    </row>
    <row r="333">
      <c r="M333" s="31"/>
      <c r="N333" s="31"/>
    </row>
    <row r="334">
      <c r="M334" s="31"/>
      <c r="N334" s="31"/>
    </row>
    <row r="335">
      <c r="M335" s="31"/>
      <c r="N335" s="31"/>
    </row>
    <row r="336">
      <c r="M336" s="31"/>
      <c r="N336" s="31"/>
    </row>
    <row r="337">
      <c r="M337" s="31"/>
      <c r="N337" s="31"/>
    </row>
    <row r="338">
      <c r="M338" s="31"/>
      <c r="N338" s="31"/>
    </row>
    <row r="339">
      <c r="M339" s="31"/>
      <c r="N339" s="31"/>
    </row>
    <row r="340">
      <c r="M340" s="31"/>
      <c r="N340" s="31"/>
    </row>
    <row r="341">
      <c r="M341" s="31"/>
      <c r="N341" s="31"/>
    </row>
    <row r="342">
      <c r="M342" s="31"/>
      <c r="N342" s="31"/>
    </row>
    <row r="343">
      <c r="M343" s="31"/>
      <c r="N343" s="31"/>
    </row>
    <row r="344">
      <c r="M344" s="31"/>
      <c r="N344" s="31"/>
    </row>
    <row r="345">
      <c r="M345" s="31"/>
      <c r="N345" s="31"/>
    </row>
    <row r="346">
      <c r="M346" s="31"/>
      <c r="N346" s="31"/>
    </row>
    <row r="347">
      <c r="M347" s="31"/>
      <c r="N347" s="31"/>
    </row>
    <row r="348">
      <c r="M348" s="31"/>
      <c r="N348" s="31"/>
    </row>
    <row r="349">
      <c r="M349" s="31"/>
      <c r="N349" s="31"/>
    </row>
    <row r="350">
      <c r="M350" s="31"/>
      <c r="N350" s="31"/>
    </row>
    <row r="351">
      <c r="M351" s="31"/>
      <c r="N351" s="31"/>
    </row>
    <row r="352">
      <c r="M352" s="31"/>
      <c r="N352" s="31"/>
    </row>
    <row r="353">
      <c r="M353" s="31"/>
      <c r="N353" s="31"/>
    </row>
    <row r="354">
      <c r="M354" s="31"/>
      <c r="N354" s="31"/>
    </row>
    <row r="355">
      <c r="M355" s="31"/>
      <c r="N355" s="31"/>
    </row>
    <row r="356">
      <c r="M356" s="31"/>
      <c r="N356" s="31"/>
    </row>
    <row r="357">
      <c r="M357" s="31"/>
      <c r="N357" s="31"/>
    </row>
    <row r="358">
      <c r="M358" s="31"/>
      <c r="N358" s="31"/>
    </row>
    <row r="359">
      <c r="M359" s="31"/>
      <c r="N359" s="31"/>
    </row>
    <row r="360">
      <c r="M360" s="31"/>
      <c r="N360" s="31"/>
    </row>
    <row r="361">
      <c r="M361" s="31"/>
      <c r="N361" s="31"/>
    </row>
    <row r="362">
      <c r="M362" s="31"/>
      <c r="N362" s="31"/>
    </row>
    <row r="363">
      <c r="M363" s="31"/>
      <c r="N363" s="31"/>
    </row>
    <row r="364">
      <c r="M364" s="31"/>
      <c r="N364" s="31"/>
    </row>
    <row r="365">
      <c r="M365" s="31"/>
      <c r="N365" s="31"/>
    </row>
    <row r="366">
      <c r="M366" s="31"/>
      <c r="N366" s="31"/>
    </row>
    <row r="367">
      <c r="M367" s="31"/>
      <c r="N367" s="31"/>
    </row>
    <row r="368">
      <c r="M368" s="31"/>
      <c r="N368" s="31"/>
    </row>
    <row r="369">
      <c r="M369" s="31"/>
      <c r="N369" s="31"/>
    </row>
    <row r="370">
      <c r="M370" s="31"/>
      <c r="N370" s="31"/>
    </row>
    <row r="371">
      <c r="M371" s="31"/>
      <c r="N371" s="31"/>
    </row>
    <row r="372">
      <c r="M372" s="31"/>
      <c r="N372" s="31"/>
    </row>
    <row r="373">
      <c r="M373" s="31"/>
      <c r="N373" s="31"/>
    </row>
    <row r="374">
      <c r="M374" s="31"/>
      <c r="N374" s="31"/>
    </row>
    <row r="375">
      <c r="M375" s="31"/>
      <c r="N375" s="31"/>
    </row>
    <row r="376">
      <c r="M376" s="31"/>
      <c r="N376" s="31"/>
    </row>
    <row r="377">
      <c r="M377" s="31"/>
      <c r="N377" s="31"/>
    </row>
    <row r="378">
      <c r="M378" s="31"/>
      <c r="N378" s="31"/>
    </row>
    <row r="379">
      <c r="M379" s="31"/>
      <c r="N379" s="31"/>
    </row>
    <row r="380">
      <c r="M380" s="31"/>
      <c r="N380" s="31"/>
    </row>
    <row r="381">
      <c r="M381" s="31"/>
      <c r="N381" s="31"/>
    </row>
    <row r="382">
      <c r="M382" s="31"/>
      <c r="N382" s="31"/>
    </row>
    <row r="383">
      <c r="M383" s="31"/>
      <c r="N383" s="31"/>
    </row>
    <row r="384">
      <c r="M384" s="31"/>
      <c r="N384" s="31"/>
    </row>
    <row r="385">
      <c r="M385" s="31"/>
      <c r="N385" s="31"/>
    </row>
    <row r="386">
      <c r="M386" s="31"/>
      <c r="N386" s="31"/>
    </row>
    <row r="387">
      <c r="M387" s="31"/>
      <c r="N387" s="31"/>
    </row>
    <row r="388">
      <c r="M388" s="31"/>
      <c r="N388" s="31"/>
    </row>
    <row r="389">
      <c r="M389" s="31"/>
      <c r="N389" s="31"/>
    </row>
    <row r="390">
      <c r="M390" s="31"/>
      <c r="N390" s="31"/>
    </row>
    <row r="391">
      <c r="M391" s="31"/>
      <c r="N391" s="31"/>
    </row>
    <row r="392">
      <c r="M392" s="31"/>
      <c r="N392" s="31"/>
    </row>
    <row r="393">
      <c r="M393" s="31"/>
      <c r="N393" s="31"/>
    </row>
    <row r="394">
      <c r="M394" s="31"/>
      <c r="N394" s="31"/>
    </row>
    <row r="395">
      <c r="M395" s="31"/>
      <c r="N395" s="31"/>
    </row>
    <row r="396">
      <c r="M396" s="31"/>
      <c r="N396" s="31"/>
    </row>
    <row r="397">
      <c r="M397" s="31"/>
      <c r="N397" s="31"/>
    </row>
    <row r="398">
      <c r="M398" s="31"/>
      <c r="N398" s="31"/>
    </row>
    <row r="399">
      <c r="M399" s="31"/>
      <c r="N399" s="31"/>
    </row>
    <row r="400">
      <c r="M400" s="31"/>
      <c r="N400" s="31"/>
    </row>
    <row r="401">
      <c r="M401" s="31"/>
      <c r="N401" s="31"/>
    </row>
    <row r="402">
      <c r="M402" s="31"/>
      <c r="N402" s="31"/>
    </row>
    <row r="403">
      <c r="M403" s="31"/>
      <c r="N403" s="31"/>
    </row>
    <row r="404">
      <c r="M404" s="31"/>
      <c r="N404" s="31"/>
    </row>
    <row r="405">
      <c r="M405" s="31"/>
      <c r="N405" s="31"/>
    </row>
    <row r="406">
      <c r="M406" s="31"/>
      <c r="N406" s="31"/>
    </row>
    <row r="407">
      <c r="M407" s="31"/>
      <c r="N407" s="31"/>
    </row>
    <row r="408">
      <c r="M408" s="31"/>
      <c r="N408" s="31"/>
    </row>
    <row r="409">
      <c r="M409" s="31"/>
      <c r="N409" s="31"/>
    </row>
    <row r="410">
      <c r="M410" s="31"/>
      <c r="N410" s="31"/>
    </row>
    <row r="411">
      <c r="M411" s="31"/>
      <c r="N411" s="31"/>
    </row>
    <row r="412">
      <c r="M412" s="31"/>
      <c r="N412" s="31"/>
    </row>
    <row r="413">
      <c r="M413" s="31"/>
      <c r="N413" s="31"/>
    </row>
    <row r="414">
      <c r="M414" s="31"/>
      <c r="N414" s="31"/>
    </row>
    <row r="415">
      <c r="M415" s="31"/>
      <c r="N415" s="31"/>
    </row>
    <row r="416">
      <c r="M416" s="31"/>
      <c r="N416" s="31"/>
    </row>
    <row r="417">
      <c r="M417" s="31"/>
      <c r="N417" s="31"/>
    </row>
    <row r="418">
      <c r="M418" s="31"/>
      <c r="N418" s="31"/>
    </row>
    <row r="419">
      <c r="M419" s="31"/>
      <c r="N419" s="31"/>
    </row>
    <row r="420">
      <c r="M420" s="31"/>
      <c r="N420" s="31"/>
    </row>
    <row r="421">
      <c r="M421" s="31"/>
      <c r="N421" s="31"/>
    </row>
    <row r="422">
      <c r="M422" s="31"/>
      <c r="N422" s="31"/>
    </row>
    <row r="423">
      <c r="M423" s="31"/>
      <c r="N423" s="31"/>
    </row>
    <row r="424">
      <c r="M424" s="31"/>
      <c r="N424" s="31"/>
    </row>
    <row r="425">
      <c r="M425" s="31"/>
      <c r="N425" s="31"/>
    </row>
    <row r="426">
      <c r="M426" s="31"/>
      <c r="N426" s="31"/>
    </row>
    <row r="427">
      <c r="M427" s="31"/>
      <c r="N427" s="31"/>
    </row>
    <row r="428">
      <c r="M428" s="31"/>
      <c r="N428" s="31"/>
    </row>
    <row r="429">
      <c r="M429" s="31"/>
      <c r="N429" s="31"/>
    </row>
    <row r="430">
      <c r="M430" s="31"/>
      <c r="N430" s="31"/>
    </row>
    <row r="431">
      <c r="M431" s="31"/>
      <c r="N431" s="31"/>
    </row>
    <row r="432">
      <c r="M432" s="31"/>
      <c r="N432" s="31"/>
    </row>
    <row r="433">
      <c r="M433" s="31"/>
      <c r="N433" s="31"/>
    </row>
    <row r="434">
      <c r="M434" s="31"/>
      <c r="N434" s="31"/>
    </row>
    <row r="435">
      <c r="M435" s="31"/>
      <c r="N435" s="31"/>
    </row>
    <row r="436">
      <c r="M436" s="31"/>
      <c r="N436" s="31"/>
    </row>
    <row r="437">
      <c r="M437" s="31"/>
      <c r="N437" s="31"/>
    </row>
    <row r="438">
      <c r="M438" s="31"/>
      <c r="N438" s="31"/>
    </row>
    <row r="439">
      <c r="M439" s="31"/>
      <c r="N439" s="31"/>
    </row>
    <row r="440">
      <c r="M440" s="31"/>
      <c r="N440" s="31"/>
    </row>
    <row r="441">
      <c r="M441" s="31"/>
      <c r="N441" s="31"/>
    </row>
    <row r="442">
      <c r="M442" s="31"/>
      <c r="N442" s="31"/>
    </row>
    <row r="443">
      <c r="M443" s="31"/>
      <c r="N443" s="31"/>
    </row>
    <row r="444">
      <c r="M444" s="31"/>
      <c r="N444" s="31"/>
    </row>
    <row r="445">
      <c r="M445" s="31"/>
      <c r="N445" s="31"/>
    </row>
    <row r="446">
      <c r="M446" s="31"/>
      <c r="N446" s="31"/>
    </row>
    <row r="447">
      <c r="M447" s="31"/>
      <c r="N447" s="31"/>
    </row>
    <row r="448">
      <c r="M448" s="31"/>
      <c r="N448" s="31"/>
    </row>
    <row r="449">
      <c r="M449" s="31"/>
      <c r="N449" s="31"/>
    </row>
    <row r="450">
      <c r="M450" s="31"/>
      <c r="N450" s="31"/>
    </row>
    <row r="451">
      <c r="M451" s="31"/>
      <c r="N451" s="31"/>
    </row>
    <row r="452">
      <c r="M452" s="31"/>
      <c r="N452" s="31"/>
    </row>
    <row r="453">
      <c r="M453" s="31"/>
      <c r="N453" s="31"/>
    </row>
    <row r="454">
      <c r="M454" s="31"/>
      <c r="N454" s="31"/>
    </row>
    <row r="455">
      <c r="M455" s="31"/>
      <c r="N455" s="31"/>
    </row>
    <row r="456">
      <c r="M456" s="31"/>
      <c r="N456" s="31"/>
    </row>
    <row r="457">
      <c r="M457" s="31"/>
      <c r="N457" s="31"/>
    </row>
    <row r="458">
      <c r="M458" s="31"/>
      <c r="N458" s="31"/>
    </row>
    <row r="459">
      <c r="M459" s="31"/>
      <c r="N459" s="31"/>
    </row>
    <row r="460">
      <c r="M460" s="31"/>
      <c r="N460" s="31"/>
    </row>
    <row r="461">
      <c r="M461" s="31"/>
      <c r="N461" s="31"/>
    </row>
    <row r="462">
      <c r="M462" s="31"/>
      <c r="N462" s="31"/>
    </row>
    <row r="463">
      <c r="M463" s="31"/>
      <c r="N463" s="31"/>
    </row>
    <row r="464">
      <c r="M464" s="31"/>
      <c r="N464" s="31"/>
    </row>
    <row r="465">
      <c r="M465" s="31"/>
      <c r="N465" s="31"/>
    </row>
    <row r="466">
      <c r="M466" s="31"/>
      <c r="N466" s="31"/>
    </row>
    <row r="467">
      <c r="M467" s="31"/>
      <c r="N467" s="31"/>
    </row>
    <row r="468">
      <c r="M468" s="31"/>
      <c r="N468" s="31"/>
    </row>
    <row r="469">
      <c r="M469" s="31"/>
      <c r="N469" s="31"/>
    </row>
    <row r="470">
      <c r="M470" s="31"/>
      <c r="N470" s="31"/>
    </row>
    <row r="471">
      <c r="M471" s="31"/>
      <c r="N471" s="31"/>
    </row>
    <row r="472">
      <c r="M472" s="31"/>
      <c r="N472" s="31"/>
    </row>
    <row r="473">
      <c r="M473" s="31"/>
      <c r="N473" s="31"/>
    </row>
    <row r="474">
      <c r="M474" s="31"/>
      <c r="N474" s="31"/>
    </row>
    <row r="475">
      <c r="M475" s="31"/>
      <c r="N475" s="31"/>
    </row>
    <row r="476">
      <c r="M476" s="31"/>
      <c r="N476" s="31"/>
    </row>
    <row r="477">
      <c r="M477" s="31"/>
      <c r="N477" s="31"/>
    </row>
    <row r="478">
      <c r="M478" s="31"/>
      <c r="N478" s="31"/>
    </row>
    <row r="479">
      <c r="M479" s="31"/>
      <c r="N479" s="31"/>
    </row>
    <row r="480">
      <c r="M480" s="31"/>
      <c r="N480" s="31"/>
    </row>
    <row r="481">
      <c r="M481" s="31"/>
      <c r="N481" s="31"/>
    </row>
    <row r="482">
      <c r="M482" s="31"/>
      <c r="N482" s="31"/>
    </row>
    <row r="483">
      <c r="M483" s="31"/>
      <c r="N483" s="31"/>
    </row>
    <row r="484">
      <c r="M484" s="31"/>
      <c r="N484" s="31"/>
    </row>
    <row r="485">
      <c r="M485" s="31"/>
      <c r="N485" s="31"/>
    </row>
    <row r="486">
      <c r="M486" s="31"/>
      <c r="N486" s="31"/>
    </row>
    <row r="487">
      <c r="M487" s="31"/>
      <c r="N487" s="31"/>
    </row>
    <row r="488">
      <c r="M488" s="31"/>
      <c r="N488" s="31"/>
    </row>
    <row r="489">
      <c r="M489" s="31"/>
      <c r="N489" s="31"/>
    </row>
    <row r="490">
      <c r="M490" s="31"/>
      <c r="N490" s="31"/>
    </row>
    <row r="491">
      <c r="M491" s="31"/>
      <c r="N491" s="31"/>
    </row>
    <row r="492">
      <c r="M492" s="31"/>
      <c r="N492" s="31"/>
    </row>
    <row r="493">
      <c r="M493" s="31"/>
      <c r="N493" s="31"/>
    </row>
    <row r="494">
      <c r="M494" s="31"/>
      <c r="N494" s="31"/>
    </row>
    <row r="495">
      <c r="M495" s="31"/>
      <c r="N495" s="31"/>
    </row>
    <row r="496">
      <c r="M496" s="31"/>
      <c r="N496" s="31"/>
    </row>
    <row r="497">
      <c r="M497" s="31"/>
      <c r="N497" s="31"/>
    </row>
    <row r="498">
      <c r="M498" s="31"/>
      <c r="N498" s="31"/>
    </row>
    <row r="499">
      <c r="M499" s="31"/>
      <c r="N499" s="31"/>
    </row>
    <row r="500">
      <c r="M500" s="31"/>
      <c r="N500" s="31"/>
    </row>
    <row r="501">
      <c r="M501" s="31"/>
      <c r="N501" s="31"/>
    </row>
    <row r="502">
      <c r="M502" s="31"/>
      <c r="N502" s="31"/>
    </row>
    <row r="503">
      <c r="M503" s="31"/>
      <c r="N503" s="31"/>
    </row>
    <row r="504">
      <c r="M504" s="31"/>
      <c r="N504" s="31"/>
    </row>
    <row r="505">
      <c r="M505" s="31"/>
      <c r="N505" s="31"/>
    </row>
    <row r="506">
      <c r="M506" s="31"/>
      <c r="N506" s="31"/>
    </row>
    <row r="507">
      <c r="M507" s="31"/>
      <c r="N507" s="31"/>
    </row>
    <row r="508">
      <c r="M508" s="31"/>
      <c r="N508" s="31"/>
    </row>
    <row r="509">
      <c r="M509" s="31"/>
      <c r="N509" s="31"/>
    </row>
    <row r="510">
      <c r="M510" s="31"/>
      <c r="N510" s="31"/>
    </row>
    <row r="511">
      <c r="M511" s="31"/>
      <c r="N511" s="31"/>
    </row>
    <row r="512">
      <c r="M512" s="31"/>
      <c r="N512" s="31"/>
    </row>
    <row r="513">
      <c r="M513" s="31"/>
      <c r="N513" s="31"/>
    </row>
    <row r="514">
      <c r="M514" s="31"/>
      <c r="N514" s="31"/>
    </row>
    <row r="515">
      <c r="M515" s="31"/>
      <c r="N515" s="31"/>
    </row>
    <row r="516">
      <c r="M516" s="31"/>
      <c r="N516" s="31"/>
    </row>
    <row r="517">
      <c r="M517" s="31"/>
      <c r="N517" s="31"/>
    </row>
    <row r="518">
      <c r="M518" s="31"/>
      <c r="N518" s="31"/>
    </row>
    <row r="519">
      <c r="M519" s="31"/>
      <c r="N519" s="31"/>
    </row>
    <row r="520">
      <c r="M520" s="31"/>
      <c r="N520" s="31"/>
    </row>
    <row r="521">
      <c r="M521" s="31"/>
      <c r="N521" s="31"/>
    </row>
    <row r="522">
      <c r="M522" s="31"/>
      <c r="N522" s="31"/>
    </row>
    <row r="523">
      <c r="M523" s="31"/>
      <c r="N523" s="31"/>
    </row>
    <row r="524">
      <c r="M524" s="31"/>
      <c r="N524" s="31"/>
    </row>
    <row r="525">
      <c r="M525" s="31"/>
      <c r="N525" s="31"/>
    </row>
    <row r="526">
      <c r="M526" s="31"/>
      <c r="N526" s="31"/>
    </row>
    <row r="527">
      <c r="M527" s="31"/>
      <c r="N527" s="31"/>
    </row>
    <row r="528">
      <c r="M528" s="31"/>
      <c r="N528" s="31"/>
    </row>
    <row r="529">
      <c r="M529" s="31"/>
      <c r="N529" s="31"/>
    </row>
    <row r="530">
      <c r="M530" s="31"/>
      <c r="N530" s="31"/>
    </row>
    <row r="531">
      <c r="M531" s="31"/>
      <c r="N531" s="31"/>
    </row>
    <row r="532">
      <c r="M532" s="31"/>
      <c r="N532" s="31"/>
    </row>
    <row r="533">
      <c r="M533" s="31"/>
      <c r="N533" s="31"/>
    </row>
    <row r="534">
      <c r="M534" s="31"/>
      <c r="N534" s="31"/>
    </row>
    <row r="535">
      <c r="M535" s="31"/>
      <c r="N535" s="31"/>
    </row>
    <row r="536">
      <c r="M536" s="31"/>
      <c r="N536" s="31"/>
    </row>
    <row r="537">
      <c r="M537" s="31"/>
      <c r="N537" s="31"/>
    </row>
    <row r="538">
      <c r="M538" s="31"/>
      <c r="N538" s="31"/>
    </row>
    <row r="539">
      <c r="M539" s="31"/>
      <c r="N539" s="31"/>
    </row>
    <row r="540">
      <c r="M540" s="31"/>
      <c r="N540" s="31"/>
    </row>
    <row r="541">
      <c r="M541" s="31"/>
      <c r="N541" s="31"/>
    </row>
    <row r="542">
      <c r="M542" s="31"/>
      <c r="N542" s="31"/>
    </row>
    <row r="543">
      <c r="M543" s="31"/>
      <c r="N543" s="31"/>
    </row>
    <row r="544">
      <c r="M544" s="31"/>
      <c r="N544" s="31"/>
    </row>
    <row r="545">
      <c r="M545" s="31"/>
      <c r="N545" s="31"/>
    </row>
    <row r="546">
      <c r="M546" s="31"/>
      <c r="N546" s="31"/>
    </row>
    <row r="547">
      <c r="M547" s="31"/>
      <c r="N547" s="31"/>
    </row>
    <row r="548">
      <c r="M548" s="31"/>
      <c r="N548" s="31"/>
    </row>
    <row r="549">
      <c r="M549" s="31"/>
      <c r="N549" s="31"/>
    </row>
    <row r="550">
      <c r="M550" s="31"/>
      <c r="N550" s="31"/>
    </row>
    <row r="551">
      <c r="M551" s="31"/>
      <c r="N551" s="31"/>
    </row>
    <row r="552">
      <c r="M552" s="31"/>
      <c r="N552" s="31"/>
    </row>
    <row r="553">
      <c r="M553" s="31"/>
      <c r="N553" s="31"/>
    </row>
    <row r="554">
      <c r="M554" s="31"/>
      <c r="N554" s="31"/>
    </row>
    <row r="555">
      <c r="M555" s="31"/>
      <c r="N555" s="31"/>
    </row>
    <row r="556">
      <c r="M556" s="31"/>
      <c r="N556" s="31"/>
    </row>
    <row r="557">
      <c r="M557" s="31"/>
      <c r="N557" s="31"/>
    </row>
    <row r="558">
      <c r="M558" s="31"/>
      <c r="N558" s="31"/>
    </row>
    <row r="559">
      <c r="M559" s="31"/>
      <c r="N559" s="31"/>
    </row>
    <row r="560">
      <c r="M560" s="31"/>
      <c r="N560" s="31"/>
    </row>
    <row r="561">
      <c r="M561" s="31"/>
      <c r="N561" s="31"/>
    </row>
    <row r="562">
      <c r="M562" s="31"/>
      <c r="N562" s="31"/>
    </row>
    <row r="563">
      <c r="M563" s="31"/>
      <c r="N563" s="31"/>
    </row>
    <row r="564">
      <c r="M564" s="31"/>
      <c r="N564" s="31"/>
    </row>
    <row r="565">
      <c r="M565" s="31"/>
      <c r="N565" s="31"/>
    </row>
    <row r="566">
      <c r="M566" s="31"/>
      <c r="N566" s="31"/>
    </row>
    <row r="567">
      <c r="M567" s="31"/>
      <c r="N567" s="31"/>
    </row>
    <row r="568">
      <c r="M568" s="31"/>
      <c r="N568" s="31"/>
    </row>
    <row r="569">
      <c r="M569" s="31"/>
      <c r="N569" s="31"/>
    </row>
    <row r="570">
      <c r="M570" s="31"/>
      <c r="N570" s="31"/>
    </row>
    <row r="571">
      <c r="M571" s="31"/>
      <c r="N571" s="31"/>
    </row>
    <row r="572">
      <c r="M572" s="31"/>
      <c r="N572" s="31"/>
    </row>
    <row r="573">
      <c r="M573" s="31"/>
      <c r="N573" s="31"/>
    </row>
    <row r="574">
      <c r="M574" s="31"/>
      <c r="N574" s="31"/>
    </row>
    <row r="575">
      <c r="M575" s="31"/>
      <c r="N575" s="31"/>
    </row>
    <row r="576">
      <c r="M576" s="31"/>
      <c r="N576" s="31"/>
    </row>
    <row r="577">
      <c r="M577" s="31"/>
      <c r="N577" s="31"/>
    </row>
    <row r="578">
      <c r="M578" s="31"/>
      <c r="N578" s="31"/>
    </row>
    <row r="579">
      <c r="M579" s="31"/>
      <c r="N579" s="31"/>
    </row>
    <row r="580">
      <c r="M580" s="31"/>
      <c r="N580" s="31"/>
    </row>
    <row r="581">
      <c r="M581" s="31"/>
      <c r="N581" s="31"/>
    </row>
    <row r="582">
      <c r="M582" s="31"/>
      <c r="N582" s="31"/>
    </row>
    <row r="583">
      <c r="M583" s="31"/>
      <c r="N583" s="31"/>
    </row>
    <row r="584">
      <c r="M584" s="31"/>
      <c r="N584" s="31"/>
    </row>
    <row r="585">
      <c r="M585" s="31"/>
      <c r="N585" s="31"/>
    </row>
    <row r="586">
      <c r="M586" s="31"/>
      <c r="N586" s="31"/>
    </row>
    <row r="587">
      <c r="M587" s="31"/>
      <c r="N587" s="31"/>
    </row>
    <row r="588">
      <c r="M588" s="31"/>
      <c r="N588" s="31"/>
    </row>
    <row r="589">
      <c r="M589" s="31"/>
      <c r="N589" s="31"/>
    </row>
    <row r="590">
      <c r="M590" s="31"/>
      <c r="N590" s="31"/>
    </row>
    <row r="591">
      <c r="M591" s="31"/>
      <c r="N591" s="31"/>
    </row>
    <row r="592">
      <c r="M592" s="31"/>
      <c r="N592" s="31"/>
    </row>
    <row r="593">
      <c r="M593" s="31"/>
      <c r="N593" s="31"/>
    </row>
    <row r="594">
      <c r="M594" s="31"/>
      <c r="N594" s="31"/>
    </row>
    <row r="595">
      <c r="M595" s="31"/>
      <c r="N595" s="31"/>
    </row>
    <row r="596">
      <c r="M596" s="31"/>
      <c r="N596" s="31"/>
    </row>
    <row r="597">
      <c r="M597" s="31"/>
      <c r="N597" s="31"/>
    </row>
    <row r="598">
      <c r="M598" s="31"/>
      <c r="N598" s="31"/>
    </row>
    <row r="599">
      <c r="M599" s="31"/>
      <c r="N599" s="31"/>
    </row>
    <row r="600">
      <c r="M600" s="31"/>
      <c r="N600" s="31"/>
    </row>
    <row r="601">
      <c r="M601" s="31"/>
      <c r="N601" s="31"/>
    </row>
    <row r="602">
      <c r="M602" s="31"/>
      <c r="N602" s="31"/>
    </row>
    <row r="603">
      <c r="M603" s="31"/>
      <c r="N603" s="31"/>
    </row>
    <row r="604">
      <c r="M604" s="31"/>
      <c r="N604" s="31"/>
    </row>
    <row r="605">
      <c r="M605" s="31"/>
      <c r="N605" s="31"/>
    </row>
    <row r="606">
      <c r="M606" s="31"/>
      <c r="N606" s="31"/>
    </row>
    <row r="607">
      <c r="M607" s="31"/>
      <c r="N607" s="31"/>
    </row>
    <row r="608">
      <c r="M608" s="31"/>
      <c r="N608" s="31"/>
    </row>
    <row r="609">
      <c r="M609" s="31"/>
      <c r="N609" s="31"/>
    </row>
    <row r="610">
      <c r="M610" s="31"/>
      <c r="N610" s="31"/>
    </row>
    <row r="611">
      <c r="M611" s="31"/>
      <c r="N611" s="31"/>
    </row>
    <row r="612">
      <c r="M612" s="31"/>
      <c r="N612" s="31"/>
    </row>
    <row r="613">
      <c r="M613" s="31"/>
      <c r="N613" s="31"/>
    </row>
    <row r="614">
      <c r="M614" s="31"/>
      <c r="N614" s="31"/>
    </row>
    <row r="615">
      <c r="M615" s="31"/>
      <c r="N615" s="31"/>
    </row>
    <row r="616">
      <c r="M616" s="31"/>
      <c r="N616" s="31"/>
    </row>
    <row r="617">
      <c r="M617" s="31"/>
      <c r="N617" s="31"/>
    </row>
    <row r="618">
      <c r="M618" s="31"/>
      <c r="N618" s="31"/>
    </row>
    <row r="619">
      <c r="M619" s="31"/>
      <c r="N619" s="31"/>
    </row>
    <row r="620">
      <c r="M620" s="31"/>
      <c r="N620" s="31"/>
    </row>
    <row r="621">
      <c r="M621" s="31"/>
      <c r="N621" s="31"/>
    </row>
    <row r="622">
      <c r="M622" s="31"/>
      <c r="N622" s="31"/>
    </row>
    <row r="623">
      <c r="M623" s="31"/>
      <c r="N623" s="31"/>
    </row>
    <row r="624">
      <c r="M624" s="31"/>
      <c r="N624" s="31"/>
    </row>
    <row r="625">
      <c r="M625" s="31"/>
      <c r="N625" s="31"/>
    </row>
    <row r="626">
      <c r="M626" s="31"/>
      <c r="N626" s="31"/>
    </row>
    <row r="627">
      <c r="M627" s="31"/>
      <c r="N627" s="31"/>
    </row>
    <row r="628">
      <c r="M628" s="31"/>
      <c r="N628" s="31"/>
    </row>
    <row r="629">
      <c r="M629" s="31"/>
      <c r="N629" s="31"/>
    </row>
    <row r="630">
      <c r="M630" s="31"/>
      <c r="N630" s="31"/>
    </row>
    <row r="631">
      <c r="M631" s="31"/>
      <c r="N631" s="31"/>
    </row>
    <row r="632">
      <c r="M632" s="31"/>
      <c r="N632" s="31"/>
    </row>
    <row r="633">
      <c r="M633" s="31"/>
      <c r="N633" s="31"/>
    </row>
    <row r="634">
      <c r="M634" s="31"/>
      <c r="N634" s="31"/>
    </row>
    <row r="635">
      <c r="M635" s="31"/>
      <c r="N635" s="31"/>
    </row>
    <row r="636">
      <c r="M636" s="31"/>
      <c r="N636" s="31"/>
    </row>
    <row r="637">
      <c r="M637" s="31"/>
      <c r="N637" s="31"/>
    </row>
    <row r="638">
      <c r="M638" s="31"/>
      <c r="N638" s="31"/>
    </row>
    <row r="639">
      <c r="M639" s="31"/>
      <c r="N639" s="31"/>
    </row>
    <row r="640">
      <c r="M640" s="31"/>
      <c r="N640" s="31"/>
    </row>
    <row r="641">
      <c r="M641" s="31"/>
      <c r="N641" s="31"/>
    </row>
    <row r="642">
      <c r="M642" s="31"/>
      <c r="N642" s="31"/>
    </row>
    <row r="643">
      <c r="M643" s="31"/>
      <c r="N643" s="31"/>
    </row>
    <row r="644">
      <c r="M644" s="31"/>
      <c r="N644" s="31"/>
    </row>
    <row r="645">
      <c r="M645" s="31"/>
      <c r="N645" s="31"/>
    </row>
    <row r="646">
      <c r="M646" s="31"/>
      <c r="N646" s="31"/>
    </row>
    <row r="647">
      <c r="M647" s="31"/>
      <c r="N647" s="31"/>
    </row>
    <row r="648">
      <c r="M648" s="31"/>
      <c r="N648" s="31"/>
    </row>
    <row r="649">
      <c r="M649" s="31"/>
      <c r="N649" s="31"/>
    </row>
    <row r="650">
      <c r="M650" s="31"/>
      <c r="N650" s="31"/>
    </row>
    <row r="651">
      <c r="M651" s="31"/>
      <c r="N651" s="31"/>
    </row>
    <row r="652">
      <c r="M652" s="31"/>
      <c r="N652" s="31"/>
    </row>
    <row r="653">
      <c r="M653" s="31"/>
      <c r="N653" s="31"/>
    </row>
    <row r="654">
      <c r="M654" s="31"/>
      <c r="N654" s="31"/>
    </row>
    <row r="655">
      <c r="M655" s="31"/>
      <c r="N655" s="31"/>
    </row>
    <row r="656">
      <c r="M656" s="31"/>
      <c r="N656" s="31"/>
    </row>
    <row r="657">
      <c r="M657" s="31"/>
      <c r="N657" s="31"/>
    </row>
    <row r="658">
      <c r="M658" s="31"/>
      <c r="N658" s="31"/>
    </row>
    <row r="659">
      <c r="M659" s="31"/>
      <c r="N659" s="31"/>
    </row>
    <row r="660">
      <c r="M660" s="31"/>
      <c r="N660" s="31"/>
    </row>
    <row r="661">
      <c r="M661" s="31"/>
      <c r="N661" s="31"/>
    </row>
    <row r="662">
      <c r="M662" s="31"/>
      <c r="N662" s="31"/>
    </row>
    <row r="663">
      <c r="M663" s="31"/>
      <c r="N663" s="31"/>
    </row>
    <row r="664">
      <c r="M664" s="31"/>
      <c r="N664" s="31"/>
    </row>
    <row r="665">
      <c r="M665" s="31"/>
      <c r="N665" s="31"/>
    </row>
    <row r="666">
      <c r="M666" s="31"/>
      <c r="N666" s="31"/>
    </row>
    <row r="667">
      <c r="M667" s="31"/>
      <c r="N667" s="31"/>
    </row>
    <row r="668">
      <c r="M668" s="31"/>
      <c r="N668" s="31"/>
    </row>
    <row r="669">
      <c r="M669" s="31"/>
      <c r="N669" s="31"/>
    </row>
    <row r="670">
      <c r="M670" s="31"/>
      <c r="N670" s="31"/>
    </row>
    <row r="671">
      <c r="M671" s="31"/>
      <c r="N671" s="31"/>
    </row>
    <row r="672">
      <c r="M672" s="31"/>
      <c r="N672" s="31"/>
    </row>
    <row r="673">
      <c r="M673" s="31"/>
      <c r="N673" s="31"/>
    </row>
    <row r="674">
      <c r="M674" s="31"/>
      <c r="N674" s="31"/>
    </row>
    <row r="675">
      <c r="M675" s="31"/>
      <c r="N675" s="31"/>
    </row>
    <row r="676">
      <c r="M676" s="31"/>
      <c r="N676" s="31"/>
    </row>
    <row r="677">
      <c r="M677" s="31"/>
      <c r="N677" s="31"/>
    </row>
    <row r="678">
      <c r="M678" s="31"/>
      <c r="N678" s="31"/>
    </row>
    <row r="679">
      <c r="M679" s="31"/>
      <c r="N679" s="31"/>
    </row>
    <row r="680">
      <c r="M680" s="31"/>
      <c r="N680" s="31"/>
    </row>
    <row r="681">
      <c r="M681" s="31"/>
      <c r="N681" s="31"/>
    </row>
    <row r="682">
      <c r="M682" s="31"/>
      <c r="N682" s="31"/>
    </row>
    <row r="683">
      <c r="M683" s="31"/>
      <c r="N683" s="31"/>
    </row>
    <row r="684">
      <c r="M684" s="31"/>
      <c r="N684" s="31"/>
    </row>
    <row r="685">
      <c r="M685" s="31"/>
      <c r="N685" s="31"/>
    </row>
    <row r="686">
      <c r="M686" s="31"/>
      <c r="N686" s="31"/>
    </row>
    <row r="687">
      <c r="M687" s="31"/>
      <c r="N687" s="31"/>
    </row>
    <row r="688">
      <c r="M688" s="31"/>
      <c r="N688" s="31"/>
    </row>
    <row r="689">
      <c r="M689" s="31"/>
      <c r="N689" s="31"/>
    </row>
    <row r="690">
      <c r="M690" s="31"/>
      <c r="N690" s="31"/>
    </row>
    <row r="691">
      <c r="M691" s="31"/>
      <c r="N691" s="31"/>
    </row>
    <row r="692">
      <c r="M692" s="31"/>
      <c r="N692" s="31"/>
    </row>
    <row r="693">
      <c r="M693" s="31"/>
      <c r="N693" s="31"/>
    </row>
    <row r="694">
      <c r="M694" s="31"/>
      <c r="N694" s="31"/>
    </row>
    <row r="695">
      <c r="M695" s="31"/>
      <c r="N695" s="31"/>
    </row>
    <row r="696">
      <c r="M696" s="31"/>
      <c r="N696" s="31"/>
    </row>
    <row r="697">
      <c r="M697" s="31"/>
      <c r="N697" s="31"/>
    </row>
    <row r="698">
      <c r="M698" s="31"/>
      <c r="N698" s="31"/>
    </row>
    <row r="699">
      <c r="M699" s="31"/>
      <c r="N699" s="31"/>
    </row>
    <row r="700">
      <c r="M700" s="31"/>
      <c r="N700" s="31"/>
    </row>
    <row r="701">
      <c r="M701" s="31"/>
      <c r="N701" s="31"/>
    </row>
    <row r="702">
      <c r="M702" s="31"/>
      <c r="N702" s="31"/>
    </row>
    <row r="703">
      <c r="M703" s="31"/>
      <c r="N703" s="31"/>
    </row>
    <row r="704">
      <c r="M704" s="31"/>
      <c r="N704" s="31"/>
    </row>
    <row r="705">
      <c r="M705" s="31"/>
      <c r="N705" s="31"/>
    </row>
    <row r="706">
      <c r="M706" s="31"/>
      <c r="N706" s="31"/>
    </row>
    <row r="707">
      <c r="M707" s="31"/>
      <c r="N707" s="31"/>
    </row>
    <row r="708">
      <c r="M708" s="31"/>
      <c r="N708" s="31"/>
    </row>
    <row r="709">
      <c r="M709" s="31"/>
      <c r="N709" s="31"/>
    </row>
    <row r="710">
      <c r="M710" s="31"/>
      <c r="N710" s="31"/>
    </row>
    <row r="711">
      <c r="M711" s="31"/>
      <c r="N711" s="31"/>
    </row>
    <row r="712">
      <c r="M712" s="31"/>
      <c r="N712" s="31"/>
    </row>
    <row r="713">
      <c r="M713" s="31"/>
      <c r="N713" s="31"/>
    </row>
    <row r="714">
      <c r="M714" s="31"/>
      <c r="N714" s="31"/>
    </row>
    <row r="715">
      <c r="M715" s="31"/>
      <c r="N715" s="31"/>
    </row>
    <row r="716">
      <c r="M716" s="31"/>
      <c r="N716" s="31"/>
    </row>
    <row r="717">
      <c r="M717" s="31"/>
      <c r="N717" s="31"/>
    </row>
    <row r="718">
      <c r="M718" s="31"/>
      <c r="N718" s="31"/>
    </row>
    <row r="719">
      <c r="M719" s="31"/>
      <c r="N719" s="31"/>
    </row>
    <row r="720">
      <c r="M720" s="31"/>
      <c r="N720" s="31"/>
    </row>
    <row r="721">
      <c r="M721" s="31"/>
      <c r="N721" s="31"/>
    </row>
    <row r="722">
      <c r="M722" s="31"/>
      <c r="N722" s="31"/>
    </row>
    <row r="723">
      <c r="M723" s="31"/>
      <c r="N723" s="31"/>
    </row>
    <row r="724">
      <c r="M724" s="31"/>
      <c r="N724" s="31"/>
    </row>
    <row r="725">
      <c r="M725" s="31"/>
      <c r="N725" s="31"/>
    </row>
    <row r="726">
      <c r="M726" s="31"/>
      <c r="N726" s="31"/>
    </row>
    <row r="727">
      <c r="M727" s="31"/>
      <c r="N727" s="31"/>
    </row>
    <row r="728">
      <c r="M728" s="31"/>
      <c r="N728" s="31"/>
    </row>
    <row r="729">
      <c r="M729" s="31"/>
      <c r="N729" s="31"/>
    </row>
    <row r="730">
      <c r="M730" s="31"/>
      <c r="N730" s="31"/>
    </row>
    <row r="731">
      <c r="M731" s="31"/>
      <c r="N731" s="31"/>
    </row>
    <row r="732">
      <c r="M732" s="31"/>
      <c r="N732" s="31"/>
    </row>
    <row r="733">
      <c r="M733" s="31"/>
      <c r="N733" s="31"/>
    </row>
    <row r="734">
      <c r="M734" s="31"/>
      <c r="N734" s="31"/>
    </row>
    <row r="735">
      <c r="M735" s="31"/>
      <c r="N735" s="31"/>
    </row>
    <row r="736">
      <c r="M736" s="31"/>
      <c r="N736" s="31"/>
    </row>
    <row r="737">
      <c r="M737" s="31"/>
      <c r="N737" s="31"/>
    </row>
    <row r="738">
      <c r="M738" s="31"/>
      <c r="N738" s="31"/>
    </row>
    <row r="739">
      <c r="M739" s="31"/>
      <c r="N739" s="31"/>
    </row>
    <row r="740">
      <c r="M740" s="31"/>
      <c r="N740" s="31"/>
    </row>
    <row r="741">
      <c r="M741" s="31"/>
      <c r="N741" s="31"/>
    </row>
    <row r="742">
      <c r="M742" s="31"/>
      <c r="N742" s="31"/>
    </row>
    <row r="743">
      <c r="M743" s="31"/>
      <c r="N743" s="31"/>
    </row>
    <row r="744">
      <c r="M744" s="31"/>
      <c r="N744" s="31"/>
    </row>
    <row r="745">
      <c r="M745" s="31"/>
      <c r="N745" s="31"/>
    </row>
    <row r="746">
      <c r="M746" s="31"/>
      <c r="N746" s="31"/>
    </row>
    <row r="747">
      <c r="M747" s="31"/>
      <c r="N747" s="31"/>
    </row>
    <row r="748">
      <c r="M748" s="31"/>
      <c r="N748" s="31"/>
    </row>
    <row r="749">
      <c r="M749" s="31"/>
      <c r="N749" s="31"/>
    </row>
    <row r="750">
      <c r="M750" s="31"/>
      <c r="N750" s="31"/>
    </row>
    <row r="751">
      <c r="M751" s="31"/>
      <c r="N751" s="31"/>
    </row>
    <row r="752">
      <c r="M752" s="31"/>
      <c r="N752" s="31"/>
    </row>
    <row r="753">
      <c r="M753" s="31"/>
      <c r="N753" s="31"/>
    </row>
    <row r="754">
      <c r="M754" s="31"/>
      <c r="N754" s="31"/>
    </row>
    <row r="755">
      <c r="M755" s="31"/>
      <c r="N755" s="31"/>
    </row>
    <row r="756">
      <c r="M756" s="31"/>
      <c r="N756" s="31"/>
    </row>
    <row r="757">
      <c r="M757" s="31"/>
      <c r="N757" s="31"/>
    </row>
    <row r="758">
      <c r="M758" s="31"/>
      <c r="N758" s="31"/>
    </row>
    <row r="759">
      <c r="M759" s="31"/>
      <c r="N759" s="31"/>
    </row>
    <row r="760">
      <c r="M760" s="31"/>
      <c r="N760" s="31"/>
    </row>
    <row r="761">
      <c r="M761" s="31"/>
      <c r="N761" s="31"/>
    </row>
    <row r="762">
      <c r="M762" s="31"/>
      <c r="N762" s="31"/>
    </row>
    <row r="763">
      <c r="M763" s="31"/>
      <c r="N763" s="31"/>
    </row>
    <row r="764">
      <c r="M764" s="31"/>
      <c r="N764" s="31"/>
    </row>
    <row r="765">
      <c r="M765" s="31"/>
      <c r="N765" s="31"/>
    </row>
    <row r="766">
      <c r="M766" s="31"/>
      <c r="N766" s="31"/>
    </row>
    <row r="767">
      <c r="M767" s="31"/>
      <c r="N767" s="31"/>
    </row>
    <row r="768">
      <c r="M768" s="31"/>
      <c r="N768" s="31"/>
    </row>
    <row r="769">
      <c r="M769" s="31"/>
      <c r="N769" s="31"/>
    </row>
    <row r="770">
      <c r="M770" s="31"/>
      <c r="N770" s="31"/>
    </row>
    <row r="771">
      <c r="M771" s="31"/>
      <c r="N771" s="31"/>
    </row>
    <row r="772">
      <c r="M772" s="31"/>
      <c r="N772" s="31"/>
    </row>
    <row r="773">
      <c r="M773" s="31"/>
      <c r="N773" s="31"/>
    </row>
    <row r="774">
      <c r="M774" s="31"/>
      <c r="N774" s="31"/>
    </row>
    <row r="775">
      <c r="M775" s="31"/>
      <c r="N775" s="31"/>
    </row>
    <row r="776">
      <c r="M776" s="31"/>
      <c r="N776" s="31"/>
    </row>
    <row r="777">
      <c r="M777" s="31"/>
      <c r="N777" s="31"/>
    </row>
    <row r="778">
      <c r="M778" s="31"/>
      <c r="N778" s="31"/>
    </row>
    <row r="779">
      <c r="M779" s="31"/>
      <c r="N779" s="31"/>
    </row>
    <row r="780">
      <c r="M780" s="31"/>
      <c r="N780" s="31"/>
    </row>
    <row r="781">
      <c r="M781" s="31"/>
      <c r="N781" s="31"/>
    </row>
    <row r="782">
      <c r="M782" s="31"/>
      <c r="N782" s="31"/>
    </row>
    <row r="783">
      <c r="M783" s="31"/>
      <c r="N783" s="31"/>
    </row>
    <row r="784">
      <c r="M784" s="31"/>
      <c r="N784" s="31"/>
    </row>
    <row r="785">
      <c r="M785" s="31"/>
      <c r="N785" s="31"/>
    </row>
    <row r="786">
      <c r="M786" s="31"/>
      <c r="N786" s="31"/>
    </row>
    <row r="787">
      <c r="M787" s="31"/>
      <c r="N787" s="31"/>
    </row>
    <row r="788">
      <c r="M788" s="31"/>
      <c r="N788" s="31"/>
    </row>
    <row r="789">
      <c r="M789" s="31"/>
      <c r="N789" s="31"/>
    </row>
    <row r="790">
      <c r="M790" s="31"/>
      <c r="N790" s="31"/>
    </row>
    <row r="791">
      <c r="M791" s="31"/>
      <c r="N791" s="31"/>
    </row>
    <row r="792">
      <c r="M792" s="31"/>
      <c r="N792" s="31"/>
    </row>
    <row r="793">
      <c r="M793" s="31"/>
      <c r="N793" s="31"/>
    </row>
    <row r="794">
      <c r="M794" s="31"/>
      <c r="N794" s="31"/>
    </row>
    <row r="795">
      <c r="M795" s="31"/>
      <c r="N795" s="31"/>
    </row>
    <row r="796">
      <c r="M796" s="31"/>
      <c r="N796" s="31"/>
    </row>
    <row r="797">
      <c r="M797" s="31"/>
      <c r="N797" s="31"/>
    </row>
    <row r="798">
      <c r="M798" s="31"/>
      <c r="N798" s="31"/>
    </row>
    <row r="799">
      <c r="M799" s="31"/>
      <c r="N799" s="31"/>
    </row>
    <row r="800">
      <c r="M800" s="31"/>
      <c r="N800" s="31"/>
    </row>
    <row r="801">
      <c r="M801" s="31"/>
      <c r="N801" s="31"/>
    </row>
    <row r="802">
      <c r="M802" s="31"/>
      <c r="N802" s="31"/>
    </row>
    <row r="803">
      <c r="M803" s="31"/>
      <c r="N803" s="31"/>
    </row>
    <row r="804">
      <c r="M804" s="31"/>
      <c r="N804" s="31"/>
    </row>
    <row r="805">
      <c r="M805" s="31"/>
      <c r="N805" s="31"/>
    </row>
    <row r="806">
      <c r="M806" s="31"/>
      <c r="N806" s="31"/>
    </row>
    <row r="807">
      <c r="M807" s="31"/>
      <c r="N807" s="31"/>
    </row>
    <row r="808">
      <c r="M808" s="31"/>
      <c r="N808" s="31"/>
    </row>
    <row r="809">
      <c r="M809" s="31"/>
      <c r="N809" s="31"/>
    </row>
    <row r="810">
      <c r="M810" s="31"/>
      <c r="N810" s="31"/>
    </row>
    <row r="811">
      <c r="M811" s="31"/>
      <c r="N811" s="31"/>
    </row>
    <row r="812">
      <c r="M812" s="31"/>
      <c r="N812" s="31"/>
    </row>
    <row r="813">
      <c r="M813" s="31"/>
      <c r="N813" s="31"/>
    </row>
    <row r="814">
      <c r="M814" s="31"/>
      <c r="N814" s="31"/>
    </row>
    <row r="815">
      <c r="M815" s="31"/>
      <c r="N815" s="31"/>
    </row>
    <row r="816">
      <c r="M816" s="31"/>
      <c r="N816" s="31"/>
    </row>
    <row r="817">
      <c r="M817" s="31"/>
      <c r="N817" s="31"/>
    </row>
    <row r="818">
      <c r="M818" s="31"/>
      <c r="N818" s="31"/>
    </row>
    <row r="819">
      <c r="M819" s="31"/>
      <c r="N819" s="31"/>
    </row>
    <row r="820">
      <c r="M820" s="31"/>
      <c r="N820" s="31"/>
    </row>
    <row r="821">
      <c r="M821" s="31"/>
      <c r="N821" s="31"/>
    </row>
    <row r="822">
      <c r="M822" s="31"/>
      <c r="N822" s="31"/>
    </row>
    <row r="823">
      <c r="M823" s="31"/>
      <c r="N823" s="31"/>
    </row>
    <row r="824">
      <c r="M824" s="31"/>
      <c r="N824" s="31"/>
    </row>
    <row r="825">
      <c r="M825" s="31"/>
      <c r="N825" s="31"/>
    </row>
    <row r="826">
      <c r="M826" s="31"/>
      <c r="N826" s="31"/>
    </row>
    <row r="827">
      <c r="M827" s="31"/>
      <c r="N827" s="31"/>
    </row>
    <row r="828">
      <c r="M828" s="31"/>
      <c r="N828" s="31"/>
    </row>
    <row r="829">
      <c r="M829" s="31"/>
      <c r="N829" s="31"/>
    </row>
    <row r="830">
      <c r="M830" s="31"/>
      <c r="N830" s="31"/>
    </row>
    <row r="831">
      <c r="M831" s="31"/>
      <c r="N831" s="31"/>
    </row>
    <row r="832">
      <c r="M832" s="31"/>
      <c r="N832" s="31"/>
    </row>
    <row r="833">
      <c r="M833" s="31"/>
      <c r="N833" s="31"/>
    </row>
    <row r="834">
      <c r="M834" s="31"/>
      <c r="N834" s="31"/>
    </row>
    <row r="835">
      <c r="M835" s="31"/>
      <c r="N835" s="31"/>
    </row>
    <row r="836">
      <c r="M836" s="31"/>
      <c r="N836" s="31"/>
    </row>
    <row r="837">
      <c r="M837" s="31"/>
      <c r="N837" s="31"/>
    </row>
    <row r="838">
      <c r="M838" s="31"/>
      <c r="N838" s="31"/>
    </row>
    <row r="839">
      <c r="M839" s="31"/>
      <c r="N839" s="31"/>
    </row>
    <row r="840">
      <c r="M840" s="31"/>
      <c r="N840" s="31"/>
    </row>
    <row r="841">
      <c r="M841" s="31"/>
      <c r="N841" s="31"/>
    </row>
    <row r="842">
      <c r="M842" s="31"/>
      <c r="N842" s="31"/>
    </row>
    <row r="843">
      <c r="M843" s="31"/>
      <c r="N843" s="31"/>
    </row>
    <row r="844">
      <c r="M844" s="31"/>
      <c r="N844" s="31"/>
    </row>
    <row r="845">
      <c r="M845" s="31"/>
      <c r="N845" s="31"/>
    </row>
    <row r="846">
      <c r="M846" s="31"/>
      <c r="N846" s="31"/>
    </row>
    <row r="847">
      <c r="M847" s="31"/>
      <c r="N847" s="31"/>
    </row>
    <row r="848">
      <c r="M848" s="31"/>
      <c r="N848" s="31"/>
    </row>
    <row r="849">
      <c r="M849" s="31"/>
      <c r="N849" s="31"/>
    </row>
    <row r="850">
      <c r="M850" s="31"/>
      <c r="N850" s="31"/>
    </row>
    <row r="851">
      <c r="M851" s="31"/>
      <c r="N851" s="31"/>
    </row>
    <row r="852">
      <c r="M852" s="31"/>
      <c r="N852" s="31"/>
    </row>
    <row r="853">
      <c r="M853" s="31"/>
      <c r="N853" s="31"/>
    </row>
    <row r="854">
      <c r="M854" s="31"/>
      <c r="N854" s="31"/>
    </row>
    <row r="855">
      <c r="M855" s="31"/>
      <c r="N855" s="31"/>
    </row>
    <row r="856">
      <c r="M856" s="31"/>
      <c r="N856" s="31"/>
    </row>
    <row r="857">
      <c r="M857" s="31"/>
      <c r="N857" s="31"/>
    </row>
    <row r="858">
      <c r="M858" s="31"/>
      <c r="N858" s="31"/>
    </row>
    <row r="859">
      <c r="M859" s="31"/>
      <c r="N859" s="31"/>
    </row>
    <row r="860">
      <c r="M860" s="31"/>
      <c r="N860" s="31"/>
    </row>
    <row r="861">
      <c r="M861" s="31"/>
      <c r="N861" s="31"/>
    </row>
    <row r="862">
      <c r="M862" s="31"/>
      <c r="N862" s="31"/>
    </row>
    <row r="863">
      <c r="M863" s="31"/>
      <c r="N863" s="31"/>
    </row>
    <row r="864">
      <c r="M864" s="31"/>
      <c r="N864" s="31"/>
    </row>
    <row r="865">
      <c r="M865" s="31"/>
      <c r="N865" s="31"/>
    </row>
    <row r="866">
      <c r="M866" s="31"/>
      <c r="N866" s="31"/>
    </row>
    <row r="867">
      <c r="M867" s="31"/>
      <c r="N867" s="31"/>
    </row>
    <row r="868">
      <c r="M868" s="31"/>
      <c r="N868" s="31"/>
    </row>
    <row r="869">
      <c r="M869" s="31"/>
      <c r="N869" s="31"/>
    </row>
    <row r="870">
      <c r="M870" s="31"/>
      <c r="N870" s="31"/>
    </row>
    <row r="871">
      <c r="M871" s="31"/>
      <c r="N871" s="31"/>
    </row>
    <row r="872">
      <c r="M872" s="31"/>
      <c r="N872" s="31"/>
    </row>
    <row r="873">
      <c r="M873" s="31"/>
      <c r="N873" s="31"/>
    </row>
    <row r="874">
      <c r="M874" s="31"/>
      <c r="N874" s="31"/>
    </row>
    <row r="875">
      <c r="M875" s="31"/>
      <c r="N875" s="31"/>
    </row>
    <row r="876">
      <c r="M876" s="31"/>
      <c r="N876" s="31"/>
    </row>
    <row r="877">
      <c r="M877" s="31"/>
      <c r="N877" s="31"/>
    </row>
    <row r="878">
      <c r="M878" s="31"/>
      <c r="N878" s="31"/>
    </row>
    <row r="879">
      <c r="M879" s="31"/>
      <c r="N879" s="31"/>
    </row>
    <row r="880">
      <c r="M880" s="31"/>
      <c r="N880" s="31"/>
    </row>
    <row r="881">
      <c r="M881" s="31"/>
      <c r="N881" s="31"/>
    </row>
    <row r="882">
      <c r="M882" s="31"/>
      <c r="N882" s="31"/>
    </row>
    <row r="883">
      <c r="M883" s="31"/>
      <c r="N883" s="31"/>
    </row>
    <row r="884">
      <c r="M884" s="31"/>
      <c r="N884" s="31"/>
    </row>
    <row r="885">
      <c r="M885" s="31"/>
      <c r="N885" s="31"/>
    </row>
    <row r="886">
      <c r="M886" s="31"/>
      <c r="N886" s="31"/>
    </row>
    <row r="887">
      <c r="M887" s="31"/>
      <c r="N887" s="31"/>
    </row>
    <row r="888">
      <c r="M888" s="31"/>
      <c r="N888" s="31"/>
    </row>
    <row r="889">
      <c r="M889" s="31"/>
      <c r="N889" s="31"/>
    </row>
    <row r="890">
      <c r="M890" s="31"/>
      <c r="N890" s="31"/>
    </row>
    <row r="891">
      <c r="M891" s="31"/>
      <c r="N891" s="31"/>
    </row>
    <row r="892">
      <c r="M892" s="31"/>
      <c r="N892" s="31"/>
    </row>
    <row r="893">
      <c r="M893" s="31"/>
      <c r="N893" s="31"/>
    </row>
    <row r="894">
      <c r="M894" s="31"/>
      <c r="N894" s="31"/>
    </row>
    <row r="895">
      <c r="M895" s="31"/>
      <c r="N895" s="31"/>
    </row>
    <row r="896">
      <c r="M896" s="31"/>
      <c r="N896" s="31"/>
    </row>
    <row r="897">
      <c r="M897" s="31"/>
      <c r="N897" s="31"/>
    </row>
    <row r="898">
      <c r="M898" s="31"/>
      <c r="N898" s="31"/>
    </row>
    <row r="899">
      <c r="M899" s="31"/>
      <c r="N899" s="31"/>
    </row>
    <row r="900">
      <c r="M900" s="31"/>
      <c r="N900" s="31"/>
    </row>
    <row r="901">
      <c r="M901" s="31"/>
      <c r="N901" s="31"/>
    </row>
    <row r="902">
      <c r="M902" s="31"/>
      <c r="N902" s="31"/>
    </row>
    <row r="903">
      <c r="M903" s="31"/>
      <c r="N903" s="31"/>
    </row>
    <row r="904">
      <c r="M904" s="31"/>
      <c r="N904" s="31"/>
    </row>
    <row r="905">
      <c r="M905" s="31"/>
      <c r="N905" s="31"/>
    </row>
    <row r="906">
      <c r="M906" s="31"/>
      <c r="N906" s="31"/>
    </row>
    <row r="907">
      <c r="M907" s="31"/>
      <c r="N907" s="31"/>
    </row>
    <row r="908">
      <c r="M908" s="31"/>
      <c r="N908" s="31"/>
    </row>
    <row r="909">
      <c r="M909" s="31"/>
      <c r="N909" s="31"/>
    </row>
    <row r="910">
      <c r="M910" s="31"/>
      <c r="N910" s="31"/>
    </row>
    <row r="911">
      <c r="M911" s="31"/>
      <c r="N911" s="31"/>
    </row>
    <row r="912">
      <c r="M912" s="31"/>
      <c r="N912" s="31"/>
    </row>
    <row r="913">
      <c r="M913" s="31"/>
      <c r="N913" s="31"/>
    </row>
    <row r="914">
      <c r="M914" s="31"/>
      <c r="N914" s="31"/>
    </row>
    <row r="915">
      <c r="M915" s="31"/>
      <c r="N915" s="31"/>
    </row>
    <row r="916">
      <c r="M916" s="31"/>
      <c r="N916" s="31"/>
    </row>
    <row r="917">
      <c r="M917" s="31"/>
      <c r="N917" s="31"/>
    </row>
    <row r="918">
      <c r="M918" s="31"/>
      <c r="N918" s="31"/>
    </row>
    <row r="919">
      <c r="M919" s="31"/>
      <c r="N919" s="31"/>
    </row>
    <row r="920">
      <c r="M920" s="31"/>
      <c r="N920" s="31"/>
    </row>
    <row r="921">
      <c r="M921" s="31"/>
      <c r="N921" s="31"/>
    </row>
    <row r="922">
      <c r="M922" s="31"/>
      <c r="N922" s="31"/>
    </row>
    <row r="923">
      <c r="M923" s="31"/>
      <c r="N923" s="31"/>
    </row>
    <row r="924">
      <c r="M924" s="31"/>
      <c r="N924" s="31"/>
    </row>
    <row r="925">
      <c r="M925" s="31"/>
      <c r="N925" s="31"/>
    </row>
    <row r="926">
      <c r="M926" s="31"/>
      <c r="N926" s="31"/>
    </row>
    <row r="927">
      <c r="M927" s="31"/>
      <c r="N927" s="31"/>
    </row>
    <row r="928">
      <c r="M928" s="31"/>
      <c r="N928" s="31"/>
    </row>
    <row r="929">
      <c r="M929" s="31"/>
      <c r="N929" s="31"/>
    </row>
    <row r="930">
      <c r="M930" s="31"/>
      <c r="N930" s="31"/>
    </row>
    <row r="931">
      <c r="M931" s="31"/>
      <c r="N931" s="31"/>
    </row>
    <row r="932">
      <c r="M932" s="31"/>
      <c r="N932" s="31"/>
    </row>
    <row r="933">
      <c r="M933" s="31"/>
      <c r="N933" s="31"/>
    </row>
    <row r="934">
      <c r="M934" s="31"/>
      <c r="N934" s="31"/>
    </row>
    <row r="935">
      <c r="M935" s="31"/>
      <c r="N935" s="31"/>
    </row>
    <row r="936">
      <c r="M936" s="31"/>
      <c r="N936" s="31"/>
    </row>
    <row r="937">
      <c r="M937" s="31"/>
      <c r="N937" s="31"/>
    </row>
    <row r="938">
      <c r="M938" s="31"/>
      <c r="N938" s="31"/>
    </row>
    <row r="939">
      <c r="M939" s="31"/>
      <c r="N939" s="31"/>
    </row>
    <row r="940">
      <c r="M940" s="31"/>
      <c r="N940" s="31"/>
    </row>
    <row r="941">
      <c r="M941" s="31"/>
      <c r="N941" s="31"/>
    </row>
    <row r="942">
      <c r="M942" s="31"/>
      <c r="N942" s="31"/>
    </row>
    <row r="943">
      <c r="M943" s="31"/>
      <c r="N943" s="31"/>
    </row>
    <row r="944">
      <c r="M944" s="31"/>
      <c r="N944" s="31"/>
    </row>
    <row r="945">
      <c r="M945" s="31"/>
      <c r="N945" s="31"/>
    </row>
    <row r="946">
      <c r="M946" s="31"/>
      <c r="N946" s="31"/>
    </row>
    <row r="947">
      <c r="M947" s="31"/>
      <c r="N947" s="31"/>
    </row>
    <row r="948">
      <c r="M948" s="31"/>
      <c r="N948" s="31"/>
    </row>
    <row r="949">
      <c r="M949" s="31"/>
      <c r="N949" s="31"/>
    </row>
    <row r="950">
      <c r="M950" s="31"/>
      <c r="N950" s="31"/>
    </row>
    <row r="951">
      <c r="M951" s="31"/>
      <c r="N951" s="31"/>
    </row>
    <row r="952">
      <c r="M952" s="31"/>
      <c r="N952" s="31"/>
    </row>
    <row r="953">
      <c r="M953" s="31"/>
      <c r="N953" s="31"/>
    </row>
    <row r="954">
      <c r="M954" s="31"/>
      <c r="N954" s="31"/>
    </row>
    <row r="955">
      <c r="M955" s="31"/>
      <c r="N955" s="31"/>
    </row>
    <row r="956">
      <c r="M956" s="31"/>
      <c r="N956" s="31"/>
    </row>
    <row r="957">
      <c r="M957" s="31"/>
      <c r="N957" s="31"/>
    </row>
    <row r="958">
      <c r="M958" s="31"/>
      <c r="N958" s="31"/>
    </row>
    <row r="959">
      <c r="M959" s="31"/>
      <c r="N959" s="31"/>
    </row>
    <row r="960">
      <c r="M960" s="31"/>
      <c r="N960" s="31"/>
    </row>
    <row r="961">
      <c r="M961" s="31"/>
      <c r="N961" s="31"/>
    </row>
    <row r="962">
      <c r="M962" s="31"/>
      <c r="N962" s="31"/>
    </row>
    <row r="963">
      <c r="M963" s="31"/>
      <c r="N963" s="31"/>
    </row>
    <row r="964">
      <c r="M964" s="31"/>
      <c r="N964" s="31"/>
    </row>
    <row r="965">
      <c r="M965" s="31"/>
      <c r="N965" s="31"/>
    </row>
    <row r="966">
      <c r="M966" s="31"/>
      <c r="N966" s="31"/>
    </row>
    <row r="967">
      <c r="M967" s="31"/>
      <c r="N967" s="31"/>
    </row>
    <row r="968">
      <c r="M968" s="31"/>
      <c r="N968" s="31"/>
    </row>
    <row r="969">
      <c r="M969" s="31"/>
      <c r="N969" s="31"/>
    </row>
    <row r="970">
      <c r="M970" s="31"/>
      <c r="N970" s="31"/>
    </row>
    <row r="971">
      <c r="M971" s="31"/>
      <c r="N971" s="31"/>
    </row>
    <row r="972">
      <c r="M972" s="31"/>
      <c r="N972" s="31"/>
    </row>
    <row r="973">
      <c r="M973" s="31"/>
      <c r="N973" s="31"/>
    </row>
    <row r="974">
      <c r="M974" s="31"/>
      <c r="N974" s="31"/>
    </row>
    <row r="975">
      <c r="M975" s="31"/>
      <c r="N975" s="31"/>
    </row>
    <row r="976">
      <c r="M976" s="31"/>
      <c r="N976" s="31"/>
    </row>
    <row r="977">
      <c r="M977" s="31"/>
      <c r="N977" s="31"/>
    </row>
    <row r="978">
      <c r="M978" s="31"/>
      <c r="N978" s="31"/>
    </row>
    <row r="979">
      <c r="M979" s="31"/>
      <c r="N979" s="31"/>
    </row>
    <row r="980">
      <c r="M980" s="31"/>
      <c r="N980" s="31"/>
    </row>
    <row r="981">
      <c r="M981" s="31"/>
      <c r="N981" s="31"/>
    </row>
    <row r="982">
      <c r="M982" s="31"/>
      <c r="N982" s="31"/>
    </row>
    <row r="983">
      <c r="M983" s="31"/>
      <c r="N983" s="31"/>
    </row>
    <row r="984">
      <c r="M984" s="31"/>
      <c r="N984" s="31"/>
    </row>
    <row r="985">
      <c r="M985" s="31"/>
      <c r="N985" s="31"/>
    </row>
    <row r="986">
      <c r="M986" s="31"/>
      <c r="N986" s="31"/>
    </row>
    <row r="987">
      <c r="M987" s="31"/>
      <c r="N987" s="31"/>
    </row>
    <row r="988">
      <c r="M988" s="31"/>
      <c r="N988" s="31"/>
    </row>
    <row r="989">
      <c r="M989" s="31"/>
      <c r="N989" s="31"/>
    </row>
    <row r="990">
      <c r="M990" s="31"/>
      <c r="N990" s="31"/>
    </row>
    <row r="991">
      <c r="M991" s="31"/>
      <c r="N991" s="31"/>
    </row>
    <row r="992">
      <c r="M992" s="31"/>
      <c r="N992" s="31"/>
    </row>
    <row r="993">
      <c r="M993" s="31"/>
      <c r="N993" s="31"/>
    </row>
    <row r="994">
      <c r="M994" s="31"/>
      <c r="N994" s="31"/>
    </row>
    <row r="995">
      <c r="M995" s="31"/>
      <c r="N995" s="31"/>
    </row>
    <row r="996">
      <c r="M996" s="31"/>
      <c r="N996" s="31"/>
    </row>
    <row r="997">
      <c r="M997" s="31"/>
      <c r="N997" s="31"/>
    </row>
    <row r="998">
      <c r="M998" s="31"/>
      <c r="N998" s="31"/>
    </row>
    <row r="999">
      <c r="M999" s="31"/>
      <c r="N999" s="31"/>
    </row>
  </sheetData>
  <mergeCells count="5">
    <mergeCell ref="A1:A2"/>
    <mergeCell ref="B1:B2"/>
    <mergeCell ref="C1:C2"/>
    <mergeCell ref="D1:D2"/>
    <mergeCell ref="E1:E2"/>
  </mergeCells>
  <conditionalFormatting sqref="F3:G37 H3:AW38 AX3:BA31 AX35:AY35 G39">
    <cfRule type="cellIs" dxfId="3" priority="1" operator="equal">
      <formula>1</formula>
    </cfRule>
  </conditionalFormatting>
  <conditionalFormatting sqref="F3:G37 H3:AW38 AX8:AY8 AX35:AY35 AX37:BA37 G39">
    <cfRule type="cellIs" dxfId="4" priority="2" operator="equal">
      <formula>"R"</formula>
    </cfRule>
  </conditionalFormatting>
  <conditionalFormatting sqref="B3:B31 C3:C38 B37">
    <cfRule type="cellIs" dxfId="5" priority="3" operator="greaterThanOrEqual">
      <formula>3</formula>
    </cfRule>
  </conditionalFormatting>
  <conditionalFormatting sqref="B3:B24 B26:B31 B37">
    <cfRule type="cellIs" dxfId="6" priority="4" operator="lessThan">
      <formula>1</formula>
    </cfRule>
  </conditionalFormatting>
  <conditionalFormatting sqref="B3:B32 C3:C41 B37">
    <cfRule type="cellIs" dxfId="7" priority="5" operator="equal">
      <formula>0</formula>
    </cfRule>
  </conditionalFormatting>
  <conditionalFormatting sqref="B3:B31 C3:C38 B37">
    <cfRule type="cellIs" dxfId="8" priority="6" operator="lessThan">
      <formula>2</formula>
    </cfRule>
  </conditionalFormatting>
  <conditionalFormatting sqref="B3:B31 C3:C38 B37">
    <cfRule type="cellIs" dxfId="9" priority="7" operator="lessThan">
      <formula>3</formula>
    </cfRule>
  </conditionalFormatting>
  <conditionalFormatting sqref="B3:B32 C3:C41 B37">
    <cfRule type="containsBlanks" dxfId="6" priority="8">
      <formula>LEN(TRIM(B3))=0</formula>
    </cfRule>
  </conditionalFormatting>
  <conditionalFormatting sqref="F3:G37 H3:AW38 AX8:AY8 AX35:AY35 AX37:BA37 G39">
    <cfRule type="cellIs" dxfId="10" priority="9" operator="equal">
      <formula>"R2"</formula>
    </cfRule>
  </conditionalFormatting>
  <conditionalFormatting sqref="F38:F41 G39:BA41">
    <cfRule type="cellIs" dxfId="7" priority="10" operator="lessThan">
      <formula>1</formula>
    </cfRule>
  </conditionalFormatting>
  <conditionalFormatting sqref="F39 G39:G40 H39:BA39">
    <cfRule type="cellIs" dxfId="3" priority="11" operator="equal">
      <formula>1</formula>
    </cfRule>
  </conditionalFormatting>
  <conditionalFormatting sqref="F38:F41 G39:BA41">
    <cfRule type="cellIs" dxfId="11" priority="12" operator="greaterThan">
      <formula>1</formula>
    </cfRule>
  </conditionalFormatting>
  <conditionalFormatting sqref="D3:E41">
    <cfRule type="cellIs" dxfId="9" priority="13" operator="equal">
      <formula>1</formula>
    </cfRule>
  </conditionalFormatting>
  <conditionalFormatting sqref="F4:AS5 F25:O25 AH25:BA25 AF31:AF36 F33:AE36 AG33:AH36 AI33:AI34 AJ33:BA36 F38:BA41">
    <cfRule type="cellIs" dxfId="7" priority="14" operator="lessThan">
      <formula>1</formula>
    </cfRule>
  </conditionalFormatting>
  <conditionalFormatting sqref="F4:AS5 F25:O25 AH25:BA25 AF31:AF36 F33:AE36 AG33:AH36 AI33:AI34 AJ33:BA36 F38:BA41">
    <cfRule type="cellIs" dxfId="12" priority="15" operator="equal">
      <formula>1</formula>
    </cfRule>
  </conditionalFormatting>
  <conditionalFormatting sqref="F4:AS5 F25:O25 AH25:BA25 AF31:AF36 F33:AE36 AG33:AH36 AI33:AI34 AJ33:BA36 F38:BA41">
    <cfRule type="cellIs" dxfId="11" priority="16" operator="greaterThan">
      <formula>1</formula>
    </cfRule>
  </conditionalFormatting>
  <conditionalFormatting sqref="D3:D41 E3:E38">
    <cfRule type="cellIs" dxfId="7" priority="17" operator="equal">
      <formula>0</formula>
    </cfRule>
  </conditionalFormatting>
  <conditionalFormatting sqref="D3:D41 E3:E38">
    <cfRule type="cellIs" dxfId="4" priority="18" operator="equal">
      <formula>2</formula>
    </cfRule>
  </conditionalFormatting>
  <conditionalFormatting sqref="E3:E41">
    <cfRule type="cellIs" dxfId="7" priority="19" operator="equal">
      <formula>0</formula>
    </cfRule>
  </conditionalFormatting>
  <conditionalFormatting sqref="E3:E41">
    <cfRule type="cellIs" dxfId="4" priority="20" operator="greaterThanOrEqual">
      <formula>2</formula>
    </cfRule>
  </conditionalFormatting>
  <conditionalFormatting sqref="C44">
    <cfRule type="notContainsBlanks" dxfId="3" priority="21">
      <formula>LEN(TRIM(C44))&gt;0</formula>
    </cfRule>
  </conditionalFormatting>
  <conditionalFormatting sqref="AT2:BA2">
    <cfRule type="containsText" dxfId="13" priority="22" operator="containsText" text="(PAM)">
      <formula>NOT(ISERROR(SEARCH(("(PAM)"),(AT2))))</formula>
    </cfRule>
  </conditionalFormatting>
  <conditionalFormatting sqref="AT2:BA2">
    <cfRule type="containsText" dxfId="13" priority="23" operator="containsText" text="(PPM)">
      <formula>NOT(ISERROR(SEARCH(("(PPM)"),(AT2))))</formula>
    </cfRule>
  </conditionalFormatting>
  <conditionalFormatting sqref="F2:BA2">
    <cfRule type="containsText" dxfId="13" priority="24" operator="containsText" text="PAM">
      <formula>NOT(ISERROR(SEARCH(("PAM"),(F2))))</formula>
    </cfRule>
  </conditionalFormatting>
  <conditionalFormatting sqref="F2:BA2">
    <cfRule type="containsText" dxfId="13" priority="25" operator="containsText" text="PPM">
      <formula>NOT(ISERROR(SEARCH(("PPM"),(F2))))</formula>
    </cfRule>
  </conditionalFormatting>
  <conditionalFormatting sqref="F2:BA2">
    <cfRule type="containsText" dxfId="11" priority="26" operator="containsText" text="(AM)">
      <formula>NOT(ISERROR(SEARCH(("(AM)"),(F2))))</formula>
    </cfRule>
  </conditionalFormatting>
  <conditionalFormatting sqref="F2:BA2">
    <cfRule type="containsText" dxfId="7" priority="27" operator="containsText" text="(PM)">
      <formula>NOT(ISERROR(SEARCH(("(PM)"),(F2))))</formula>
    </cfRule>
  </conditionalFormatting>
  <conditionalFormatting sqref="F2:BA2">
    <cfRule type="notContainsText" dxfId="15" priority="28" operator="notContains" text="(AM)">
      <formula>ISERROR(SEARCH(("(AM)"),(F2)))</formula>
    </cfRule>
  </conditionalFormatting>
  <conditionalFormatting sqref="F2:BA2">
    <cfRule type="notContainsText" dxfId="15" priority="29" operator="notContains" text="(PM)">
      <formula>ISERROR(SEARCH(("(PM)"),(F2)))</formula>
    </cfRule>
  </conditionalFormatting>
  <conditionalFormatting sqref="F2:BA2">
    <cfRule type="notContainsText" dxfId="15" priority="30" operator="notContains" text="(PM)">
      <formula>ISERROR(SEARCH(("(PM)"),(F2)))</formula>
    </cfRule>
  </conditionalFormatting>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26.75"/>
    <col customWidth="1" hidden="1" min="2" max="2" width="11.38"/>
    <col customWidth="1" min="3" max="3" width="3.75"/>
    <col customWidth="1" min="4" max="4" width="2.5"/>
    <col customWidth="1" min="5" max="5" width="2.88"/>
    <col customWidth="1" min="6" max="15" width="8.63"/>
    <col customWidth="1" min="16" max="16" width="8.25"/>
    <col customWidth="1" min="17" max="43" width="8.63"/>
    <col customWidth="1" hidden="1" min="44" max="49" width="9.5"/>
  </cols>
  <sheetData>
    <row r="1" ht="25.5" customHeight="1">
      <c r="A1" s="1" t="s">
        <v>0</v>
      </c>
      <c r="B1" s="1" t="s">
        <v>1</v>
      </c>
      <c r="C1" s="1" t="s">
        <v>2</v>
      </c>
      <c r="D1" s="1" t="s">
        <v>3</v>
      </c>
      <c r="E1" s="1" t="s">
        <v>4</v>
      </c>
      <c r="F1" s="2" t="s">
        <v>423</v>
      </c>
      <c r="G1" s="2" t="s">
        <v>423</v>
      </c>
      <c r="H1" s="2" t="s">
        <v>424</v>
      </c>
      <c r="I1" s="2" t="s">
        <v>425</v>
      </c>
      <c r="J1" s="2" t="s">
        <v>426</v>
      </c>
      <c r="K1" s="2" t="s">
        <v>427</v>
      </c>
      <c r="L1" s="2" t="s">
        <v>420</v>
      </c>
      <c r="M1" s="2" t="s">
        <v>422</v>
      </c>
      <c r="N1" s="2" t="s">
        <v>422</v>
      </c>
      <c r="O1" s="2" t="s">
        <v>423</v>
      </c>
      <c r="P1" s="2" t="s">
        <v>423</v>
      </c>
      <c r="Q1" s="2" t="s">
        <v>424</v>
      </c>
      <c r="R1" s="2" t="s">
        <v>425</v>
      </c>
      <c r="S1" s="2" t="s">
        <v>426</v>
      </c>
      <c r="T1" s="2" t="s">
        <v>427</v>
      </c>
      <c r="U1" s="2" t="s">
        <v>420</v>
      </c>
      <c r="V1" s="2" t="s">
        <v>422</v>
      </c>
      <c r="W1" s="2" t="s">
        <v>422</v>
      </c>
      <c r="X1" s="2" t="s">
        <v>423</v>
      </c>
      <c r="Y1" s="2" t="s">
        <v>423</v>
      </c>
      <c r="Z1" s="2" t="s">
        <v>424</v>
      </c>
      <c r="AA1" s="2" t="s">
        <v>425</v>
      </c>
      <c r="AB1" s="2" t="s">
        <v>425</v>
      </c>
      <c r="AC1" s="2" t="s">
        <v>426</v>
      </c>
      <c r="AD1" s="2" t="s">
        <v>426</v>
      </c>
      <c r="AE1" s="2" t="s">
        <v>427</v>
      </c>
      <c r="AF1" s="2" t="s">
        <v>420</v>
      </c>
      <c r="AG1" s="2" t="s">
        <v>422</v>
      </c>
      <c r="AH1" s="2" t="s">
        <v>422</v>
      </c>
      <c r="AI1" s="2" t="s">
        <v>423</v>
      </c>
      <c r="AJ1" s="2" t="s">
        <v>423</v>
      </c>
      <c r="AK1" s="2" t="s">
        <v>424</v>
      </c>
      <c r="AL1" s="2" t="s">
        <v>425</v>
      </c>
      <c r="AM1" s="2" t="s">
        <v>426</v>
      </c>
      <c r="AN1" s="2" t="s">
        <v>427</v>
      </c>
      <c r="AO1" s="2" t="s">
        <v>420</v>
      </c>
      <c r="AP1" s="2" t="s">
        <v>422</v>
      </c>
      <c r="AQ1" s="2" t="s">
        <v>422</v>
      </c>
      <c r="AR1" s="54" t="s">
        <v>423</v>
      </c>
      <c r="AS1" s="54" t="s">
        <v>424</v>
      </c>
      <c r="AT1" s="54" t="s">
        <v>425</v>
      </c>
      <c r="AU1" s="55" t="s">
        <v>8</v>
      </c>
      <c r="AV1" s="55" t="s">
        <v>7</v>
      </c>
      <c r="AW1" s="55" t="s">
        <v>8</v>
      </c>
    </row>
    <row r="2" ht="25.5" customHeight="1">
      <c r="F2" s="88" t="s">
        <v>652</v>
      </c>
      <c r="G2" s="88" t="s">
        <v>653</v>
      </c>
      <c r="H2" s="153">
        <v>46055.0</v>
      </c>
      <c r="I2" s="153">
        <v>46056.0</v>
      </c>
      <c r="J2" s="153">
        <v>46057.0</v>
      </c>
      <c r="K2" s="153">
        <v>46058.0</v>
      </c>
      <c r="L2" s="153">
        <v>46059.0</v>
      </c>
      <c r="M2" s="88" t="s">
        <v>654</v>
      </c>
      <c r="N2" s="88" t="s">
        <v>655</v>
      </c>
      <c r="O2" s="88" t="s">
        <v>656</v>
      </c>
      <c r="P2" s="88" t="s">
        <v>657</v>
      </c>
      <c r="Q2" s="87">
        <v>46062.0</v>
      </c>
      <c r="R2" s="87">
        <v>46063.0</v>
      </c>
      <c r="S2" s="87">
        <v>46064.0</v>
      </c>
      <c r="T2" s="87">
        <v>46065.0</v>
      </c>
      <c r="U2" s="87">
        <v>46066.0</v>
      </c>
      <c r="V2" s="88" t="s">
        <v>658</v>
      </c>
      <c r="W2" s="88" t="s">
        <v>659</v>
      </c>
      <c r="X2" s="88" t="s">
        <v>660</v>
      </c>
      <c r="Y2" s="88" t="s">
        <v>661</v>
      </c>
      <c r="Z2" s="87">
        <v>46069.0</v>
      </c>
      <c r="AA2" s="88" t="s">
        <v>662</v>
      </c>
      <c r="AB2" s="88" t="s">
        <v>663</v>
      </c>
      <c r="AC2" s="88" t="s">
        <v>664</v>
      </c>
      <c r="AD2" s="88" t="s">
        <v>665</v>
      </c>
      <c r="AE2" s="153">
        <v>46072.0</v>
      </c>
      <c r="AF2" s="87">
        <v>46073.0</v>
      </c>
      <c r="AG2" s="88" t="s">
        <v>666</v>
      </c>
      <c r="AH2" s="88" t="s">
        <v>667</v>
      </c>
      <c r="AI2" s="88" t="s">
        <v>668</v>
      </c>
      <c r="AJ2" s="88" t="s">
        <v>669</v>
      </c>
      <c r="AK2" s="87">
        <v>46076.0</v>
      </c>
      <c r="AL2" s="87">
        <v>46077.0</v>
      </c>
      <c r="AM2" s="87">
        <v>46078.0</v>
      </c>
      <c r="AN2" s="87">
        <v>46079.0</v>
      </c>
      <c r="AO2" s="87">
        <v>46080.0</v>
      </c>
      <c r="AP2" s="88" t="s">
        <v>670</v>
      </c>
      <c r="AQ2" s="88" t="s">
        <v>671</v>
      </c>
      <c r="AR2" s="51"/>
      <c r="AS2" s="51"/>
      <c r="AT2" s="51" t="s">
        <v>252</v>
      </c>
      <c r="AU2" s="51" t="s">
        <v>253</v>
      </c>
      <c r="AV2" s="51" t="s">
        <v>252</v>
      </c>
      <c r="AW2" s="51" t="s">
        <v>253</v>
      </c>
    </row>
    <row r="3">
      <c r="A3" s="146" t="s">
        <v>626</v>
      </c>
      <c r="B3" s="40">
        <f t="shared" ref="B3:B8" si="1">SUM(C3:D3)</f>
        <v>2</v>
      </c>
      <c r="C3" s="10">
        <f t="shared" ref="C3:C27" si="2">SUM(F3:AQ3)</f>
        <v>1</v>
      </c>
      <c r="D3" s="11">
        <f t="array" ref="D3">SUM(IF(F3:AQ3="R",1,0))</f>
        <v>1</v>
      </c>
      <c r="E3" s="11">
        <f t="array" ref="E3">SUM(IF(F3:AQ3="R2",1,0))</f>
        <v>2</v>
      </c>
      <c r="F3" s="91"/>
      <c r="G3" s="91"/>
      <c r="H3" s="91"/>
      <c r="I3" s="91"/>
      <c r="J3" s="91"/>
      <c r="K3" s="90" t="s">
        <v>40</v>
      </c>
      <c r="L3" s="91"/>
      <c r="M3" s="91"/>
      <c r="N3" s="91"/>
      <c r="O3" s="91"/>
      <c r="P3" s="91"/>
      <c r="Q3" s="91"/>
      <c r="R3" s="90" t="s">
        <v>39</v>
      </c>
      <c r="S3" s="91"/>
      <c r="T3" s="91"/>
      <c r="U3" s="91"/>
      <c r="V3" s="91"/>
      <c r="W3" s="91"/>
      <c r="X3" s="91"/>
      <c r="Y3" s="91"/>
      <c r="Z3" s="90">
        <v>1.0</v>
      </c>
      <c r="AA3" s="91"/>
      <c r="AB3" s="91"/>
      <c r="AC3" s="91"/>
      <c r="AD3" s="91"/>
      <c r="AE3" s="91"/>
      <c r="AF3" s="91"/>
      <c r="AG3" s="91"/>
      <c r="AH3" s="91"/>
      <c r="AI3" s="91"/>
      <c r="AJ3" s="91"/>
      <c r="AK3" s="91"/>
      <c r="AL3" s="91"/>
      <c r="AM3" s="91"/>
      <c r="AN3" s="90" t="s">
        <v>40</v>
      </c>
      <c r="AO3" s="91"/>
      <c r="AP3" s="91"/>
      <c r="AQ3" s="91"/>
    </row>
    <row r="4">
      <c r="A4" s="25" t="s">
        <v>501</v>
      </c>
      <c r="B4" s="10">
        <f t="shared" si="1"/>
        <v>2</v>
      </c>
      <c r="C4" s="10">
        <f t="shared" si="2"/>
        <v>1</v>
      </c>
      <c r="D4" s="11">
        <f t="array" ref="D4">SUM(IF(F4:AQ4="R",1,0))</f>
        <v>1</v>
      </c>
      <c r="E4" s="11">
        <f t="array" ref="E4">SUM(IF(F4:AQ4="R2",1,0))</f>
        <v>2</v>
      </c>
      <c r="F4" s="91"/>
      <c r="G4" s="91"/>
      <c r="H4" s="91"/>
      <c r="I4" s="91"/>
      <c r="J4" s="90" t="s">
        <v>40</v>
      </c>
      <c r="K4" s="91"/>
      <c r="L4" s="91"/>
      <c r="M4" s="91"/>
      <c r="N4" s="91"/>
      <c r="O4" s="91"/>
      <c r="P4" s="91"/>
      <c r="Q4" s="91"/>
      <c r="R4" s="91"/>
      <c r="S4" s="91"/>
      <c r="T4" s="23"/>
      <c r="U4" s="91"/>
      <c r="V4" s="91"/>
      <c r="W4" s="91"/>
      <c r="X4" s="91"/>
      <c r="Y4" s="91"/>
      <c r="Z4" s="91"/>
      <c r="AA4" s="91"/>
      <c r="AB4" s="91"/>
      <c r="AC4" s="91"/>
      <c r="AD4" s="91"/>
      <c r="AE4" s="91"/>
      <c r="AF4" s="90" t="s">
        <v>40</v>
      </c>
      <c r="AG4" s="91"/>
      <c r="AH4" s="91"/>
      <c r="AI4" s="91"/>
      <c r="AJ4" s="91"/>
      <c r="AK4" s="91"/>
      <c r="AL4" s="90" t="s">
        <v>39</v>
      </c>
      <c r="AM4" s="91"/>
      <c r="AN4" s="23">
        <v>1.0</v>
      </c>
      <c r="AO4" s="91"/>
      <c r="AP4" s="91"/>
      <c r="AQ4" s="91"/>
    </row>
    <row r="5">
      <c r="A5" s="25" t="s">
        <v>502</v>
      </c>
      <c r="B5" s="10">
        <f t="shared" si="1"/>
        <v>2</v>
      </c>
      <c r="C5" s="10">
        <f t="shared" si="2"/>
        <v>1</v>
      </c>
      <c r="D5" s="11">
        <f t="array" ref="D5">SUM(IF(F5:AQ5="R",1,0))</f>
        <v>1</v>
      </c>
      <c r="E5" s="11">
        <f t="array" ref="E5">SUM(IF(F5:AQ5="R2",1,0))</f>
        <v>1</v>
      </c>
      <c r="F5" s="91"/>
      <c r="G5" s="91"/>
      <c r="H5" s="23" t="s">
        <v>40</v>
      </c>
      <c r="I5" s="73"/>
      <c r="J5" s="73"/>
      <c r="K5" s="73"/>
      <c r="L5" s="73"/>
      <c r="M5" s="91"/>
      <c r="N5" s="91"/>
      <c r="O5" s="91"/>
      <c r="P5" s="91"/>
      <c r="Q5" s="154"/>
      <c r="R5" s="23"/>
      <c r="S5" s="154"/>
      <c r="T5" s="23" t="s">
        <v>39</v>
      </c>
      <c r="U5" s="91"/>
      <c r="V5" s="91"/>
      <c r="W5" s="91"/>
      <c r="X5" s="91"/>
      <c r="Y5" s="91"/>
      <c r="Z5" s="43"/>
      <c r="AA5" s="43"/>
      <c r="AB5" s="43"/>
      <c r="AC5" s="43"/>
      <c r="AD5" s="43"/>
      <c r="AE5" s="43"/>
      <c r="AF5" s="43"/>
      <c r="AG5" s="91"/>
      <c r="AH5" s="91"/>
      <c r="AI5" s="91"/>
      <c r="AJ5" s="91"/>
      <c r="AK5" s="23"/>
      <c r="AL5" s="23">
        <v>1.0</v>
      </c>
      <c r="AM5" s="154"/>
      <c r="AN5" s="23"/>
      <c r="AO5" s="91"/>
      <c r="AP5" s="91"/>
      <c r="AQ5" s="91"/>
    </row>
    <row r="6">
      <c r="A6" s="14" t="s">
        <v>503</v>
      </c>
      <c r="B6" s="10">
        <f t="shared" si="1"/>
        <v>2</v>
      </c>
      <c r="C6" s="10">
        <f t="shared" si="2"/>
        <v>1</v>
      </c>
      <c r="D6" s="11">
        <f t="array" ref="D6">SUM(IF(F6:AQ6="R",1,0))</f>
        <v>1</v>
      </c>
      <c r="E6" s="11">
        <f t="array" ref="E6">SUM(IF(F6:AQ6="R2",1,0))</f>
        <v>1</v>
      </c>
      <c r="F6" s="91"/>
      <c r="G6" s="91"/>
      <c r="H6" s="155"/>
      <c r="I6" s="155"/>
      <c r="J6" s="23">
        <v>1.0</v>
      </c>
      <c r="K6" s="154"/>
      <c r="L6" s="43"/>
      <c r="M6" s="91"/>
      <c r="N6" s="91"/>
      <c r="O6" s="90"/>
      <c r="P6" s="90"/>
      <c r="Q6" s="23"/>
      <c r="R6" s="154"/>
      <c r="S6" s="43"/>
      <c r="T6" s="154"/>
      <c r="U6" s="154"/>
      <c r="V6" s="91"/>
      <c r="W6" s="91"/>
      <c r="X6" s="91"/>
      <c r="Y6" s="90"/>
      <c r="Z6" s="43"/>
      <c r="AA6" s="43"/>
      <c r="AB6" s="43"/>
      <c r="AC6" s="43"/>
      <c r="AD6" s="43"/>
      <c r="AE6" s="23" t="s">
        <v>39</v>
      </c>
      <c r="AF6" s="154"/>
      <c r="AG6" s="90"/>
      <c r="AH6" s="91"/>
      <c r="AI6" s="90"/>
      <c r="AJ6" s="91"/>
      <c r="AK6" s="154"/>
      <c r="AL6" s="43"/>
      <c r="AM6" s="154"/>
      <c r="AN6" s="154"/>
      <c r="AO6" s="155"/>
      <c r="AP6" s="91"/>
      <c r="AQ6" s="90" t="s">
        <v>40</v>
      </c>
    </row>
    <row r="7">
      <c r="A7" s="14" t="s">
        <v>504</v>
      </c>
      <c r="B7" s="10">
        <f t="shared" si="1"/>
        <v>2</v>
      </c>
      <c r="C7" s="10">
        <f t="shared" si="2"/>
        <v>1</v>
      </c>
      <c r="D7" s="11">
        <f t="array" ref="D7">SUM(IF(F7:AQ7="R",1,0))</f>
        <v>1</v>
      </c>
      <c r="E7" s="11">
        <f t="array" ref="E7">SUM(IF(F7:AQ7="R2",1,0))</f>
        <v>1</v>
      </c>
      <c r="F7" s="91"/>
      <c r="G7" s="91"/>
      <c r="H7" s="90"/>
      <c r="I7" s="23">
        <v>1.0</v>
      </c>
      <c r="J7" s="73"/>
      <c r="K7" s="73"/>
      <c r="L7" s="73"/>
      <c r="M7" s="73"/>
      <c r="N7" s="73"/>
      <c r="O7" s="155"/>
      <c r="P7" s="73"/>
      <c r="Q7" s="73"/>
      <c r="R7" s="154"/>
      <c r="S7" s="23"/>
      <c r="T7" s="91"/>
      <c r="U7" s="73"/>
      <c r="V7" s="43"/>
      <c r="W7" s="43"/>
      <c r="X7" s="43"/>
      <c r="Y7" s="43"/>
      <c r="Z7" s="16"/>
      <c r="AA7" s="43"/>
      <c r="AB7" s="43"/>
      <c r="AC7" s="43"/>
      <c r="AD7" s="43"/>
      <c r="AE7" s="91"/>
      <c r="AF7" s="90"/>
      <c r="AG7" s="91"/>
      <c r="AH7" s="90"/>
      <c r="AI7" s="90"/>
      <c r="AJ7" s="90"/>
      <c r="AK7" s="43"/>
      <c r="AL7" s="43"/>
      <c r="AM7" s="23" t="s">
        <v>40</v>
      </c>
      <c r="AN7" s="91"/>
      <c r="AO7" s="91"/>
      <c r="AP7" s="91"/>
      <c r="AQ7" s="90" t="s">
        <v>39</v>
      </c>
    </row>
    <row r="8">
      <c r="A8" s="122" t="s">
        <v>505</v>
      </c>
      <c r="B8" s="10">
        <f t="shared" si="1"/>
        <v>3</v>
      </c>
      <c r="C8" s="10">
        <f t="shared" si="2"/>
        <v>1</v>
      </c>
      <c r="D8" s="11">
        <f t="array" ref="D8">SUM(IF(F8:AQ8="R",1,0))</f>
        <v>2</v>
      </c>
      <c r="E8" s="11">
        <f t="array" ref="E8">SUM(IF(F8:AQ8="R2",1,0))</f>
        <v>1</v>
      </c>
      <c r="F8" s="91"/>
      <c r="G8" s="91"/>
      <c r="H8" s="90"/>
      <c r="I8" s="90"/>
      <c r="J8" s="90" t="s">
        <v>39</v>
      </c>
      <c r="K8" s="91"/>
      <c r="L8" s="91"/>
      <c r="M8" s="91"/>
      <c r="N8" s="91"/>
      <c r="O8" s="91"/>
      <c r="P8" s="91"/>
      <c r="Q8" s="90"/>
      <c r="R8" s="91"/>
      <c r="S8" s="91"/>
      <c r="T8" s="91"/>
      <c r="U8" s="91"/>
      <c r="V8" s="91"/>
      <c r="W8" s="91"/>
      <c r="X8" s="91"/>
      <c r="Y8" s="91"/>
      <c r="Z8" s="91"/>
      <c r="AA8" s="91"/>
      <c r="AB8" s="91"/>
      <c r="AC8" s="91"/>
      <c r="AD8" s="90" t="s">
        <v>39</v>
      </c>
      <c r="AE8" s="90"/>
      <c r="AF8" s="90"/>
      <c r="AG8" s="91"/>
      <c r="AH8" s="91"/>
      <c r="AI8" s="90" t="s">
        <v>40</v>
      </c>
      <c r="AJ8" s="91"/>
      <c r="AK8" s="91"/>
      <c r="AL8" s="91"/>
      <c r="AM8" s="91"/>
      <c r="AN8" s="91"/>
      <c r="AO8" s="91"/>
      <c r="AP8" s="91"/>
      <c r="AQ8" s="90">
        <v>1.0</v>
      </c>
    </row>
    <row r="9">
      <c r="A9" s="27" t="s">
        <v>672</v>
      </c>
      <c r="B9" s="10"/>
      <c r="C9" s="10">
        <f t="shared" si="2"/>
        <v>1</v>
      </c>
      <c r="D9" s="11">
        <f t="array" ref="D9">SUM(IF(F9:AQ9="R",1,0))</f>
        <v>1</v>
      </c>
      <c r="E9" s="11">
        <f t="array" ref="E9">SUM(IF(F9:AQ9="R2",1,0))</f>
        <v>2</v>
      </c>
      <c r="F9" s="90"/>
      <c r="G9" s="90"/>
      <c r="H9" s="90" t="s">
        <v>39</v>
      </c>
      <c r="I9" s="90"/>
      <c r="J9" s="43"/>
      <c r="K9" s="43"/>
      <c r="L9" s="91"/>
      <c r="M9" s="91"/>
      <c r="N9" s="91"/>
      <c r="O9" s="91"/>
      <c r="P9" s="91"/>
      <c r="Q9" s="23">
        <v>1.0</v>
      </c>
      <c r="R9" s="91"/>
      <c r="S9" s="91"/>
      <c r="T9" s="16"/>
      <c r="U9" s="16"/>
      <c r="V9" s="16"/>
      <c r="W9" s="21"/>
      <c r="X9" s="16"/>
      <c r="Y9" s="21"/>
      <c r="Z9" s="16"/>
      <c r="AA9" s="16"/>
      <c r="AB9" s="16"/>
      <c r="AC9" s="16"/>
      <c r="AD9" s="16"/>
      <c r="AE9" s="16"/>
      <c r="AF9" s="16"/>
      <c r="AG9" s="90"/>
      <c r="AH9" s="90"/>
      <c r="AI9" s="91"/>
      <c r="AJ9" s="91"/>
      <c r="AK9" s="90" t="s">
        <v>40</v>
      </c>
      <c r="AL9" s="154"/>
      <c r="AM9" s="23"/>
      <c r="AN9" s="154"/>
      <c r="AO9" s="90" t="s">
        <v>40</v>
      </c>
      <c r="AP9" s="90"/>
      <c r="AQ9" s="91"/>
    </row>
    <row r="10">
      <c r="A10" s="125" t="s">
        <v>586</v>
      </c>
      <c r="B10" s="10">
        <f>SUM(C10:D10)</f>
        <v>2</v>
      </c>
      <c r="C10" s="10">
        <f t="shared" si="2"/>
        <v>1</v>
      </c>
      <c r="D10" s="11">
        <f t="array" ref="D10">SUM(IF(F10:AQ10="R",1,0))</f>
        <v>1</v>
      </c>
      <c r="E10" s="11">
        <f t="array" ref="E10">SUM(IF(F10:AQ10="R2",1,0))</f>
        <v>2</v>
      </c>
      <c r="F10" s="91"/>
      <c r="G10" s="91"/>
      <c r="H10" s="91"/>
      <c r="I10" s="91"/>
      <c r="J10" s="91"/>
      <c r="K10" s="90">
        <v>1.0</v>
      </c>
      <c r="L10" s="91"/>
      <c r="M10" s="91"/>
      <c r="N10" s="91"/>
      <c r="O10" s="91"/>
      <c r="P10" s="90" t="s">
        <v>40</v>
      </c>
      <c r="Q10" s="91"/>
      <c r="R10" s="91"/>
      <c r="S10" s="91"/>
      <c r="T10" s="91"/>
      <c r="U10" s="91"/>
      <c r="V10" s="91"/>
      <c r="W10" s="91"/>
      <c r="X10" s="91"/>
      <c r="Y10" s="91"/>
      <c r="Z10" s="90" t="s">
        <v>39</v>
      </c>
      <c r="AA10" s="91"/>
      <c r="AB10" s="91"/>
      <c r="AC10" s="91"/>
      <c r="AD10" s="91"/>
      <c r="AE10" s="91"/>
      <c r="AF10" s="91"/>
      <c r="AG10" s="91"/>
      <c r="AH10" s="91"/>
      <c r="AI10" s="91"/>
      <c r="AJ10" s="91"/>
      <c r="AK10" s="91"/>
      <c r="AL10" s="90" t="s">
        <v>40</v>
      </c>
      <c r="AM10" s="91"/>
      <c r="AN10" s="91"/>
      <c r="AO10" s="91"/>
      <c r="AP10" s="91"/>
      <c r="AQ10" s="91"/>
    </row>
    <row r="11">
      <c r="A11" s="141" t="s">
        <v>507</v>
      </c>
      <c r="B11" s="10"/>
      <c r="C11" s="10">
        <f t="shared" si="2"/>
        <v>1</v>
      </c>
      <c r="D11" s="11">
        <f t="array" ref="D11">SUM(IF(F11:AQ11="R",1,0))</f>
        <v>0</v>
      </c>
      <c r="E11" s="11">
        <f t="array" ref="E11">SUM(IF(F11:AQ11="R2",1,0))</f>
        <v>1</v>
      </c>
      <c r="F11" s="91"/>
      <c r="G11" s="91"/>
      <c r="H11" s="91"/>
      <c r="I11" s="91"/>
      <c r="J11" s="91"/>
      <c r="K11" s="91"/>
      <c r="L11" s="91"/>
      <c r="M11" s="91"/>
      <c r="N11" s="91"/>
      <c r="O11" s="91"/>
      <c r="P11" s="91"/>
      <c r="Q11" s="90"/>
      <c r="R11" s="91"/>
      <c r="S11" s="91"/>
      <c r="T11" s="91"/>
      <c r="U11" s="91"/>
      <c r="V11" s="91"/>
      <c r="W11" s="91"/>
      <c r="X11" s="91"/>
      <c r="Y11" s="91"/>
      <c r="Z11" s="90" t="s">
        <v>40</v>
      </c>
      <c r="AA11" s="91"/>
      <c r="AB11" s="91"/>
      <c r="AC11" s="91"/>
      <c r="AD11" s="91"/>
      <c r="AE11" s="90"/>
      <c r="AF11" s="91"/>
      <c r="AG11" s="91"/>
      <c r="AH11" s="91"/>
      <c r="AI11" s="91"/>
      <c r="AJ11" s="91"/>
      <c r="AK11" s="90">
        <v>1.0</v>
      </c>
      <c r="AL11" s="91"/>
      <c r="AM11" s="91"/>
      <c r="AN11" s="91"/>
      <c r="AO11" s="91"/>
      <c r="AP11" s="91"/>
      <c r="AQ11" s="91"/>
    </row>
    <row r="12">
      <c r="A12" s="126" t="s">
        <v>508</v>
      </c>
      <c r="B12" s="10"/>
      <c r="C12" s="10">
        <f t="shared" si="2"/>
        <v>1</v>
      </c>
      <c r="D12" s="11">
        <f t="array" ref="D12">SUM(IF(F12:AQ12="R",1,0))</f>
        <v>1</v>
      </c>
      <c r="E12" s="11">
        <f t="array" ref="E12">SUM(IF(F12:AQ12="R2",1,0))</f>
        <v>1</v>
      </c>
      <c r="F12" s="91"/>
      <c r="G12" s="91"/>
      <c r="H12" s="91"/>
      <c r="I12" s="43"/>
      <c r="J12" s="43"/>
      <c r="K12" s="43"/>
      <c r="L12" s="43"/>
      <c r="M12" s="91"/>
      <c r="N12" s="91"/>
      <c r="O12" s="91"/>
      <c r="P12" s="90">
        <v>1.0</v>
      </c>
      <c r="Q12" s="91"/>
      <c r="R12" s="90"/>
      <c r="S12" s="91"/>
      <c r="T12" s="90" t="s">
        <v>40</v>
      </c>
      <c r="U12" s="91"/>
      <c r="V12" s="91"/>
      <c r="W12" s="91"/>
      <c r="X12" s="90"/>
      <c r="Y12" s="91"/>
      <c r="Z12" s="43"/>
      <c r="AA12" s="43"/>
      <c r="AB12" s="43"/>
      <c r="AC12" s="43"/>
      <c r="AD12" s="43"/>
      <c r="AE12" s="43"/>
      <c r="AF12" s="43"/>
      <c r="AG12" s="43"/>
      <c r="AH12" s="43"/>
      <c r="AI12" s="95"/>
      <c r="AJ12" s="43"/>
      <c r="AK12" s="90" t="s">
        <v>39</v>
      </c>
      <c r="AL12" s="91"/>
      <c r="AM12" s="91"/>
      <c r="AN12" s="91"/>
      <c r="AO12" s="91"/>
      <c r="AP12" s="90"/>
      <c r="AQ12" s="91"/>
    </row>
    <row r="13">
      <c r="A13" s="127" t="s">
        <v>509</v>
      </c>
      <c r="B13" s="10"/>
      <c r="C13" s="10">
        <f t="shared" si="2"/>
        <v>1</v>
      </c>
      <c r="D13" s="11">
        <f t="array" ref="D13">SUM(IF(F13:AQ13="R",1,0))</f>
        <v>1</v>
      </c>
      <c r="E13" s="11">
        <f t="array" ref="E13">SUM(IF(F13:AQ13="R2",1,0))</f>
        <v>1</v>
      </c>
      <c r="F13" s="91"/>
      <c r="G13" s="91"/>
      <c r="H13" s="91"/>
      <c r="I13" s="90" t="s">
        <v>40</v>
      </c>
      <c r="J13" s="91"/>
      <c r="K13" s="91"/>
      <c r="L13" s="91"/>
      <c r="M13" s="91"/>
      <c r="N13" s="91"/>
      <c r="O13" s="91"/>
      <c r="P13" s="90" t="s">
        <v>39</v>
      </c>
      <c r="Q13" s="91"/>
      <c r="R13" s="91"/>
      <c r="S13" s="91"/>
      <c r="T13" s="91"/>
      <c r="U13" s="91"/>
      <c r="V13" s="91"/>
      <c r="W13" s="90"/>
      <c r="X13" s="91"/>
      <c r="Y13" s="91"/>
      <c r="Z13" s="16"/>
      <c r="AA13" s="16"/>
      <c r="AB13" s="16"/>
      <c r="AC13" s="16"/>
      <c r="AD13" s="16"/>
      <c r="AE13" s="90">
        <v>1.0</v>
      </c>
      <c r="AF13" s="91"/>
      <c r="AG13" s="91"/>
      <c r="AH13" s="91"/>
      <c r="AI13" s="91"/>
      <c r="AJ13" s="91"/>
      <c r="AK13" s="91"/>
      <c r="AL13" s="90"/>
      <c r="AM13" s="91"/>
      <c r="AN13" s="91"/>
      <c r="AO13" s="91"/>
      <c r="AP13" s="91"/>
      <c r="AQ13" s="91"/>
    </row>
    <row r="14">
      <c r="A14" s="128" t="s">
        <v>510</v>
      </c>
      <c r="B14" s="10">
        <f>SUM(C14:D14)</f>
        <v>1</v>
      </c>
      <c r="C14" s="10">
        <f t="shared" si="2"/>
        <v>0</v>
      </c>
      <c r="D14" s="11">
        <f t="array" ref="D14">SUM(IF(F14:AQ14="R",1,0))</f>
        <v>1</v>
      </c>
      <c r="E14" s="11">
        <f t="array" ref="E14">SUM(IF(F14:AQ14="R2",1,0))</f>
        <v>0</v>
      </c>
      <c r="F14" s="43"/>
      <c r="G14" s="43"/>
      <c r="H14" s="43"/>
      <c r="I14" s="43"/>
      <c r="J14" s="43"/>
      <c r="K14" s="43"/>
      <c r="L14" s="43"/>
      <c r="M14" s="43"/>
      <c r="N14" s="43"/>
      <c r="O14" s="43"/>
      <c r="P14" s="43"/>
      <c r="Q14" s="43"/>
      <c r="R14" s="91"/>
      <c r="S14" s="90"/>
      <c r="T14" s="91"/>
      <c r="U14" s="91"/>
      <c r="V14" s="91"/>
      <c r="W14" s="91"/>
      <c r="X14" s="91"/>
      <c r="Y14" s="91"/>
      <c r="Z14" s="91"/>
      <c r="AA14" s="91"/>
      <c r="AB14" s="91"/>
      <c r="AC14" s="91"/>
      <c r="AD14" s="91"/>
      <c r="AE14" s="90"/>
      <c r="AF14" s="90" t="s">
        <v>39</v>
      </c>
      <c r="AG14" s="91"/>
      <c r="AH14" s="91"/>
      <c r="AI14" s="91"/>
      <c r="AJ14" s="91"/>
      <c r="AK14" s="91"/>
      <c r="AL14" s="91"/>
      <c r="AM14" s="91"/>
      <c r="AN14" s="91"/>
      <c r="AO14" s="90"/>
      <c r="AP14" s="91"/>
      <c r="AQ14" s="91"/>
    </row>
    <row r="15">
      <c r="A15" s="20" t="s">
        <v>471</v>
      </c>
      <c r="B15" s="10"/>
      <c r="C15" s="10">
        <f t="shared" si="2"/>
        <v>1</v>
      </c>
      <c r="D15" s="11">
        <f t="array" ref="D15">SUM(IF(F15:AQ15="R",1,0))</f>
        <v>1</v>
      </c>
      <c r="E15" s="11">
        <f t="array" ref="E15">SUM(IF(F15:AQ15="R2",1,0))</f>
        <v>1</v>
      </c>
      <c r="F15" s="90"/>
      <c r="G15" s="90"/>
      <c r="H15" s="91"/>
      <c r="I15" s="43"/>
      <c r="J15" s="43"/>
      <c r="K15" s="95"/>
      <c r="L15" s="95"/>
      <c r="M15" s="91"/>
      <c r="N15" s="91"/>
      <c r="O15" s="91"/>
      <c r="P15" s="91"/>
      <c r="Q15" s="91"/>
      <c r="R15" s="23">
        <v>1.0</v>
      </c>
      <c r="S15" s="91"/>
      <c r="T15" s="91"/>
      <c r="U15" s="90" t="s">
        <v>40</v>
      </c>
      <c r="V15" s="91"/>
      <c r="W15" s="91"/>
      <c r="X15" s="91"/>
      <c r="Y15" s="91"/>
      <c r="Z15" s="73"/>
      <c r="AA15" s="73"/>
      <c r="AB15" s="73"/>
      <c r="AC15" s="73"/>
      <c r="AD15" s="73"/>
      <c r="AE15" s="73"/>
      <c r="AF15" s="73"/>
      <c r="AG15" s="73"/>
      <c r="AH15" s="73"/>
      <c r="AI15" s="73"/>
      <c r="AJ15" s="155"/>
      <c r="AK15" s="73"/>
      <c r="AL15" s="91"/>
      <c r="AM15" s="90" t="s">
        <v>39</v>
      </c>
      <c r="AN15" s="91"/>
      <c r="AO15" s="91"/>
      <c r="AP15" s="91"/>
      <c r="AQ15" s="91"/>
    </row>
    <row r="16" ht="15.0" customHeight="1">
      <c r="A16" s="26" t="s">
        <v>511</v>
      </c>
      <c r="B16" s="10">
        <f>SUM(C16:D16)</f>
        <v>3</v>
      </c>
      <c r="C16" s="10">
        <f t="shared" si="2"/>
        <v>1</v>
      </c>
      <c r="D16" s="11">
        <f t="array" ref="D16">SUM(IF(F16:AQ16="R",1,0))</f>
        <v>2</v>
      </c>
      <c r="E16" s="11">
        <f t="array" ref="E16">SUM(IF(F16:AQ16="R2",1,0))</f>
        <v>2</v>
      </c>
      <c r="F16" s="90" t="s">
        <v>39</v>
      </c>
      <c r="G16" s="91"/>
      <c r="H16" s="91"/>
      <c r="I16" s="91"/>
      <c r="J16" s="91"/>
      <c r="K16" s="91"/>
      <c r="L16" s="91"/>
      <c r="M16" s="90"/>
      <c r="N16" s="91"/>
      <c r="O16" s="156" t="s">
        <v>40</v>
      </c>
      <c r="P16" s="156"/>
      <c r="Q16" s="156"/>
      <c r="R16" s="117"/>
      <c r="S16" s="156"/>
      <c r="T16" s="91"/>
      <c r="U16" s="90"/>
      <c r="V16" s="91"/>
      <c r="W16" s="91"/>
      <c r="X16" s="23">
        <v>1.0</v>
      </c>
      <c r="Y16" s="91"/>
      <c r="Z16" s="91"/>
      <c r="AA16" s="90" t="s">
        <v>39</v>
      </c>
      <c r="AB16" s="157"/>
      <c r="AC16" s="157"/>
      <c r="AD16" s="158"/>
      <c r="AE16" s="158"/>
      <c r="AF16" s="157"/>
      <c r="AG16" s="158" t="s">
        <v>40</v>
      </c>
      <c r="AH16" s="157"/>
      <c r="AI16" s="91"/>
      <c r="AJ16" s="91"/>
      <c r="AK16" s="91"/>
      <c r="AL16" s="91"/>
      <c r="AM16" s="90"/>
      <c r="AN16" s="91"/>
      <c r="AO16" s="91"/>
      <c r="AP16" s="91"/>
      <c r="AQ16" s="91"/>
    </row>
    <row r="17">
      <c r="A17" s="150" t="s">
        <v>627</v>
      </c>
      <c r="B17" s="10"/>
      <c r="C17" s="10">
        <f t="shared" si="2"/>
        <v>1</v>
      </c>
      <c r="D17" s="11">
        <f t="array" ref="D17">SUM(IF(F17:AQ17="R",1,0))</f>
        <v>1</v>
      </c>
      <c r="E17" s="11">
        <f t="array" ref="E17">SUM(IF(F17:AQ17="R2",1,0))</f>
        <v>1</v>
      </c>
      <c r="F17" s="91"/>
      <c r="G17" s="90" t="s">
        <v>40</v>
      </c>
      <c r="H17" s="91"/>
      <c r="I17" s="91"/>
      <c r="J17" s="91"/>
      <c r="K17" s="91"/>
      <c r="L17" s="90" t="s">
        <v>39</v>
      </c>
      <c r="M17" s="43"/>
      <c r="N17" s="43"/>
      <c r="O17" s="156"/>
      <c r="P17" s="117"/>
      <c r="Q17" s="117"/>
      <c r="R17" s="156"/>
      <c r="S17" s="159"/>
      <c r="T17" s="90">
        <v>1.0</v>
      </c>
      <c r="U17" s="91"/>
      <c r="V17" s="73"/>
      <c r="W17" s="73"/>
      <c r="X17" s="73"/>
      <c r="Y17" s="73"/>
      <c r="Z17" s="73"/>
      <c r="AA17" s="73"/>
      <c r="AB17" s="160"/>
      <c r="AC17" s="160"/>
      <c r="AD17" s="160"/>
      <c r="AE17" s="160"/>
      <c r="AF17" s="160"/>
      <c r="AG17" s="160"/>
      <c r="AH17" s="160"/>
      <c r="AI17" s="73"/>
      <c r="AJ17" s="73"/>
      <c r="AK17" s="73"/>
      <c r="AL17" s="73"/>
      <c r="AM17" s="73"/>
      <c r="AN17" s="90"/>
      <c r="AO17" s="91"/>
      <c r="AP17" s="91"/>
      <c r="AQ17" s="91"/>
    </row>
    <row r="18">
      <c r="A18" s="22" t="s">
        <v>550</v>
      </c>
      <c r="B18" s="10">
        <f t="shared" ref="B18:B20" si="3">SUM(C18:D18)</f>
        <v>3</v>
      </c>
      <c r="C18" s="10">
        <f t="shared" si="2"/>
        <v>3</v>
      </c>
      <c r="D18" s="11">
        <f t="array" ref="D18">SUM(IF(F18:AQ18="R",1,0))</f>
        <v>0</v>
      </c>
      <c r="E18" s="11">
        <f t="array" ref="E18">SUM(IF(F18:AQ18="R2",1,0))</f>
        <v>1</v>
      </c>
      <c r="F18" s="91"/>
      <c r="G18" s="91"/>
      <c r="H18" s="23">
        <v>1.0</v>
      </c>
      <c r="I18" s="43"/>
      <c r="J18" s="43"/>
      <c r="K18" s="43"/>
      <c r="L18" s="95"/>
      <c r="M18" s="90" t="s">
        <v>40</v>
      </c>
      <c r="N18" s="91"/>
      <c r="O18" s="91"/>
      <c r="P18" s="91"/>
      <c r="Q18" s="23"/>
      <c r="R18" s="23"/>
      <c r="S18" s="23">
        <v>1.0</v>
      </c>
      <c r="T18" s="154"/>
      <c r="U18" s="43"/>
      <c r="V18" s="43"/>
      <c r="W18" s="43"/>
      <c r="X18" s="43"/>
      <c r="Y18" s="43"/>
      <c r="Z18" s="43"/>
      <c r="AA18" s="43"/>
      <c r="AB18" s="43"/>
      <c r="AC18" s="43"/>
      <c r="AD18" s="43"/>
      <c r="AE18" s="43"/>
      <c r="AF18" s="43"/>
      <c r="AG18" s="91"/>
      <c r="AH18" s="91"/>
      <c r="AI18" s="91"/>
      <c r="AJ18" s="91"/>
      <c r="AK18" s="154"/>
      <c r="AL18" s="154"/>
      <c r="AM18" s="154"/>
      <c r="AN18" s="23"/>
      <c r="AO18" s="23">
        <v>1.0</v>
      </c>
      <c r="AP18" s="91"/>
      <c r="AQ18" s="91"/>
    </row>
    <row r="19">
      <c r="A19" s="25" t="s">
        <v>551</v>
      </c>
      <c r="B19" s="10">
        <f t="shared" si="3"/>
        <v>2</v>
      </c>
      <c r="C19" s="10">
        <f t="shared" si="2"/>
        <v>1</v>
      </c>
      <c r="D19" s="11">
        <f t="array" ref="D19">SUM(IF(F19:AQ19="R",1,0))</f>
        <v>1</v>
      </c>
      <c r="E19" s="11">
        <f t="array" ref="E19">SUM(IF(F19:AQ19="R2",1,0))</f>
        <v>1</v>
      </c>
      <c r="F19" s="91"/>
      <c r="G19" s="90"/>
      <c r="H19" s="90"/>
      <c r="I19" s="155"/>
      <c r="J19" s="73"/>
      <c r="K19" s="73"/>
      <c r="L19" s="73"/>
      <c r="M19" s="91"/>
      <c r="N19" s="91"/>
      <c r="O19" s="91"/>
      <c r="P19" s="91"/>
      <c r="Q19" s="91"/>
      <c r="R19" s="154"/>
      <c r="T19" s="154"/>
      <c r="U19" s="91"/>
      <c r="V19" s="91"/>
      <c r="W19" s="91"/>
      <c r="X19" s="90"/>
      <c r="Y19" s="91"/>
      <c r="Z19" s="91"/>
      <c r="AA19" s="154"/>
      <c r="AB19" s="23">
        <v>1.0</v>
      </c>
      <c r="AE19" s="154"/>
      <c r="AF19" s="91"/>
      <c r="AG19" s="90"/>
      <c r="AH19" s="91"/>
      <c r="AI19" s="91"/>
      <c r="AJ19" s="90" t="s">
        <v>40</v>
      </c>
      <c r="AK19" s="91"/>
      <c r="AL19" s="154"/>
      <c r="AN19" s="23" t="s">
        <v>39</v>
      </c>
      <c r="AO19" s="91"/>
      <c r="AP19" s="90"/>
      <c r="AQ19" s="91"/>
    </row>
    <row r="20">
      <c r="A20" s="44" t="s">
        <v>673</v>
      </c>
      <c r="B20" s="10">
        <f t="shared" si="3"/>
        <v>3</v>
      </c>
      <c r="C20" s="10">
        <f t="shared" si="2"/>
        <v>1</v>
      </c>
      <c r="D20" s="11">
        <f t="array" ref="D20">SUM(IF(F20:AQ20="R",1,0))</f>
        <v>2</v>
      </c>
      <c r="E20" s="11">
        <f t="array" ref="E20">SUM(IF(F20:AQ20="R2",1,0))</f>
        <v>1</v>
      </c>
      <c r="F20" s="90"/>
      <c r="G20" s="90"/>
      <c r="H20" s="91"/>
      <c r="I20" s="91"/>
      <c r="J20" s="90"/>
      <c r="K20" s="91"/>
      <c r="L20" s="90" t="s">
        <v>40</v>
      </c>
      <c r="M20" s="91"/>
      <c r="N20" s="91"/>
      <c r="O20" s="156" t="s">
        <v>39</v>
      </c>
      <c r="P20" s="156"/>
      <c r="Q20" s="156"/>
      <c r="R20" s="117"/>
      <c r="S20" s="117"/>
      <c r="T20" s="91"/>
      <c r="U20" s="91"/>
      <c r="V20" s="91"/>
      <c r="W20" s="90">
        <v>1.0</v>
      </c>
      <c r="X20" s="91"/>
      <c r="Y20" s="91"/>
      <c r="Z20" s="91"/>
      <c r="AA20" s="91"/>
      <c r="AB20" s="158" t="s">
        <v>39</v>
      </c>
      <c r="AC20" s="158"/>
      <c r="AD20" s="158"/>
      <c r="AE20" s="157"/>
      <c r="AF20" s="157"/>
      <c r="AG20" s="157"/>
      <c r="AH20" s="158"/>
      <c r="AI20" s="91"/>
      <c r="AJ20" s="91"/>
      <c r="AK20" s="91"/>
      <c r="AL20" s="91"/>
      <c r="AM20" s="157"/>
      <c r="AN20" s="157"/>
      <c r="AO20" s="91"/>
      <c r="AP20" s="91"/>
      <c r="AQ20" s="91"/>
    </row>
    <row r="21">
      <c r="A21" s="26" t="s">
        <v>552</v>
      </c>
      <c r="B21" s="10"/>
      <c r="C21" s="10">
        <f t="shared" si="2"/>
        <v>1</v>
      </c>
      <c r="D21" s="11">
        <f t="array" ref="D21">SUM(IF(F21:AQ21="R",1,0))</f>
        <v>1</v>
      </c>
      <c r="E21" s="11">
        <f t="array" ref="E21">SUM(IF(F21:AQ21="R2",1,0))</f>
        <v>1</v>
      </c>
      <c r="F21" s="90">
        <v>1.0</v>
      </c>
      <c r="G21" s="91"/>
      <c r="H21" s="91"/>
      <c r="I21" s="91"/>
      <c r="J21" s="91"/>
      <c r="K21" s="91"/>
      <c r="L21" s="91"/>
      <c r="M21" s="90"/>
      <c r="N21" s="91"/>
      <c r="O21" s="90"/>
      <c r="P21" s="91"/>
      <c r="Q21" s="91"/>
      <c r="R21" s="91"/>
      <c r="S21" s="91"/>
      <c r="T21" s="91"/>
      <c r="U21" s="91"/>
      <c r="V21" s="90" t="s">
        <v>40</v>
      </c>
      <c r="W21" s="91"/>
      <c r="X21" s="91"/>
      <c r="Y21" s="91"/>
      <c r="Z21" s="91"/>
      <c r="AA21" s="91"/>
      <c r="AB21" s="91"/>
      <c r="AC21" s="90" t="s">
        <v>39</v>
      </c>
      <c r="AD21" s="91"/>
      <c r="AE21" s="91"/>
      <c r="AF21" s="91"/>
      <c r="AG21" s="91"/>
      <c r="AH21" s="91"/>
      <c r="AI21" s="91"/>
      <c r="AJ21" s="91"/>
      <c r="AK21" s="91"/>
      <c r="AL21" s="91"/>
      <c r="AM21" s="91"/>
      <c r="AN21" s="91"/>
      <c r="AO21" s="91"/>
      <c r="AP21" s="90"/>
      <c r="AQ21" s="91"/>
    </row>
    <row r="22" hidden="1">
      <c r="A22" s="25" t="s">
        <v>514</v>
      </c>
      <c r="B22" s="10">
        <f>SUM(C22:D22)</f>
        <v>0</v>
      </c>
      <c r="C22" s="10">
        <f t="shared" si="2"/>
        <v>0</v>
      </c>
      <c r="D22" s="11">
        <f t="array" ref="D22">SUM(IF(F22:AQ22="R",1,0))</f>
        <v>0</v>
      </c>
      <c r="E22" s="11">
        <f t="array" ref="E22">SUM(IF(F22:AQ22="R2",1,0))</f>
        <v>0</v>
      </c>
      <c r="F22" s="91"/>
      <c r="G22" s="91"/>
      <c r="H22" s="91"/>
      <c r="I22" s="91"/>
      <c r="J22" s="91"/>
      <c r="K22" s="91"/>
      <c r="L22" s="91"/>
      <c r="M22" s="91"/>
      <c r="N22" s="91"/>
      <c r="O22" s="91"/>
      <c r="P22" s="91"/>
      <c r="Q22" s="91"/>
      <c r="R22" s="91"/>
      <c r="S22" s="91"/>
      <c r="T22" s="91"/>
      <c r="U22" s="91"/>
      <c r="V22" s="91"/>
      <c r="W22" s="91"/>
      <c r="X22" s="91"/>
      <c r="Y22" s="91"/>
      <c r="Z22" s="91"/>
      <c r="AA22" s="91"/>
      <c r="AB22" s="91"/>
      <c r="AC22" s="91"/>
      <c r="AD22" s="91"/>
      <c r="AE22" s="91"/>
      <c r="AF22" s="91"/>
      <c r="AG22" s="91"/>
      <c r="AH22" s="91"/>
      <c r="AI22" s="91"/>
      <c r="AJ22" s="91"/>
      <c r="AK22" s="91"/>
      <c r="AL22" s="91"/>
      <c r="AM22" s="91"/>
      <c r="AN22" s="91"/>
      <c r="AO22" s="91"/>
      <c r="AP22" s="91"/>
      <c r="AQ22" s="91"/>
    </row>
    <row r="23">
      <c r="A23" s="25" t="s">
        <v>515</v>
      </c>
      <c r="B23" s="10"/>
      <c r="C23" s="10">
        <f t="shared" si="2"/>
        <v>1</v>
      </c>
      <c r="D23" s="11">
        <f t="array" ref="D23">SUM(IF(H23:AQ23="R",1,0))</f>
        <v>0</v>
      </c>
      <c r="E23" s="11">
        <f t="array" ref="E23">SUM(IF(H23:AQ23="R2",1,0))</f>
        <v>1</v>
      </c>
      <c r="F23" s="91"/>
      <c r="G23" s="91"/>
      <c r="H23" s="91"/>
      <c r="I23" s="91"/>
      <c r="J23" s="91"/>
      <c r="K23" s="91"/>
      <c r="L23" s="91"/>
      <c r="M23" s="91"/>
      <c r="N23" s="91"/>
      <c r="O23" s="91"/>
      <c r="P23" s="91"/>
      <c r="Q23" s="90" t="s">
        <v>40</v>
      </c>
      <c r="R23" s="91"/>
      <c r="S23" s="91"/>
      <c r="T23" s="91"/>
      <c r="U23" s="91"/>
      <c r="V23" s="91"/>
      <c r="W23" s="91"/>
      <c r="X23" s="91"/>
      <c r="Y23" s="91"/>
      <c r="Z23" s="91"/>
      <c r="AA23" s="91"/>
      <c r="AB23" s="91"/>
      <c r="AC23" s="91"/>
      <c r="AD23" s="90">
        <v>1.0</v>
      </c>
      <c r="AE23" s="91"/>
      <c r="AF23" s="91"/>
      <c r="AG23" s="91"/>
      <c r="AH23" s="91"/>
      <c r="AI23" s="91"/>
      <c r="AJ23" s="91"/>
      <c r="AK23" s="91"/>
      <c r="AL23" s="91"/>
      <c r="AM23" s="91"/>
      <c r="AN23" s="91"/>
      <c r="AO23" s="91"/>
      <c r="AP23" s="91"/>
      <c r="AQ23" s="91"/>
    </row>
    <row r="24">
      <c r="A24" s="9" t="s">
        <v>587</v>
      </c>
      <c r="B24" s="10">
        <f>SUM(C24:D24)</f>
        <v>2</v>
      </c>
      <c r="C24" s="10">
        <f t="shared" si="2"/>
        <v>1</v>
      </c>
      <c r="D24" s="11">
        <f t="array" ref="D24">SUM(IF(F24:AQ24="R",1,0))</f>
        <v>1</v>
      </c>
      <c r="E24" s="11">
        <f t="array" ref="E24">SUM(IF(F24:AQ24="R2",1,0))</f>
        <v>1</v>
      </c>
      <c r="F24" s="91"/>
      <c r="G24" s="91"/>
      <c r="H24" s="91"/>
      <c r="I24" s="91"/>
      <c r="J24" s="91"/>
      <c r="K24" s="91"/>
      <c r="L24" s="91"/>
      <c r="M24" s="91"/>
      <c r="N24" s="91"/>
      <c r="O24" s="91"/>
      <c r="P24" s="91"/>
      <c r="Q24" s="91"/>
      <c r="R24" s="91"/>
      <c r="S24" s="91"/>
      <c r="T24" s="91"/>
      <c r="U24" s="91"/>
      <c r="V24" s="91"/>
      <c r="W24" s="91"/>
      <c r="X24" s="91"/>
      <c r="Y24" s="91"/>
      <c r="Z24" s="91"/>
      <c r="AA24" s="91"/>
      <c r="AB24" s="90" t="s">
        <v>40</v>
      </c>
      <c r="AC24" s="91"/>
      <c r="AD24" s="91"/>
      <c r="AE24" s="91"/>
      <c r="AF24" s="90">
        <v>1.0</v>
      </c>
      <c r="AG24" s="91"/>
      <c r="AH24" s="90" t="s">
        <v>39</v>
      </c>
      <c r="AI24" s="91"/>
      <c r="AJ24" s="91"/>
      <c r="AK24" s="91"/>
      <c r="AL24" s="91"/>
      <c r="AM24" s="91"/>
      <c r="AN24" s="91"/>
      <c r="AO24" s="91"/>
      <c r="AP24" s="91"/>
      <c r="AQ24" s="91"/>
    </row>
    <row r="25">
      <c r="A25" s="9" t="s">
        <v>516</v>
      </c>
      <c r="B25" s="28"/>
      <c r="C25" s="10">
        <f t="shared" si="2"/>
        <v>2</v>
      </c>
      <c r="D25" s="11">
        <f t="array" ref="D25">SUM(IF(F25:AQ25="R",1,0))</f>
        <v>1</v>
      </c>
      <c r="E25" s="11">
        <f t="array" ref="E25">SUM(IF(F25:AQ25="R2",1,0))</f>
        <v>1</v>
      </c>
      <c r="F25" s="91"/>
      <c r="G25" s="161"/>
      <c r="H25" s="94"/>
      <c r="I25" s="161"/>
      <c r="J25" s="93"/>
      <c r="K25" s="94" t="s">
        <v>39</v>
      </c>
      <c r="L25" s="161"/>
      <c r="M25" s="90"/>
      <c r="N25" s="23">
        <v>1.0</v>
      </c>
      <c r="O25" s="91"/>
      <c r="P25" s="91"/>
      <c r="Q25" s="91"/>
      <c r="R25" s="91"/>
      <c r="S25" s="91"/>
      <c r="T25" s="90"/>
      <c r="U25" s="91"/>
      <c r="V25" s="91"/>
      <c r="W25" s="154"/>
      <c r="X25" s="91"/>
      <c r="Y25" s="90" t="s">
        <v>40</v>
      </c>
      <c r="Z25" s="91"/>
      <c r="AA25" s="73"/>
      <c r="AB25" s="73"/>
      <c r="AC25" s="155"/>
      <c r="AD25" s="73"/>
      <c r="AE25" s="90"/>
      <c r="AF25" s="91"/>
      <c r="AG25" s="91"/>
      <c r="AH25" s="23">
        <v>1.0</v>
      </c>
      <c r="AI25" s="91"/>
      <c r="AJ25" s="91"/>
      <c r="AK25" s="91"/>
      <c r="AL25" s="91"/>
      <c r="AM25" s="91"/>
      <c r="AN25" s="91"/>
      <c r="AO25" s="73"/>
      <c r="AP25" s="91"/>
      <c r="AQ25" s="154"/>
    </row>
    <row r="26">
      <c r="A26" s="62" t="s">
        <v>517</v>
      </c>
      <c r="B26" s="10"/>
      <c r="C26" s="10">
        <f t="shared" si="2"/>
        <v>1</v>
      </c>
      <c r="D26" s="11">
        <f t="array" ref="D26">SUM(IF(F26:AQ26="R",1,0))</f>
        <v>1</v>
      </c>
      <c r="E26" s="11">
        <f t="array" ref="E26">SUM(IF(F26:AQ26="R2",1,0))</f>
        <v>1</v>
      </c>
      <c r="F26" s="91"/>
      <c r="G26" s="91"/>
      <c r="H26" s="91"/>
      <c r="I26" s="91"/>
      <c r="J26" s="91"/>
      <c r="K26" s="91"/>
      <c r="L26" s="91"/>
      <c r="M26" s="91"/>
      <c r="N26" s="90" t="s">
        <v>40</v>
      </c>
      <c r="P26" s="23"/>
      <c r="Q26" s="91"/>
      <c r="R26" s="91"/>
      <c r="S26" s="91"/>
      <c r="T26" s="90"/>
      <c r="U26" s="91"/>
      <c r="V26" s="91"/>
      <c r="W26" s="91"/>
      <c r="X26" s="73"/>
      <c r="Y26" s="23">
        <v>1.0</v>
      </c>
      <c r="Z26" s="73"/>
      <c r="AA26" s="73"/>
      <c r="AB26" s="73"/>
      <c r="AC26" s="155"/>
      <c r="AD26" s="73"/>
      <c r="AE26" s="73"/>
      <c r="AF26" s="43"/>
      <c r="AG26" s="91"/>
      <c r="AH26" s="91"/>
      <c r="AI26" s="91"/>
      <c r="AJ26" s="90" t="s">
        <v>39</v>
      </c>
      <c r="AK26" s="90"/>
      <c r="AL26" s="90"/>
      <c r="AM26" s="90"/>
      <c r="AN26" s="90"/>
      <c r="AO26" s="91"/>
      <c r="AP26" s="91"/>
      <c r="AQ26" s="91"/>
    </row>
    <row r="27">
      <c r="A27" s="62" t="s">
        <v>588</v>
      </c>
      <c r="B27" s="10">
        <f>SUM(C27:D27)</f>
        <v>2</v>
      </c>
      <c r="C27" s="10">
        <f t="shared" si="2"/>
        <v>1</v>
      </c>
      <c r="D27" s="11">
        <f t="array" ref="D27">SUM(IF(F27:AQ27="R",1,0))</f>
        <v>1</v>
      </c>
      <c r="E27" s="11">
        <f t="array" ref="E27">SUM(IF(F27:AQ27="R2",1,0))</f>
        <v>1</v>
      </c>
      <c r="F27" s="23"/>
      <c r="G27" s="90"/>
      <c r="H27" s="91"/>
      <c r="I27" s="91"/>
      <c r="J27" s="90"/>
      <c r="K27" s="91"/>
      <c r="L27" s="90"/>
      <c r="M27" s="154"/>
      <c r="N27" s="90" t="s">
        <v>39</v>
      </c>
      <c r="O27" s="154"/>
      <c r="P27" s="91"/>
      <c r="Q27" s="91"/>
      <c r="R27" s="90" t="s">
        <v>40</v>
      </c>
      <c r="S27" s="91"/>
      <c r="T27" s="91"/>
      <c r="U27" s="91"/>
      <c r="V27" s="73"/>
      <c r="W27" s="73"/>
      <c r="X27" s="73"/>
      <c r="Y27" s="73"/>
      <c r="Z27" s="73"/>
      <c r="AA27" s="73"/>
      <c r="AB27" s="155"/>
      <c r="AC27" s="73"/>
      <c r="AD27" s="155"/>
      <c r="AE27" s="73"/>
      <c r="AF27" s="73"/>
      <c r="AG27" s="155"/>
      <c r="AH27" s="155"/>
      <c r="AI27" s="73"/>
      <c r="AJ27" s="73"/>
      <c r="AK27" s="91"/>
      <c r="AL27" s="91"/>
      <c r="AM27" s="91"/>
      <c r="AN27" s="91"/>
      <c r="AO27" s="91"/>
      <c r="AP27" s="23">
        <v>1.0</v>
      </c>
      <c r="AQ27" s="91"/>
    </row>
    <row r="28">
      <c r="A28" s="62" t="s">
        <v>519</v>
      </c>
      <c r="B28" s="10"/>
      <c r="C28" s="10">
        <f>SUM(J28:AQ28)</f>
        <v>1</v>
      </c>
      <c r="D28" s="11">
        <f t="array" ref="D28">SUM(IF(F28:AQ28="R",1,0))</f>
        <v>1</v>
      </c>
      <c r="E28" s="11">
        <f t="array" ref="E28">SUM(IF(F28:AQ28="R2",1,0))</f>
        <v>1</v>
      </c>
      <c r="F28" s="91"/>
      <c r="G28" s="91"/>
      <c r="H28" s="90"/>
      <c r="I28" s="90"/>
      <c r="J28" s="91"/>
      <c r="K28" s="91"/>
      <c r="L28" s="91"/>
      <c r="M28" s="91"/>
      <c r="N28" s="91"/>
      <c r="O28" s="91"/>
      <c r="P28" s="91"/>
      <c r="Q28" s="154"/>
      <c r="R28" s="91"/>
      <c r="S28" s="91"/>
      <c r="T28" s="91"/>
      <c r="U28" s="91"/>
      <c r="V28" s="90"/>
      <c r="W28" s="90"/>
      <c r="X28" s="21"/>
      <c r="Y28" s="21"/>
      <c r="Z28" s="21"/>
      <c r="AA28" s="16"/>
      <c r="AB28" s="16"/>
      <c r="AC28" s="16"/>
      <c r="AD28" s="90" t="s">
        <v>40</v>
      </c>
      <c r="AE28" s="90"/>
      <c r="AF28" s="91"/>
      <c r="AG28" s="90"/>
      <c r="AH28" s="91"/>
      <c r="AI28" s="91"/>
      <c r="AJ28" s="23">
        <v>1.0</v>
      </c>
      <c r="AK28" s="154"/>
      <c r="AL28" s="91"/>
      <c r="AM28" s="91"/>
      <c r="AN28" s="91"/>
      <c r="AO28" s="91"/>
      <c r="AP28" s="90" t="s">
        <v>39</v>
      </c>
      <c r="AQ28" s="91"/>
    </row>
    <row r="29">
      <c r="A29" s="62" t="s">
        <v>589</v>
      </c>
      <c r="B29" s="10">
        <f t="shared" ref="B29:B30" si="4">SUM(C29:D29)</f>
        <v>3</v>
      </c>
      <c r="C29" s="10">
        <f t="shared" ref="C29:C41" si="5">SUM(F29:AQ29)</f>
        <v>1</v>
      </c>
      <c r="D29" s="11">
        <f t="array" ref="D29">SUM(IF(F29:AQ29="R",1,0))</f>
        <v>2</v>
      </c>
      <c r="E29" s="11">
        <f t="array" ref="E29">SUM(IF(F29:AQ29="R2",1,0))</f>
        <v>1</v>
      </c>
      <c r="F29" s="91"/>
      <c r="G29" s="91"/>
      <c r="H29" s="91"/>
      <c r="I29" s="91"/>
      <c r="J29" s="91"/>
      <c r="K29" s="91"/>
      <c r="L29" s="91"/>
      <c r="M29" s="91"/>
      <c r="N29" s="91"/>
      <c r="O29" s="91"/>
      <c r="P29" s="91"/>
      <c r="Q29" s="91"/>
      <c r="R29" s="91"/>
      <c r="S29" s="91"/>
      <c r="T29" s="91"/>
      <c r="U29" s="91"/>
      <c r="V29" s="91"/>
      <c r="W29" s="91"/>
      <c r="X29" s="91"/>
      <c r="Y29" s="90" t="s">
        <v>39</v>
      </c>
      <c r="Z29" s="91"/>
      <c r="AA29" s="90">
        <v>1.0</v>
      </c>
      <c r="AB29" s="91"/>
      <c r="AC29" s="91"/>
      <c r="AD29" s="91"/>
      <c r="AE29" s="90"/>
      <c r="AF29" s="91"/>
      <c r="AG29" s="91"/>
      <c r="AH29" s="91"/>
      <c r="AI29" s="90" t="s">
        <v>39</v>
      </c>
      <c r="AJ29" s="91"/>
      <c r="AK29" s="91"/>
      <c r="AL29" s="91"/>
      <c r="AM29" s="91"/>
      <c r="AN29" s="91"/>
      <c r="AO29" s="91"/>
      <c r="AP29" s="90" t="s">
        <v>40</v>
      </c>
      <c r="AQ29" s="91"/>
    </row>
    <row r="30">
      <c r="A30" s="26" t="s">
        <v>553</v>
      </c>
      <c r="B30" s="10">
        <f t="shared" si="4"/>
        <v>4</v>
      </c>
      <c r="C30" s="10">
        <f t="shared" si="5"/>
        <v>2</v>
      </c>
      <c r="D30" s="11">
        <f t="array" ref="D30">SUM(IF(F30:AQ30="R",1,0))</f>
        <v>2</v>
      </c>
      <c r="E30" s="11">
        <f t="array" ref="E30">SUM(IF(F30:AQ30="R2",1,0))</f>
        <v>2</v>
      </c>
      <c r="F30" s="90" t="s">
        <v>40</v>
      </c>
      <c r="G30" s="91"/>
      <c r="H30" s="91"/>
      <c r="I30" s="91"/>
      <c r="J30" s="91"/>
      <c r="K30" s="91"/>
      <c r="L30" s="91"/>
      <c r="M30" s="90" t="s">
        <v>39</v>
      </c>
      <c r="N30" s="91"/>
      <c r="O30" s="90">
        <v>1.0</v>
      </c>
      <c r="P30" s="91"/>
      <c r="Q30" s="91"/>
      <c r="R30" s="91"/>
      <c r="S30" s="91"/>
      <c r="T30" s="91"/>
      <c r="U30" s="91"/>
      <c r="V30" s="91"/>
      <c r="W30" s="91"/>
      <c r="X30" s="90" t="s">
        <v>40</v>
      </c>
      <c r="Y30" s="91"/>
      <c r="Z30" s="91"/>
      <c r="AA30" s="91"/>
      <c r="AB30" s="91"/>
      <c r="AC30" s="90">
        <v>1.0</v>
      </c>
      <c r="AD30" s="91"/>
      <c r="AE30" s="91"/>
      <c r="AF30" s="91"/>
      <c r="AG30" s="90" t="s">
        <v>39</v>
      </c>
      <c r="AH30" s="91"/>
      <c r="AI30" s="91"/>
      <c r="AJ30" s="91"/>
      <c r="AK30" s="91"/>
      <c r="AL30" s="91"/>
      <c r="AM30" s="91"/>
      <c r="AN30" s="91"/>
      <c r="AO30" s="91"/>
      <c r="AP30" s="91"/>
      <c r="AQ30" s="91"/>
    </row>
    <row r="31">
      <c r="A31" s="26" t="s">
        <v>475</v>
      </c>
      <c r="B31" s="10"/>
      <c r="C31" s="10">
        <f t="shared" si="5"/>
        <v>3</v>
      </c>
      <c r="D31" s="11">
        <f t="array" ref="D31">SUM(IF(F31:AQ31="R",1,0))</f>
        <v>1</v>
      </c>
      <c r="E31" s="11">
        <f t="array" ref="E31">SUM(IF(F31:AQ31="R2",1,0))</f>
        <v>1</v>
      </c>
      <c r="F31" s="91"/>
      <c r="G31" s="91"/>
      <c r="H31" s="91"/>
      <c r="I31" s="91"/>
      <c r="J31" s="91"/>
      <c r="K31" s="91"/>
      <c r="L31" s="91"/>
      <c r="M31" s="90">
        <v>1.0</v>
      </c>
      <c r="N31" s="91"/>
      <c r="O31" s="91"/>
      <c r="P31" s="91"/>
      <c r="Q31" s="91"/>
      <c r="R31" s="91"/>
      <c r="S31" s="91"/>
      <c r="T31" s="91"/>
      <c r="U31" s="91"/>
      <c r="V31" s="90">
        <v>1.0</v>
      </c>
      <c r="W31" s="91"/>
      <c r="X31" s="90" t="s">
        <v>39</v>
      </c>
      <c r="Y31" s="91"/>
      <c r="Z31" s="91"/>
      <c r="AA31" s="91"/>
      <c r="AB31" s="91"/>
      <c r="AC31" s="90" t="s">
        <v>40</v>
      </c>
      <c r="AD31" s="91"/>
      <c r="AE31" s="91"/>
      <c r="AF31" s="91"/>
      <c r="AG31" s="90">
        <v>1.0</v>
      </c>
      <c r="AH31" s="91"/>
      <c r="AI31" s="91"/>
      <c r="AJ31" s="91"/>
      <c r="AK31" s="91"/>
      <c r="AL31" s="91"/>
      <c r="AM31" s="91"/>
      <c r="AN31" s="91"/>
      <c r="AO31" s="91"/>
      <c r="AP31" s="91"/>
      <c r="AQ31" s="91"/>
    </row>
    <row r="32">
      <c r="A32" s="62" t="s">
        <v>674</v>
      </c>
      <c r="B32" s="10" t="str">
        <f>SUM(B4:B37)</f>
        <v>#REF!</v>
      </c>
      <c r="C32" s="10">
        <f t="shared" si="5"/>
        <v>1</v>
      </c>
      <c r="D32" s="11">
        <f t="array" ref="D32">SUM(IF(F32:AQ32="R",1,0))</f>
        <v>2</v>
      </c>
      <c r="E32" s="11">
        <f t="array" ref="E32">SUM(IF(F32:AQ32="R2",1,0))</f>
        <v>1</v>
      </c>
      <c r="F32" s="91"/>
      <c r="G32" s="91"/>
      <c r="H32" s="91"/>
      <c r="I32" s="91"/>
      <c r="J32" s="91"/>
      <c r="K32" s="91"/>
      <c r="L32" s="91"/>
      <c r="M32" s="91"/>
      <c r="N32" s="90"/>
      <c r="O32" s="91"/>
      <c r="P32" s="91"/>
      <c r="Q32" s="91"/>
      <c r="R32" s="91"/>
      <c r="S32" s="91"/>
      <c r="T32" s="91"/>
      <c r="U32" s="91"/>
      <c r="V32" s="90" t="s">
        <v>39</v>
      </c>
      <c r="W32" s="91"/>
      <c r="X32" s="91"/>
      <c r="Y32" s="91"/>
      <c r="Z32" s="91"/>
      <c r="AA32" s="90" t="s">
        <v>40</v>
      </c>
      <c r="AB32" s="91"/>
      <c r="AC32" s="91"/>
      <c r="AD32" s="91"/>
      <c r="AE32" s="91"/>
      <c r="AF32" s="91"/>
      <c r="AG32" s="91"/>
      <c r="AH32" s="91"/>
      <c r="AI32" s="90">
        <v>1.0</v>
      </c>
      <c r="AJ32" s="91"/>
      <c r="AK32" s="91"/>
      <c r="AL32" s="91"/>
      <c r="AM32" s="91"/>
      <c r="AN32" s="91"/>
      <c r="AO32" s="90" t="s">
        <v>39</v>
      </c>
      <c r="AP32" s="91"/>
      <c r="AQ32" s="91"/>
    </row>
    <row r="33" hidden="1">
      <c r="A33" s="27" t="s">
        <v>522</v>
      </c>
      <c r="B33" s="28" t="str">
        <f t="shared" ref="B33:B34" si="6">SUM(#REF!)</f>
        <v>#REF!</v>
      </c>
      <c r="C33" s="10">
        <f t="shared" si="5"/>
        <v>0</v>
      </c>
      <c r="D33" s="11">
        <f t="array" ref="D33">SUM(IF(F33:AQ33="R",1,0))</f>
        <v>0</v>
      </c>
      <c r="E33" s="11">
        <f t="array" ref="E33">SUM(IF(F33:AQ33="R2",1,0))</f>
        <v>0</v>
      </c>
      <c r="F33" s="91"/>
      <c r="G33" s="91"/>
      <c r="H33" s="91"/>
      <c r="I33" s="91"/>
      <c r="J33" s="91"/>
      <c r="K33" s="91"/>
      <c r="L33" s="91"/>
      <c r="M33" s="91"/>
      <c r="N33" s="91"/>
      <c r="O33" s="91"/>
      <c r="P33" s="91"/>
      <c r="Q33" s="91"/>
      <c r="R33" s="90"/>
      <c r="S33" s="91"/>
      <c r="T33" s="91"/>
      <c r="U33" s="91"/>
      <c r="V33" s="91"/>
      <c r="W33" s="91"/>
      <c r="X33" s="90"/>
      <c r="Y33" s="91"/>
      <c r="Z33" s="90"/>
      <c r="AA33" s="91"/>
      <c r="AB33" s="91"/>
      <c r="AC33" s="91"/>
      <c r="AD33" s="91"/>
      <c r="AE33" s="91"/>
      <c r="AF33" s="91"/>
      <c r="AG33" s="90"/>
      <c r="AH33" s="91"/>
      <c r="AI33" s="90"/>
      <c r="AJ33" s="91"/>
      <c r="AK33" s="91"/>
      <c r="AL33" s="91"/>
      <c r="AM33" s="91"/>
      <c r="AN33" s="91"/>
      <c r="AO33" s="91"/>
      <c r="AP33" s="91"/>
      <c r="AQ33" s="91"/>
    </row>
    <row r="34">
      <c r="A34" s="69" t="s">
        <v>523</v>
      </c>
      <c r="B34" s="28" t="str">
        <f t="shared" si="6"/>
        <v>#REF!</v>
      </c>
      <c r="C34" s="10">
        <f t="shared" si="5"/>
        <v>1</v>
      </c>
      <c r="D34" s="11">
        <f t="array" ref="D34">SUM(IF(F34:AQ34="R",1,0))</f>
        <v>2</v>
      </c>
      <c r="E34" s="11">
        <f t="array" ref="E34">SUM(IF(F34:AQ34="R2",1,0))</f>
        <v>0</v>
      </c>
      <c r="F34" s="91"/>
      <c r="G34" s="90" t="s">
        <v>39</v>
      </c>
      <c r="H34" s="23"/>
      <c r="I34" s="155"/>
      <c r="J34" s="73"/>
      <c r="K34" s="73"/>
      <c r="L34" s="73"/>
      <c r="M34" s="90"/>
      <c r="N34" s="90"/>
      <c r="O34" s="90"/>
      <c r="P34" s="90"/>
      <c r="Q34" s="23" t="s">
        <v>39</v>
      </c>
      <c r="R34" s="154"/>
      <c r="S34" s="23"/>
      <c r="T34" s="154"/>
      <c r="U34" s="23">
        <v>1.0</v>
      </c>
      <c r="V34" s="43"/>
      <c r="W34" s="43"/>
      <c r="X34" s="43"/>
      <c r="Y34" s="43"/>
      <c r="Z34" s="43"/>
      <c r="AA34" s="95"/>
      <c r="AB34" s="95"/>
      <c r="AC34" s="95"/>
      <c r="AD34" s="95"/>
      <c r="AE34" s="43"/>
      <c r="AF34" s="43"/>
      <c r="AG34" s="43"/>
      <c r="AH34" s="43"/>
      <c r="AI34" s="91"/>
      <c r="AJ34" s="90"/>
      <c r="AK34" s="154"/>
      <c r="AL34" s="23"/>
      <c r="AM34" s="23"/>
      <c r="AN34" s="23"/>
      <c r="AO34" s="154"/>
      <c r="AP34" s="91"/>
      <c r="AQ34" s="91"/>
    </row>
    <row r="35">
      <c r="A35" s="44" t="s">
        <v>524</v>
      </c>
      <c r="C35" s="10">
        <f t="shared" si="5"/>
        <v>0</v>
      </c>
      <c r="D35" s="11">
        <f t="array" ref="D35">SUM(IF(F35:AQ35="R",1,0))</f>
        <v>2</v>
      </c>
      <c r="E35" s="11">
        <f t="array" ref="E35">SUM(IF(F35:AQ35="R2",1,0))</f>
        <v>2</v>
      </c>
      <c r="F35" s="73"/>
      <c r="G35" s="73"/>
      <c r="H35" s="154"/>
      <c r="I35" s="23" t="s">
        <v>39</v>
      </c>
      <c r="J35" s="154"/>
      <c r="K35" s="23"/>
      <c r="L35" s="90"/>
      <c r="M35" s="91"/>
      <c r="N35" s="90"/>
      <c r="O35" s="90"/>
      <c r="P35" s="90"/>
      <c r="Q35" s="154"/>
      <c r="R35" s="154"/>
      <c r="S35" s="154"/>
      <c r="T35" s="154"/>
      <c r="U35" s="90" t="s">
        <v>39</v>
      </c>
      <c r="V35" s="91"/>
      <c r="W35" s="90"/>
      <c r="X35" s="91"/>
      <c r="Y35" s="91"/>
      <c r="Z35" s="73"/>
      <c r="AA35" s="73"/>
      <c r="AB35" s="73"/>
      <c r="AC35" s="73"/>
      <c r="AD35" s="73"/>
      <c r="AE35" s="23" t="s">
        <v>40</v>
      </c>
      <c r="AF35" s="90"/>
      <c r="AG35" s="90"/>
      <c r="AH35" s="90" t="s">
        <v>40</v>
      </c>
      <c r="AI35" s="91"/>
      <c r="AJ35" s="91"/>
      <c r="AK35" s="154"/>
      <c r="AL35" s="154"/>
      <c r="AM35" s="154"/>
      <c r="AN35" s="154"/>
      <c r="AO35" s="90"/>
      <c r="AP35" s="91"/>
      <c r="AQ35" s="91"/>
      <c r="AR35" s="121"/>
      <c r="AS35" s="121"/>
      <c r="AT35" s="121"/>
      <c r="AU35" s="121"/>
    </row>
    <row r="36" hidden="1">
      <c r="A36" s="44" t="s">
        <v>479</v>
      </c>
      <c r="C36" s="10">
        <f t="shared" si="5"/>
        <v>0</v>
      </c>
      <c r="D36" s="11">
        <f t="array" ref="D36">SUM(IF(F36:AQ36="R",1,0))</f>
        <v>0</v>
      </c>
      <c r="E36" s="11">
        <f t="array" ref="E36">SUM(IF(F36:AQ36="R2",1,0))</f>
        <v>0</v>
      </c>
      <c r="F36" s="91"/>
      <c r="G36" s="91"/>
      <c r="H36" s="91"/>
      <c r="I36" s="91"/>
      <c r="J36" s="91"/>
      <c r="K36" s="91"/>
      <c r="L36" s="91"/>
      <c r="M36" s="91"/>
      <c r="N36" s="91"/>
      <c r="O36" s="91"/>
      <c r="P36" s="91"/>
      <c r="Q36" s="91"/>
      <c r="R36" s="91"/>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row>
    <row r="37">
      <c r="A37" s="44" t="s">
        <v>628</v>
      </c>
      <c r="B37" s="10">
        <f>SUM(C37:D37)</f>
        <v>3</v>
      </c>
      <c r="C37" s="10">
        <f t="shared" si="5"/>
        <v>2</v>
      </c>
      <c r="D37" s="11">
        <f t="array" ref="D37">SUM(IF(F37:AQ37="R",1,0))</f>
        <v>1</v>
      </c>
      <c r="E37" s="11">
        <f t="array" ref="E37">SUM(IF(F37:AQ37="R2",1,0))</f>
        <v>1</v>
      </c>
      <c r="F37" s="91"/>
      <c r="G37" s="90">
        <v>1.0</v>
      </c>
      <c r="H37" s="91"/>
      <c r="I37" s="91"/>
      <c r="J37" s="91"/>
      <c r="K37" s="91"/>
      <c r="L37" s="90">
        <v>1.0</v>
      </c>
      <c r="M37" s="91"/>
      <c r="N37" s="90"/>
      <c r="O37" s="91"/>
      <c r="P37" s="91"/>
      <c r="Q37" s="90"/>
      <c r="R37" s="91"/>
      <c r="S37" s="90" t="s">
        <v>39</v>
      </c>
      <c r="T37" s="91"/>
      <c r="U37" s="91"/>
      <c r="V37" s="91"/>
      <c r="W37" s="90" t="s">
        <v>40</v>
      </c>
      <c r="X37" s="91"/>
      <c r="Y37" s="91"/>
      <c r="Z37" s="91"/>
      <c r="AA37" s="91"/>
      <c r="AB37" s="91"/>
      <c r="AC37" s="91"/>
      <c r="AD37" s="91"/>
      <c r="AE37" s="91"/>
      <c r="AF37" s="91"/>
      <c r="AG37" s="91"/>
      <c r="AH37" s="91"/>
      <c r="AI37" s="91"/>
      <c r="AJ37" s="91"/>
      <c r="AK37" s="91"/>
      <c r="AL37" s="91"/>
      <c r="AM37" s="91"/>
      <c r="AN37" s="91"/>
      <c r="AO37" s="91"/>
      <c r="AP37" s="91"/>
      <c r="AQ37" s="91"/>
    </row>
    <row r="38">
      <c r="A38" s="23" t="s">
        <v>481</v>
      </c>
      <c r="C38" s="10">
        <f t="shared" si="5"/>
        <v>1</v>
      </c>
      <c r="D38" s="11">
        <f t="array" ref="D38">SUM(IF(F38:AQ38="R",1,0))</f>
        <v>1</v>
      </c>
      <c r="E38" s="11">
        <f t="array" ref="E38">SUM(IF(F38:AQ38="R2",1,0))</f>
        <v>1</v>
      </c>
      <c r="F38" s="91"/>
      <c r="G38" s="91"/>
      <c r="H38" s="154"/>
      <c r="I38" s="73"/>
      <c r="J38" s="73"/>
      <c r="K38" s="73"/>
      <c r="L38" s="73"/>
      <c r="M38" s="91"/>
      <c r="N38" s="91"/>
      <c r="O38" s="91"/>
      <c r="P38" s="91"/>
      <c r="Q38" s="154"/>
      <c r="R38" s="154"/>
      <c r="S38" s="23" t="s">
        <v>40</v>
      </c>
      <c r="T38" s="154"/>
      <c r="U38" s="91"/>
      <c r="V38" s="91"/>
      <c r="W38" s="90" t="s">
        <v>39</v>
      </c>
      <c r="X38" s="91"/>
      <c r="Y38" s="91"/>
      <c r="Z38" s="73"/>
      <c r="AA38" s="73"/>
      <c r="AB38" s="73"/>
      <c r="AC38" s="73"/>
      <c r="AD38" s="73"/>
      <c r="AE38" s="73"/>
      <c r="AF38" s="73"/>
      <c r="AG38" s="155"/>
      <c r="AH38" s="155"/>
      <c r="AI38" s="155"/>
      <c r="AJ38" s="73"/>
      <c r="AK38" s="73"/>
      <c r="AL38" s="154"/>
      <c r="AM38" s="23">
        <v>1.0</v>
      </c>
      <c r="AN38" s="154"/>
      <c r="AO38" s="90"/>
      <c r="AP38" s="90"/>
      <c r="AQ38" s="91"/>
    </row>
    <row r="39">
      <c r="A39" s="17" t="s">
        <v>68</v>
      </c>
      <c r="C39" s="10">
        <f t="shared" si="5"/>
        <v>38</v>
      </c>
      <c r="D39" s="11"/>
      <c r="E39" s="11"/>
      <c r="F39" s="28">
        <f t="shared" ref="F39:AR39" si="7">SUM(F3:F38)</f>
        <v>1</v>
      </c>
      <c r="G39" s="28">
        <f t="shared" si="7"/>
        <v>1</v>
      </c>
      <c r="H39" s="28">
        <f t="shared" si="7"/>
        <v>1</v>
      </c>
      <c r="I39" s="28">
        <f t="shared" si="7"/>
        <v>1</v>
      </c>
      <c r="J39" s="28">
        <f t="shared" si="7"/>
        <v>1</v>
      </c>
      <c r="K39" s="28">
        <f t="shared" si="7"/>
        <v>1</v>
      </c>
      <c r="L39" s="28">
        <f t="shared" si="7"/>
        <v>1</v>
      </c>
      <c r="M39" s="28">
        <f t="shared" si="7"/>
        <v>1</v>
      </c>
      <c r="N39" s="28">
        <f t="shared" si="7"/>
        <v>1</v>
      </c>
      <c r="O39" s="28">
        <f t="shared" si="7"/>
        <v>1</v>
      </c>
      <c r="P39" s="28">
        <f t="shared" si="7"/>
        <v>1</v>
      </c>
      <c r="Q39" s="28">
        <f t="shared" si="7"/>
        <v>1</v>
      </c>
      <c r="R39" s="28">
        <f t="shared" si="7"/>
        <v>1</v>
      </c>
      <c r="S39" s="28">
        <f t="shared" si="7"/>
        <v>1</v>
      </c>
      <c r="T39" s="28">
        <f t="shared" si="7"/>
        <v>1</v>
      </c>
      <c r="U39" s="28">
        <f t="shared" si="7"/>
        <v>1</v>
      </c>
      <c r="V39" s="28">
        <f t="shared" si="7"/>
        <v>1</v>
      </c>
      <c r="W39" s="28">
        <f t="shared" si="7"/>
        <v>1</v>
      </c>
      <c r="X39" s="28">
        <f t="shared" si="7"/>
        <v>1</v>
      </c>
      <c r="Y39" s="28">
        <f t="shared" si="7"/>
        <v>1</v>
      </c>
      <c r="Z39" s="28">
        <f t="shared" si="7"/>
        <v>1</v>
      </c>
      <c r="AA39" s="28">
        <f t="shared" si="7"/>
        <v>1</v>
      </c>
      <c r="AB39" s="28">
        <f t="shared" si="7"/>
        <v>1</v>
      </c>
      <c r="AC39" s="28">
        <f t="shared" si="7"/>
        <v>1</v>
      </c>
      <c r="AD39" s="28">
        <f t="shared" si="7"/>
        <v>1</v>
      </c>
      <c r="AE39" s="28">
        <f t="shared" si="7"/>
        <v>1</v>
      </c>
      <c r="AF39" s="28">
        <f t="shared" si="7"/>
        <v>1</v>
      </c>
      <c r="AG39" s="28">
        <f t="shared" si="7"/>
        <v>1</v>
      </c>
      <c r="AH39" s="28">
        <f t="shared" si="7"/>
        <v>1</v>
      </c>
      <c r="AI39" s="28">
        <f t="shared" si="7"/>
        <v>1</v>
      </c>
      <c r="AJ39" s="28">
        <f t="shared" si="7"/>
        <v>1</v>
      </c>
      <c r="AK39" s="28">
        <f t="shared" si="7"/>
        <v>1</v>
      </c>
      <c r="AL39" s="28">
        <f t="shared" si="7"/>
        <v>1</v>
      </c>
      <c r="AM39" s="28">
        <f t="shared" si="7"/>
        <v>1</v>
      </c>
      <c r="AN39" s="28">
        <f t="shared" si="7"/>
        <v>1</v>
      </c>
      <c r="AO39" s="28">
        <f t="shared" si="7"/>
        <v>1</v>
      </c>
      <c r="AP39" s="28">
        <f t="shared" si="7"/>
        <v>1</v>
      </c>
      <c r="AQ39" s="28">
        <f t="shared" si="7"/>
        <v>1</v>
      </c>
      <c r="AR39" s="28">
        <f t="shared" si="7"/>
        <v>0</v>
      </c>
      <c r="AS39" s="28">
        <f>SUM(J4:J37)</f>
        <v>1</v>
      </c>
      <c r="AT39" s="28">
        <f>SUM(L4:L37)</f>
        <v>1</v>
      </c>
      <c r="AU39" s="28">
        <f t="shared" ref="AU39:AV39" si="8">SUM(N4:N37)</f>
        <v>1</v>
      </c>
      <c r="AV39" s="28">
        <f t="shared" si="8"/>
        <v>1</v>
      </c>
      <c r="AW39" s="28" t="str">
        <f>SUM(#REF!)</f>
        <v>#REF!</v>
      </c>
    </row>
    <row r="40">
      <c r="A40" s="17" t="s">
        <v>69</v>
      </c>
      <c r="C40" s="10">
        <f t="shared" si="5"/>
        <v>38</v>
      </c>
      <c r="D40" s="11"/>
      <c r="E40" s="11"/>
      <c r="F40" s="11">
        <f t="array" ref="F40">SUM(IF(F3:F38="R",1,0))</f>
        <v>1</v>
      </c>
      <c r="G40" s="11">
        <f t="array" ref="G40">SUM(IF(G3:G38="R",1,0))</f>
        <v>1</v>
      </c>
      <c r="H40" s="11">
        <f t="array" ref="H40">SUM(IF(H3:H38="R",1,0))</f>
        <v>1</v>
      </c>
      <c r="I40" s="11">
        <f t="array" ref="I40">SUM(IF(I3:I38="R",1,0))</f>
        <v>1</v>
      </c>
      <c r="J40" s="11">
        <f t="array" ref="J40">SUM(IF(J3:J38="R",1,0))</f>
        <v>1</v>
      </c>
      <c r="K40" s="11">
        <f t="array" ref="K40">SUM(IF(K3:K38="R",1,0))</f>
        <v>1</v>
      </c>
      <c r="L40" s="11">
        <f t="array" ref="L40">SUM(IF(L3:L38="R",1,0))</f>
        <v>1</v>
      </c>
      <c r="M40" s="11">
        <f t="array" ref="M40">SUM(IF(M3:M38="R",1,0))</f>
        <v>1</v>
      </c>
      <c r="N40" s="11">
        <f t="array" ref="N40">SUM(IF(N3:N38="R",1,0))</f>
        <v>1</v>
      </c>
      <c r="O40" s="11">
        <f t="array" ref="O40">SUM(IF(O3:O38="R",1,0))</f>
        <v>1</v>
      </c>
      <c r="P40" s="11">
        <f t="array" ref="P40">SUM(IF(P3:P38="R",1,0))</f>
        <v>1</v>
      </c>
      <c r="Q40" s="11">
        <f t="array" ref="Q40">SUM(IF(Q3:Q38="R",1,0))</f>
        <v>1</v>
      </c>
      <c r="R40" s="11">
        <f t="array" ref="R40">SUM(IF(R3:R38="R",1,0))</f>
        <v>1</v>
      </c>
      <c r="S40" s="11">
        <f t="array" ref="S40">SUM(IF(S3:S38="R",1,0))</f>
        <v>1</v>
      </c>
      <c r="T40" s="11">
        <f t="array" ref="T40">SUM(IF(T3:T38="R",1,0))</f>
        <v>1</v>
      </c>
      <c r="U40" s="11">
        <f t="array" ref="U40">SUM(IF(U3:U38="R",1,0))</f>
        <v>1</v>
      </c>
      <c r="V40" s="11">
        <f t="array" ref="V40">SUM(IF(V3:V38="R",1,0))</f>
        <v>1</v>
      </c>
      <c r="W40" s="11">
        <f t="array" ref="W40">SUM(IF(W3:W38="R",1,0))</f>
        <v>1</v>
      </c>
      <c r="X40" s="11">
        <f t="array" ref="X40">SUM(IF(X3:X38="R",1,0))</f>
        <v>1</v>
      </c>
      <c r="Y40" s="11">
        <f t="array" ref="Y40">SUM(IF(Y3:Y38="R",1,0))</f>
        <v>1</v>
      </c>
      <c r="Z40" s="11">
        <f t="array" ref="Z40">SUM(IF(Z3:Z38="R",1,0))</f>
        <v>1</v>
      </c>
      <c r="AA40" s="11">
        <f t="array" ref="AA40">SUM(IF(AA3:AA38="R",1,0))</f>
        <v>1</v>
      </c>
      <c r="AB40" s="11">
        <f t="array" ref="AB40">SUM(IF(AB3:AB38="R",1,0))</f>
        <v>1</v>
      </c>
      <c r="AC40" s="11">
        <f t="array" ref="AC40">SUM(IF(AC3:AC38="R",1,0))</f>
        <v>1</v>
      </c>
      <c r="AD40" s="11">
        <f t="array" ref="AD40">SUM(IF(AD3:AD38="R",1,0))</f>
        <v>1</v>
      </c>
      <c r="AE40" s="11">
        <f t="array" ref="AE40">SUM(IF(AE3:AE38="R",1,0))</f>
        <v>1</v>
      </c>
      <c r="AF40" s="11">
        <f t="array" ref="AF40">SUM(IF(AF3:AF38="R",1,0))</f>
        <v>1</v>
      </c>
      <c r="AG40" s="11">
        <f t="array" ref="AG40">SUM(IF(AG3:AG38="R",1,0))</f>
        <v>1</v>
      </c>
      <c r="AH40" s="11">
        <f t="array" ref="AH40">SUM(IF(AH3:AH38="R",1,0))</f>
        <v>1</v>
      </c>
      <c r="AI40" s="11">
        <f t="array" ref="AI40">SUM(IF(AI3:AI38="R",1,0))</f>
        <v>1</v>
      </c>
      <c r="AJ40" s="11">
        <f t="array" ref="AJ40">SUM(IF(AJ3:AJ38="R",1,0))</f>
        <v>1</v>
      </c>
      <c r="AK40" s="11">
        <f t="array" ref="AK40">SUM(IF(AK3:AK38="R",1,0))</f>
        <v>1</v>
      </c>
      <c r="AL40" s="11">
        <f t="array" ref="AL40">SUM(IF(AL3:AL38="R",1,0))</f>
        <v>1</v>
      </c>
      <c r="AM40" s="11">
        <f t="array" ref="AM40">SUM(IF(AM3:AM38="R",1,0))</f>
        <v>1</v>
      </c>
      <c r="AN40" s="11">
        <f t="array" ref="AN40">SUM(IF(AN3:AN38="R",1,0))</f>
        <v>1</v>
      </c>
      <c r="AO40" s="11">
        <f t="array" ref="AO40">SUM(IF(AO3:AO38="R",1,0))</f>
        <v>1</v>
      </c>
      <c r="AP40" s="11">
        <f t="array" ref="AP40">SUM(IF(AP3:AP38="R",1,0))</f>
        <v>1</v>
      </c>
      <c r="AQ40" s="11">
        <f t="array" ref="AQ40">SUM(IF(AQ3:AQ38="R",1,0))</f>
        <v>1</v>
      </c>
      <c r="AR40" s="11">
        <f t="array" ref="AR40">SUM(IF(AR3:AR38="R",1,0))</f>
        <v>0</v>
      </c>
      <c r="AS40" s="11">
        <f t="array" ref="AS40">SUM(IF(J4:J37="R",1,0))</f>
        <v>1</v>
      </c>
      <c r="AT40" s="11">
        <f t="array" ref="AT40">SUM(IF(L4:L37="R",1,0))</f>
        <v>1</v>
      </c>
      <c r="AU40" s="11">
        <f t="array" ref="AU40">SUM(IF(N4:N37="R",1,0))</f>
        <v>1</v>
      </c>
      <c r="AV40" s="11">
        <f t="array" ref="AV40">SUM(IF(O4:O37="R",1,0))</f>
        <v>1</v>
      </c>
      <c r="AW40" s="11" t="str">
        <f t="array" ref="AW40">SUM(IF(#REF!="R",1,0))</f>
        <v>#REF!</v>
      </c>
    </row>
    <row r="41">
      <c r="A41" s="17" t="s">
        <v>70</v>
      </c>
      <c r="C41" s="10">
        <f t="shared" si="5"/>
        <v>38</v>
      </c>
      <c r="D41" s="11"/>
      <c r="E41" s="11"/>
      <c r="F41" s="11">
        <f t="array" ref="F41">SUM(IF(F3:F38="R2",1,0))</f>
        <v>1</v>
      </c>
      <c r="G41" s="11">
        <f t="array" ref="G41">SUM(IF(G3:G38="R2",1,0))</f>
        <v>1</v>
      </c>
      <c r="H41" s="11">
        <f t="array" ref="H41">SUM(IF(H3:H38="R2",1,0))</f>
        <v>1</v>
      </c>
      <c r="I41" s="11">
        <f t="array" ref="I41">SUM(IF(I3:I38="R2",1,0))</f>
        <v>1</v>
      </c>
      <c r="J41" s="11">
        <f t="array" ref="J41">SUM(IF(J3:J38="R2",1,0))</f>
        <v>1</v>
      </c>
      <c r="K41" s="11">
        <f t="array" ref="K41">SUM(IF(K3:K38="R2",1,0))</f>
        <v>1</v>
      </c>
      <c r="L41" s="11">
        <f t="array" ref="L41">SUM(IF(L3:L38="R2",1,0))</f>
        <v>1</v>
      </c>
      <c r="M41" s="11">
        <f t="array" ref="M41">SUM(IF(M3:M38="R2",1,0))</f>
        <v>1</v>
      </c>
      <c r="N41" s="11">
        <f t="array" ref="N41">SUM(IF(N3:N38="R2",1,0))</f>
        <v>1</v>
      </c>
      <c r="O41" s="11">
        <f t="array" ref="O41">SUM(IF(O3:O38="R2",1,0))</f>
        <v>1</v>
      </c>
      <c r="P41" s="11">
        <f t="array" ref="P41">SUM(IF(P3:P38="R2",1,0))</f>
        <v>1</v>
      </c>
      <c r="Q41" s="11">
        <f t="array" ref="Q41">SUM(IF(Q3:Q38="R2",1,0))</f>
        <v>1</v>
      </c>
      <c r="R41" s="11">
        <f t="array" ref="R41">SUM(IF(R3:R38="R2",1,0))</f>
        <v>1</v>
      </c>
      <c r="S41" s="11">
        <f t="array" ref="S41">SUM(IF(S3:S38="R2",1,0))</f>
        <v>1</v>
      </c>
      <c r="T41" s="11">
        <f t="array" ref="T41">SUM(IF(T3:T38="R2",1,0))</f>
        <v>1</v>
      </c>
      <c r="U41" s="11">
        <f t="array" ref="U41">SUM(IF(U3:U38="R2",1,0))</f>
        <v>1</v>
      </c>
      <c r="V41" s="11">
        <f t="array" ref="V41">SUM(IF(V3:V38="R2",1,0))</f>
        <v>1</v>
      </c>
      <c r="W41" s="11">
        <f t="array" ref="W41">SUM(IF(W3:W38="R2",1,0))</f>
        <v>1</v>
      </c>
      <c r="X41" s="11">
        <f t="array" ref="X41">SUM(IF(X3:X38="R2",1,0))</f>
        <v>1</v>
      </c>
      <c r="Y41" s="11">
        <f t="array" ref="Y41">SUM(IF(Y3:Y38="R2",1,0))</f>
        <v>1</v>
      </c>
      <c r="Z41" s="11">
        <f t="array" ref="Z41">SUM(IF(Z3:Z38="R2",1,0))</f>
        <v>1</v>
      </c>
      <c r="AA41" s="11">
        <f t="array" ref="AA41">SUM(IF(AA3:AA38="R2",1,0))</f>
        <v>1</v>
      </c>
      <c r="AB41" s="11">
        <f t="array" ref="AB41">SUM(IF(AB3:AB38="R2",1,0))</f>
        <v>1</v>
      </c>
      <c r="AC41" s="11">
        <f t="array" ref="AC41">SUM(IF(AC3:AC38="R2",1,0))</f>
        <v>1</v>
      </c>
      <c r="AD41" s="11">
        <f t="array" ref="AD41">SUM(IF(AD3:AD38="R2",1,0))</f>
        <v>1</v>
      </c>
      <c r="AE41" s="11">
        <f t="array" ref="AE41">SUM(IF(AE3:AE38="R2",1,0))</f>
        <v>1</v>
      </c>
      <c r="AF41" s="11">
        <f t="array" ref="AF41">SUM(IF(AF3:AF38="R2",1,0))</f>
        <v>1</v>
      </c>
      <c r="AG41" s="11">
        <f t="array" ref="AG41">SUM(IF(AG3:AG38="R2",1,0))</f>
        <v>1</v>
      </c>
      <c r="AH41" s="11">
        <f t="array" ref="AH41">SUM(IF(AH3:AH38="R2",1,0))</f>
        <v>1</v>
      </c>
      <c r="AI41" s="11">
        <f t="array" ref="AI41">SUM(IF(AI3:AI38="R2",1,0))</f>
        <v>1</v>
      </c>
      <c r="AJ41" s="11">
        <f t="array" ref="AJ41">SUM(IF(AJ3:AJ38="R2",1,0))</f>
        <v>1</v>
      </c>
      <c r="AK41" s="11">
        <f t="array" ref="AK41">SUM(IF(AK3:AK38="R2",1,0))</f>
        <v>1</v>
      </c>
      <c r="AL41" s="11">
        <f t="array" ref="AL41">SUM(IF(AL3:AL38="R2",1,0))</f>
        <v>1</v>
      </c>
      <c r="AM41" s="11">
        <f t="array" ref="AM41">SUM(IF(AM3:AM38="R2",1,0))</f>
        <v>1</v>
      </c>
      <c r="AN41" s="11">
        <f t="array" ref="AN41">SUM(IF(AN3:AN38="R2",1,0))</f>
        <v>1</v>
      </c>
      <c r="AO41" s="11">
        <f t="array" ref="AO41">SUM(IF(AO3:AO38="R2",1,0))</f>
        <v>1</v>
      </c>
      <c r="AP41" s="11">
        <f t="array" ref="AP41">SUM(IF(AP3:AP38="R2",1,0))</f>
        <v>1</v>
      </c>
      <c r="AQ41" s="11">
        <f t="array" ref="AQ41">SUM(IF(AQ3:AQ38="R2",1,0))</f>
        <v>1</v>
      </c>
      <c r="AR41" s="11">
        <f t="array" ref="AR41">SUM(IF(AR3:AR38="R2",1,0))</f>
        <v>0</v>
      </c>
      <c r="AS41" s="11">
        <f t="array" ref="AS41">SUM(IF(J4:J37="R2",1,0))</f>
        <v>1</v>
      </c>
      <c r="AT41" s="11">
        <f t="array" ref="AT41">SUM(IF(L4:L37="R2",1,0))</f>
        <v>1</v>
      </c>
      <c r="AU41" s="11">
        <f t="array" ref="AU41">SUM(IF(N4:N37="R2",1,0))</f>
        <v>1</v>
      </c>
      <c r="AV41" s="11">
        <f t="array" ref="AV41">SUM(IF(O4:O37="R2",1,0))</f>
        <v>1</v>
      </c>
      <c r="AW41" s="11" t="str">
        <f t="array" ref="AW41">SUM(IF(#REF!="R2",1,0))</f>
        <v>#REF!</v>
      </c>
    </row>
    <row r="42">
      <c r="E42" s="46" t="s">
        <v>71</v>
      </c>
      <c r="F42" s="29" t="str">
        <f t="shared" ref="F42:AS42" si="9">IFERROR(INDEX($A$3:$A$38, MATCH(1, INDEX($F$3:$AQ$38, 0, MATCH(F2, $F$2:$AV$2, 0)), 0)), INDEX($A$3:$A$38, MATCH(1, INDEX($F$3:$AQ$38, 0, MATCH(F2&amp;" AM", $F$2:$AV$2, 0)), 0)))</f>
        <v>PTE MOHAMED ROSHAN AKTAR BIN AZEES ALI </v>
      </c>
      <c r="G42" s="29" t="str">
        <f t="shared" si="9"/>
        <v>LCP IMRAN</v>
      </c>
      <c r="H42" s="29" t="str">
        <f t="shared" si="9"/>
        <v>PTE FATHUL HAKIM BIN MUHAMMAD FAUZI </v>
      </c>
      <c r="I42" s="29" t="str">
        <f t="shared" si="9"/>
        <v>PTE CHEONG KAI JIE</v>
      </c>
      <c r="J42" s="29" t="str">
        <f t="shared" si="9"/>
        <v>PTE JEREMIAH FOO JI SHUAN</v>
      </c>
      <c r="K42" s="29" t="str">
        <f t="shared" si="9"/>
        <v>CPL MITCHELL LIM </v>
      </c>
      <c r="L42" s="29" t="str">
        <f t="shared" si="9"/>
        <v>LCP IMRAN</v>
      </c>
      <c r="M42" s="29" t="str">
        <f t="shared" si="9"/>
        <v>PTE BRYAN MARC MEHAR</v>
      </c>
      <c r="N42" s="29" t="str">
        <f t="shared" si="9"/>
        <v>PTE SIDDARTH SREEKUMAR CHERUBAL </v>
      </c>
      <c r="O42" s="29" t="str">
        <f t="shared" si="9"/>
        <v>REC MUHAMAD RIFQY AQIL BIN MUHAMAD SHAH </v>
      </c>
      <c r="P42" s="29" t="str">
        <f t="shared" si="9"/>
        <v>PTE SHAVIN VALEN </v>
      </c>
      <c r="Q42" s="29" t="str">
        <f t="shared" si="9"/>
        <v>3SG ANISH VINAAYAK SIVASANKAR</v>
      </c>
      <c r="R42" s="29" t="str">
        <f t="shared" si="9"/>
        <v>PTE CLARENCE ONG JUN YI </v>
      </c>
      <c r="S42" s="29" t="str">
        <f t="shared" si="9"/>
        <v>PTE FATHUL HAKIM BIN MUHAMMAD FAUZI </v>
      </c>
      <c r="T42" s="29" t="str">
        <f t="shared" si="9"/>
        <v>PTE GUO JUNQI LEO</v>
      </c>
      <c r="U42" s="29" t="str">
        <f t="shared" si="9"/>
        <v>PTE CHEONG JUN KAI, HARRY</v>
      </c>
      <c r="V42" s="29" t="str">
        <f t="shared" si="9"/>
        <v>PTE BRYAN MARC MEHAR</v>
      </c>
      <c r="W42" s="29" t="str">
        <f t="shared" si="9"/>
        <v>PTE SONG HAOYAN</v>
      </c>
      <c r="X42" s="29" t="str">
        <f t="shared" si="9"/>
        <v>PTE EBRAHIM HAKEEM BIN AMEEHAR </v>
      </c>
      <c r="Y42" s="29" t="str">
        <f t="shared" si="9"/>
        <v>CPL SURIAPRAKASH THRIUVALAKU</v>
      </c>
      <c r="Z42" s="29" t="str">
        <f t="shared" si="9"/>
        <v>PTE SHYEIKH SALEH HUSSAIN BIN MOHAMMED SULAIMAN</v>
      </c>
      <c r="AA42" s="29" t="str">
        <f t="shared" si="9"/>
        <v>CPL JERRYL TAN MING JIE </v>
      </c>
      <c r="AB42" s="29" t="str">
        <f t="shared" si="9"/>
        <v>REC MUHAMMAD NUR HAKIM BIN SHAHARIZIN </v>
      </c>
      <c r="AC42" s="29" t="str">
        <f t="shared" si="9"/>
        <v>REC MUHAMAD RIFQY AQIL BIN MUHAMAD SHAH </v>
      </c>
      <c r="AD42" s="29" t="str">
        <f t="shared" si="9"/>
        <v>PTE RYAN TAY RUI YANG</v>
      </c>
      <c r="AE42" s="29" t="str">
        <f t="shared" si="9"/>
        <v>PTE TAN WEI JIE</v>
      </c>
      <c r="AF42" s="29" t="str">
        <f t="shared" si="9"/>
        <v>CPL ISAAC LOH KA LOK</v>
      </c>
      <c r="AG42" s="29" t="str">
        <f t="shared" si="9"/>
        <v>PTE BRYAN MARC MEHAR</v>
      </c>
      <c r="AH42" s="29" t="str">
        <f t="shared" si="9"/>
        <v>PTE SIDDARTH SREEKUMAR CHERUBAL </v>
      </c>
      <c r="AI42" s="29" t="str">
        <f t="shared" si="9"/>
        <v>CPL AUSTIN MAXIMILLIAN KOLBE LIM KIM</v>
      </c>
      <c r="AJ42" s="29" t="str">
        <f t="shared" si="9"/>
        <v>LCP DYLAN TAN</v>
      </c>
      <c r="AK42" s="29" t="str">
        <f t="shared" si="9"/>
        <v>PTE DARYL SEOW  SHI YU</v>
      </c>
      <c r="AL42" s="29" t="str">
        <f t="shared" si="9"/>
        <v>PTE OH EE BING</v>
      </c>
      <c r="AM42" s="29" t="str">
        <f t="shared" si="9"/>
        <v>PTE WANG XINHANG</v>
      </c>
      <c r="AN42" s="29" t="str">
        <f t="shared" si="9"/>
        <v>PTE MUHAMMAD HILAL IZDIHAR BIN MOHAMAD IZZUL SHAH</v>
      </c>
      <c r="AO42" s="29" t="str">
        <f t="shared" si="9"/>
        <v>PTE FATHUL HAKIM BIN MUHAMMAD FAUZI </v>
      </c>
      <c r="AP42" s="29" t="str">
        <f t="shared" si="9"/>
        <v>CPL NICO CHUA WEE FONG </v>
      </c>
      <c r="AQ42" s="29" t="str">
        <f t="shared" si="9"/>
        <v>PTE JULLION THNG AIK HONG </v>
      </c>
      <c r="AR42" s="29" t="str">
        <f t="shared" si="9"/>
        <v>#N/A</v>
      </c>
      <c r="AS42" s="29" t="str">
        <f t="shared" si="9"/>
        <v>#N/A</v>
      </c>
      <c r="AT42" s="29" t="str">
        <f t="array" ref="AT42">IFERROR(INDEX($A$3:$A$37, MATCH(1, INDEX($F$3:$AQ$37, 0, MATCH(L3, $F$2:$AV$2, 0)), 0)), INDEX($A$3:$A$37, MATCH(1, INDEX($F$3:$AQ$37, 0, MATCH(L3&amp;" AM", $F$2:$AV$2, 0)), 0)))</f>
        <v>#N/A</v>
      </c>
      <c r="AU42" s="29" t="str">
        <f t="shared" ref="AU42:AV42" si="10">IFERROR(INDEX($A$3:$A$37, MATCH(1, INDEX($F$3:$AQ$37, 0, MATCH(N3, $F$2:$AV$2, 0)), 0)), INDEX($A$3:$A$37, MATCH(1, INDEX($F$3:$AQ$37, 0, MATCH(N3&amp;" AM", $F$2:$AV$2, 0)), 0)))</f>
        <v>#N/A</v>
      </c>
      <c r="AV42" s="29" t="str">
        <f t="shared" si="10"/>
        <v>#N/A</v>
      </c>
      <c r="AW42" s="29" t="str">
        <f t="array" ref="AW42">IFERROR(INDEX($A$3:$A$37, MATCH(1, INDEX($F$3:$AQ$37, 0, MATCH(#REF!, $F$2:$AV$2, 0)), 0)), INDEX($A$3:$A$37, MATCH(1, INDEX($F$3:$AQ$37, 0, MATCH(#REF!&amp;" AM", $F$2:$AV$2, 0)), 0)))</f>
        <v>#REF!</v>
      </c>
    </row>
    <row r="43">
      <c r="E43" s="46" t="s">
        <v>72</v>
      </c>
      <c r="F43" s="28" t="str">
        <f t="shared" ref="F43:AS43" si="11">INDEX($A$3:$A$38, MATCH("R", INDEX($F$3:$AQ$38, 0, MATCH(F2, $F$2:$AV$2, 0)), 0))</f>
        <v>PTE EBRAHIM HAKEEM BIN AMEEHAR </v>
      </c>
      <c r="G43" s="28" t="str">
        <f t="shared" si="11"/>
        <v>PTE CHEONG JUN KAI, HARRY</v>
      </c>
      <c r="H43" s="28" t="str">
        <f t="shared" si="11"/>
        <v>3SG ANISH VINAAYAK SIVASANKAR</v>
      </c>
      <c r="I43" s="28" t="str">
        <f t="shared" si="11"/>
        <v>PTE CHONG SIANG NATHAN</v>
      </c>
      <c r="J43" s="28" t="str">
        <f t="shared" si="11"/>
        <v>PTE JULLION THNG AIK HONG </v>
      </c>
      <c r="K43" s="28" t="str">
        <f t="shared" si="11"/>
        <v>PTE SIDDARTH SREEKUMAR CHERUBAL </v>
      </c>
      <c r="L43" s="28" t="str">
        <f t="shared" si="11"/>
        <v>PTE GUO JUNQI LEO</v>
      </c>
      <c r="M43" s="28" t="str">
        <f t="shared" si="11"/>
        <v>REC MUHAMAD RIFQY AQIL BIN MUHAMAD SHAH </v>
      </c>
      <c r="N43" s="28" t="str">
        <f t="shared" si="11"/>
        <v>CPL NICO CHUA WEE FONG </v>
      </c>
      <c r="O43" s="28" t="str">
        <f t="shared" si="11"/>
        <v>PTE SONG HAOYAN</v>
      </c>
      <c r="P43" s="28" t="str">
        <f t="shared" si="11"/>
        <v>PTE TAN WEI JIE</v>
      </c>
      <c r="Q43" s="28" t="str">
        <f t="shared" si="11"/>
        <v>PTE CHEONG JUN KAI, HARRY</v>
      </c>
      <c r="R43" s="28" t="str">
        <f t="shared" si="11"/>
        <v>PTE SHYEIKH SALEH HUSSAIN BIN MOHAMMED SULAIMAN</v>
      </c>
      <c r="S43" s="28" t="str">
        <f t="shared" si="11"/>
        <v>LCP IMRAN</v>
      </c>
      <c r="T43" s="28" t="str">
        <f t="shared" si="11"/>
        <v>PTE OH EE BING</v>
      </c>
      <c r="U43" s="28" t="str">
        <f t="shared" si="11"/>
        <v>PTE CHONG SIANG NATHAN</v>
      </c>
      <c r="V43" s="28" t="str">
        <f t="shared" si="11"/>
        <v>CPL AUSTIN MAXIMILLIAN KOLBE LIM KIM</v>
      </c>
      <c r="W43" s="28" t="str">
        <f t="shared" si="11"/>
        <v>PTE WANG XINHANG</v>
      </c>
      <c r="X43" s="28" t="str">
        <f t="shared" si="11"/>
        <v>PTE BRYAN MARC MEHAR</v>
      </c>
      <c r="Y43" s="28" t="str">
        <f t="shared" si="11"/>
        <v>CPL JERRYL TAN MING JIE </v>
      </c>
      <c r="Z43" s="28" t="str">
        <f t="shared" si="11"/>
        <v>CPL MITCHELL LIM </v>
      </c>
      <c r="AA43" s="28" t="str">
        <f t="shared" si="11"/>
        <v>PTE EBRAHIM HAKEEM BIN AMEEHAR </v>
      </c>
      <c r="AB43" s="28" t="str">
        <f t="shared" si="11"/>
        <v>PTE SONG HAOYAN</v>
      </c>
      <c r="AC43" s="28" t="str">
        <f t="shared" si="11"/>
        <v>PTE MOHAMED ROSHAN AKTAR BIN AZEES ALI </v>
      </c>
      <c r="AD43" s="28" t="str">
        <f t="shared" si="11"/>
        <v>PTE JULLION THNG AIK HONG </v>
      </c>
      <c r="AE43" s="28" t="str">
        <f t="shared" si="11"/>
        <v>PTE JEREMIAH FOO JI SHUAN</v>
      </c>
      <c r="AF43" s="28" t="str">
        <f t="shared" si="11"/>
        <v>PTE HUANG JIANHAO</v>
      </c>
      <c r="AG43" s="28" t="str">
        <f t="shared" si="11"/>
        <v>REC MUHAMAD RIFQY AQIL BIN MUHAMAD SHAH </v>
      </c>
      <c r="AH43" s="28" t="str">
        <f t="shared" si="11"/>
        <v>CPL ISAAC LOH KA LOK</v>
      </c>
      <c r="AI43" s="28" t="str">
        <f t="shared" si="11"/>
        <v>CPL JERRYL TAN MING JIE </v>
      </c>
      <c r="AJ43" s="28" t="str">
        <f t="shared" si="11"/>
        <v>CPL SURIAPRAKASH THRIUVALAKU</v>
      </c>
      <c r="AK43" s="28" t="str">
        <f t="shared" si="11"/>
        <v>PTE SHAVIN VALEN </v>
      </c>
      <c r="AL43" s="28" t="str">
        <f t="shared" si="11"/>
        <v>PTE MUHAMMAD HILAL IZDIHAR BIN MOHAMAD IZZUL SHAH</v>
      </c>
      <c r="AM43" s="28" t="str">
        <f t="shared" si="11"/>
        <v>PTE CLARENCE ONG JUN YI </v>
      </c>
      <c r="AN43" s="28" t="str">
        <f t="shared" si="11"/>
        <v>REC MUHAMMAD NUR HAKIM BIN SHAHARIZIN </v>
      </c>
      <c r="AO43" s="28" t="str">
        <f t="shared" si="11"/>
        <v>CPL AUSTIN MAXIMILLIAN KOLBE LIM KIM</v>
      </c>
      <c r="AP43" s="28" t="str">
        <f t="shared" si="11"/>
        <v>LCP DYLAN TAN</v>
      </c>
      <c r="AQ43" s="28" t="str">
        <f t="shared" si="11"/>
        <v>PTE CHEONG KAI JIE</v>
      </c>
      <c r="AR43" s="28" t="str">
        <f t="shared" si="11"/>
        <v>#N/A</v>
      </c>
      <c r="AS43" s="28" t="str">
        <f t="shared" si="11"/>
        <v>#N/A</v>
      </c>
      <c r="AT43" s="28" t="str">
        <f t="array" ref="AT43">INDEX($A$3:$A$37, MATCH("R", INDEX($F$3:$AQ$37, 0, MATCH(L3, $F$2:$AV$2, 0)), 0))</f>
        <v>#N/A</v>
      </c>
      <c r="AU43" s="28" t="str">
        <f t="shared" ref="AU43:AV43" si="12">INDEX($A$3:$A$37, MATCH("R", INDEX($F$3:$AQ$37, 0, MATCH(N3, $F$2:$AV$2, 0)), 0))</f>
        <v>#N/A</v>
      </c>
      <c r="AV43" s="28" t="str">
        <f t="shared" si="12"/>
        <v>#N/A</v>
      </c>
      <c r="AW43" s="28" t="str">
        <f t="array" ref="AW43">INDEX($A$3:$A$37, MATCH("R", INDEX($F$3:$AQ$37, 0, MATCH(#REF!, $F$2:$AV$2, 0)), 0))</f>
        <v>#REF!</v>
      </c>
    </row>
    <row r="44">
      <c r="A44" s="17" t="s">
        <v>232</v>
      </c>
      <c r="C44" s="49">
        <f>COUNTA($F$1:$AQ1)</f>
        <v>38</v>
      </c>
      <c r="E44" s="46" t="s">
        <v>70</v>
      </c>
      <c r="F44" s="30" t="str">
        <f t="shared" ref="F44:AS44" si="13">INDEX($A$3:$A$38, MATCH("R2", INDEX($F$3:$AQ$38, 0, MATCH(F2, $F$2:$AV$2, 0)), 0))</f>
        <v>REC MUHAMAD RIFQY AQIL BIN MUHAMAD SHAH </v>
      </c>
      <c r="G44" s="30" t="str">
        <f t="shared" si="13"/>
        <v>PTE GUO JUNQI LEO</v>
      </c>
      <c r="H44" s="30" t="str">
        <f t="shared" si="13"/>
        <v>PTE OH EE BING</v>
      </c>
      <c r="I44" s="30" t="str">
        <f t="shared" si="13"/>
        <v>PTE TAN WEI JIE</v>
      </c>
      <c r="J44" s="30" t="str">
        <f t="shared" si="13"/>
        <v>PTE MUHAMMAD HILAL IZDIHAR BIN MOHAMAD IZZUL SHAH</v>
      </c>
      <c r="K44" s="30" t="str">
        <f t="shared" si="13"/>
        <v>PTE SHYEIKH SALEH HUSSAIN BIN MOHAMMED SULAIMAN</v>
      </c>
      <c r="L44" s="30" t="str">
        <f t="shared" si="13"/>
        <v>PTE SONG HAOYAN</v>
      </c>
      <c r="M44" s="30" t="str">
        <f t="shared" si="13"/>
        <v>PTE FATHUL HAKIM BIN MUHAMMAD FAUZI </v>
      </c>
      <c r="N44" s="30" t="str">
        <f t="shared" si="13"/>
        <v>CPL SURIAPRAKASH THRIUVALAKU</v>
      </c>
      <c r="O44" s="30" t="str">
        <f t="shared" si="13"/>
        <v>PTE EBRAHIM HAKEEM BIN AMEEHAR </v>
      </c>
      <c r="P44" s="30" t="str">
        <f t="shared" si="13"/>
        <v>CPL MITCHELL LIM </v>
      </c>
      <c r="Q44" s="30" t="str">
        <f t="shared" si="13"/>
        <v>PTE RYAN TAY RUI YANG</v>
      </c>
      <c r="R44" s="30" t="str">
        <f t="shared" si="13"/>
        <v>CPL NICO CHUA WEE FONG </v>
      </c>
      <c r="S44" s="30" t="str">
        <f t="shared" si="13"/>
        <v>PTE WANG XINHANG</v>
      </c>
      <c r="T44" s="30" t="str">
        <f t="shared" si="13"/>
        <v>PTE SHAVIN VALEN </v>
      </c>
      <c r="U44" s="30" t="str">
        <f t="shared" si="13"/>
        <v>PTE CLARENCE ONG JUN YI </v>
      </c>
      <c r="V44" s="30" t="str">
        <f t="shared" si="13"/>
        <v>PTE MOHAMED ROSHAN AKTAR BIN AZEES ALI </v>
      </c>
      <c r="W44" s="30" t="str">
        <f t="shared" si="13"/>
        <v>LCP IMRAN</v>
      </c>
      <c r="X44" s="30" t="str">
        <f t="shared" si="13"/>
        <v>REC MUHAMAD RIFQY AQIL BIN MUHAMAD SHAH </v>
      </c>
      <c r="Y44" s="30" t="str">
        <f t="shared" si="13"/>
        <v>PTE SIDDARTH SREEKUMAR CHERUBAL </v>
      </c>
      <c r="Z44" s="30" t="str">
        <f t="shared" si="13"/>
        <v>PTE DARYL SEOW  SHI YU</v>
      </c>
      <c r="AA44" s="30" t="str">
        <f t="shared" si="13"/>
        <v>CPL AUSTIN MAXIMILLIAN KOLBE LIM KIM</v>
      </c>
      <c r="AB44" s="30" t="str">
        <f t="shared" si="13"/>
        <v>CPL ISAAC LOH KA LOK</v>
      </c>
      <c r="AC44" s="30" t="str">
        <f t="shared" si="13"/>
        <v>PTE BRYAN MARC MEHAR</v>
      </c>
      <c r="AD44" s="30" t="str">
        <f t="shared" si="13"/>
        <v>LCP DYLAN TAN</v>
      </c>
      <c r="AE44" s="30" t="str">
        <f t="shared" si="13"/>
        <v>PTE CHONG SIANG NATHAN</v>
      </c>
      <c r="AF44" s="30" t="str">
        <f t="shared" si="13"/>
        <v>PTE MUHAMMAD HILAL IZDIHAR BIN MOHAMAD IZZUL SHAH</v>
      </c>
      <c r="AG44" s="30" t="str">
        <f t="shared" si="13"/>
        <v>PTE EBRAHIM HAKEEM BIN AMEEHAR </v>
      </c>
      <c r="AH44" s="30" t="str">
        <f t="shared" si="13"/>
        <v>PTE CHONG SIANG NATHAN</v>
      </c>
      <c r="AI44" s="30" t="str">
        <f t="shared" si="13"/>
        <v>PTE JULLION THNG AIK HONG </v>
      </c>
      <c r="AJ44" s="30" t="str">
        <f t="shared" si="13"/>
        <v>REC MUHAMMAD NUR HAKIM BIN SHAHARIZIN </v>
      </c>
      <c r="AK44" s="30" t="str">
        <f t="shared" si="13"/>
        <v>3SG ANISH VINAAYAK SIVASANKAR</v>
      </c>
      <c r="AL44" s="30" t="str">
        <f t="shared" si="13"/>
        <v>CPL MITCHELL LIM </v>
      </c>
      <c r="AM44" s="30" t="str">
        <f t="shared" si="13"/>
        <v>PTE CHEONG KAI JIE</v>
      </c>
      <c r="AN44" s="30" t="str">
        <f t="shared" si="13"/>
        <v>PTE SHYEIKH SALEH HUSSAIN BIN MOHAMMED SULAIMAN</v>
      </c>
      <c r="AO44" s="30" t="str">
        <f t="shared" si="13"/>
        <v>3SG ANISH VINAAYAK SIVASANKAR</v>
      </c>
      <c r="AP44" s="30" t="str">
        <f t="shared" si="13"/>
        <v>CPL JERRYL TAN MING JIE </v>
      </c>
      <c r="AQ44" s="30" t="str">
        <f t="shared" si="13"/>
        <v>PTE JEREMIAH FOO JI SHUAN</v>
      </c>
      <c r="AR44" s="30" t="str">
        <f t="shared" si="13"/>
        <v>#N/A</v>
      </c>
      <c r="AS44" s="30" t="str">
        <f t="shared" si="13"/>
        <v>#N/A</v>
      </c>
      <c r="AT44" s="30" t="str">
        <f t="array" ref="AT44">INDEX($A$3:$A$37, MATCH("R2", INDEX($F$3:$AQ$37, 0, MATCH(L3, $F$2:$AV$2, 0)), 0))</f>
        <v>#N/A</v>
      </c>
      <c r="AU44" s="30" t="str">
        <f t="shared" ref="AU44:AV44" si="14">INDEX($A$3:$A$37, MATCH("R2", INDEX($F$3:$AQ$37, 0, MATCH(N3, $F$2:$AV$2, 0)), 0))</f>
        <v>#N/A</v>
      </c>
      <c r="AV44" s="30" t="str">
        <f t="shared" si="14"/>
        <v>#N/A</v>
      </c>
      <c r="AW44" s="30" t="str">
        <f t="array" ref="AW44">INDEX($A$3:$A$37, MATCH("R2", INDEX($F$3:$AQ$37, 0, MATCH(#REF!, $F$2:$AV$2, 0)), 0))</f>
        <v>#REF!</v>
      </c>
    </row>
    <row r="45">
      <c r="A45" s="17" t="s">
        <v>154</v>
      </c>
      <c r="C45" s="50">
        <f>SUBTOTAL(103, $A$3:$A$38)
</f>
        <v>33</v>
      </c>
      <c r="M45" s="31"/>
      <c r="N45" s="31"/>
    </row>
    <row r="46">
      <c r="I46" s="17"/>
      <c r="M46" s="31"/>
      <c r="N46" s="31"/>
    </row>
    <row r="47">
      <c r="F47" s="17" t="s">
        <v>675</v>
      </c>
      <c r="I47" s="17"/>
      <c r="M47" s="31"/>
      <c r="N47" s="31"/>
    </row>
    <row r="48">
      <c r="A48" s="26" t="s">
        <v>118</v>
      </c>
      <c r="F48" s="17" t="s">
        <v>641</v>
      </c>
      <c r="G48" s="17" t="s">
        <v>642</v>
      </c>
      <c r="H48" s="162">
        <v>46115.0</v>
      </c>
      <c r="I48" s="17" t="s">
        <v>643</v>
      </c>
      <c r="M48" s="31"/>
      <c r="N48" s="31"/>
    </row>
    <row r="49">
      <c r="A49" s="25" t="s">
        <v>119</v>
      </c>
      <c r="G49" s="17" t="s">
        <v>650</v>
      </c>
      <c r="I49" s="17"/>
      <c r="J49" s="162">
        <v>46083.0</v>
      </c>
      <c r="K49" s="17"/>
      <c r="L49" s="17" t="s">
        <v>676</v>
      </c>
      <c r="M49" s="31"/>
      <c r="N49" s="31"/>
    </row>
    <row r="50">
      <c r="A50" s="22" t="s">
        <v>120</v>
      </c>
      <c r="G50" s="17" t="s">
        <v>677</v>
      </c>
      <c r="H50" s="17">
        <v>80126.0</v>
      </c>
      <c r="J50" s="17">
        <v>1.0</v>
      </c>
      <c r="L50" s="17" t="s">
        <v>678</v>
      </c>
      <c r="M50" s="31"/>
      <c r="N50" s="31"/>
    </row>
    <row r="51">
      <c r="A51" s="20" t="s">
        <v>121</v>
      </c>
      <c r="G51" s="17" t="s">
        <v>679</v>
      </c>
      <c r="H51" s="17">
        <v>170126.0</v>
      </c>
      <c r="J51" s="17">
        <v>1.0</v>
      </c>
      <c r="L51" s="47"/>
      <c r="M51" s="31"/>
      <c r="N51" s="31"/>
    </row>
    <row r="52">
      <c r="A52" s="23" t="s">
        <v>122</v>
      </c>
      <c r="G52" s="17" t="s">
        <v>680</v>
      </c>
      <c r="H52" s="17">
        <v>190126.0</v>
      </c>
      <c r="J52" s="17">
        <v>0.0</v>
      </c>
      <c r="L52" s="47"/>
      <c r="M52" s="31"/>
      <c r="N52" s="31"/>
    </row>
    <row r="53">
      <c r="A53" s="14" t="s">
        <v>123</v>
      </c>
      <c r="G53" s="17" t="s">
        <v>681</v>
      </c>
      <c r="H53" s="17">
        <v>230126.0</v>
      </c>
      <c r="J53" s="17">
        <v>1.0</v>
      </c>
      <c r="L53" s="47"/>
      <c r="M53" s="31"/>
    </row>
    <row r="54">
      <c r="A54" s="9" t="s">
        <v>125</v>
      </c>
      <c r="M54" s="31"/>
    </row>
    <row r="55">
      <c r="A55" s="44" t="s">
        <v>126</v>
      </c>
      <c r="C55" s="31"/>
      <c r="M55" s="31"/>
    </row>
    <row r="56">
      <c r="A56" s="62" t="s">
        <v>203</v>
      </c>
      <c r="M56" s="31"/>
      <c r="N56" s="31"/>
    </row>
    <row r="57">
      <c r="A57" s="70" t="s">
        <v>233</v>
      </c>
      <c r="M57" s="31"/>
      <c r="N57" s="47"/>
    </row>
    <row r="58">
      <c r="A58" s="69" t="s">
        <v>234</v>
      </c>
      <c r="M58" s="31"/>
      <c r="N58" s="47"/>
    </row>
    <row r="59">
      <c r="A59" s="27" t="s">
        <v>124</v>
      </c>
      <c r="M59" s="31"/>
    </row>
    <row r="60">
      <c r="A60" s="24" t="s">
        <v>528</v>
      </c>
      <c r="I60" s="17" t="s">
        <v>649</v>
      </c>
      <c r="J60" s="17" t="s">
        <v>650</v>
      </c>
      <c r="M60" s="31"/>
      <c r="N60" s="31"/>
    </row>
    <row r="61">
      <c r="M61" s="31"/>
      <c r="N61" s="31"/>
    </row>
    <row r="62">
      <c r="M62" s="31"/>
      <c r="N62" s="31"/>
    </row>
    <row r="63">
      <c r="M63" s="31"/>
      <c r="N63" s="31"/>
    </row>
    <row r="64">
      <c r="M64" s="31"/>
      <c r="N64" s="31"/>
    </row>
    <row r="65">
      <c r="M65" s="31"/>
      <c r="N65" s="31"/>
    </row>
    <row r="66">
      <c r="M66" s="31"/>
      <c r="N66" s="31"/>
    </row>
    <row r="67">
      <c r="M67" s="31"/>
      <c r="N67" s="31"/>
    </row>
    <row r="68">
      <c r="M68" s="31"/>
      <c r="N68" s="31"/>
    </row>
    <row r="69">
      <c r="M69" s="31"/>
      <c r="N69" s="31"/>
    </row>
    <row r="70">
      <c r="M70" s="31"/>
      <c r="N70" s="31"/>
    </row>
    <row r="71">
      <c r="M71" s="31"/>
      <c r="N71" s="31"/>
    </row>
    <row r="72">
      <c r="M72" s="31"/>
      <c r="N72" s="31"/>
    </row>
    <row r="73">
      <c r="M73" s="31"/>
      <c r="N73" s="31"/>
    </row>
    <row r="74">
      <c r="M74" s="31"/>
      <c r="N74" s="31"/>
    </row>
    <row r="75">
      <c r="M75" s="31"/>
      <c r="N75" s="31"/>
    </row>
    <row r="76">
      <c r="M76" s="31"/>
      <c r="N76" s="31"/>
    </row>
    <row r="77">
      <c r="M77" s="31"/>
      <c r="N77" s="31"/>
    </row>
    <row r="78">
      <c r="M78" s="31"/>
      <c r="N78" s="31"/>
    </row>
    <row r="79">
      <c r="M79" s="31"/>
      <c r="N79" s="31"/>
    </row>
    <row r="80">
      <c r="M80" s="31"/>
      <c r="N80" s="31"/>
    </row>
    <row r="81">
      <c r="M81" s="31"/>
      <c r="N81" s="31"/>
    </row>
    <row r="82">
      <c r="M82" s="31"/>
      <c r="N82" s="31"/>
    </row>
    <row r="83">
      <c r="M83" s="31"/>
      <c r="N83" s="31"/>
    </row>
    <row r="84">
      <c r="M84" s="31"/>
      <c r="N84" s="31"/>
    </row>
    <row r="85">
      <c r="M85" s="31"/>
      <c r="N85" s="31"/>
    </row>
    <row r="86">
      <c r="M86" s="31"/>
      <c r="N86" s="31"/>
    </row>
    <row r="87">
      <c r="M87" s="31"/>
      <c r="N87" s="31"/>
    </row>
    <row r="88">
      <c r="M88" s="31"/>
      <c r="N88" s="31"/>
    </row>
    <row r="89">
      <c r="M89" s="31"/>
      <c r="N89" s="31"/>
    </row>
    <row r="90">
      <c r="M90" s="31"/>
      <c r="N90" s="31"/>
    </row>
    <row r="91">
      <c r="M91" s="31"/>
      <c r="N91" s="31"/>
    </row>
    <row r="92">
      <c r="M92" s="31"/>
      <c r="N92" s="31"/>
    </row>
    <row r="93">
      <c r="M93" s="31"/>
      <c r="N93" s="31"/>
    </row>
    <row r="94">
      <c r="M94" s="31"/>
      <c r="N94" s="31"/>
    </row>
    <row r="95">
      <c r="M95" s="31"/>
      <c r="N95" s="31"/>
    </row>
    <row r="96">
      <c r="M96" s="31"/>
      <c r="N96" s="31"/>
    </row>
    <row r="97">
      <c r="M97" s="31"/>
      <c r="N97" s="31"/>
    </row>
    <row r="98">
      <c r="M98" s="31"/>
      <c r="N98" s="31"/>
    </row>
    <row r="99">
      <c r="M99" s="31"/>
      <c r="N99" s="31"/>
    </row>
    <row r="100">
      <c r="M100" s="31"/>
      <c r="N100" s="31"/>
    </row>
    <row r="101">
      <c r="M101" s="31"/>
      <c r="N101" s="31"/>
    </row>
    <row r="102">
      <c r="M102" s="31"/>
      <c r="N102" s="31"/>
    </row>
    <row r="103">
      <c r="M103" s="31"/>
      <c r="N103" s="31"/>
    </row>
    <row r="104">
      <c r="M104" s="31"/>
      <c r="N104" s="31"/>
    </row>
    <row r="105">
      <c r="M105" s="31"/>
      <c r="N105" s="31"/>
    </row>
    <row r="106">
      <c r="M106" s="31"/>
      <c r="N106" s="31"/>
    </row>
    <row r="107">
      <c r="M107" s="31"/>
      <c r="N107" s="31"/>
    </row>
    <row r="108">
      <c r="M108" s="31"/>
      <c r="N108" s="31"/>
    </row>
    <row r="109">
      <c r="M109" s="31"/>
      <c r="N109" s="31"/>
    </row>
    <row r="110">
      <c r="M110" s="31"/>
      <c r="N110" s="31"/>
    </row>
    <row r="111">
      <c r="M111" s="31"/>
      <c r="N111" s="31"/>
    </row>
    <row r="112">
      <c r="M112" s="31"/>
      <c r="N112" s="31"/>
    </row>
    <row r="113">
      <c r="M113" s="31"/>
      <c r="N113" s="31"/>
    </row>
    <row r="114">
      <c r="M114" s="31"/>
      <c r="N114" s="31"/>
    </row>
    <row r="115">
      <c r="M115" s="31"/>
      <c r="N115" s="31"/>
    </row>
    <row r="116">
      <c r="M116" s="31"/>
      <c r="N116" s="31"/>
    </row>
    <row r="117">
      <c r="M117" s="31"/>
      <c r="N117" s="31"/>
    </row>
    <row r="118">
      <c r="M118" s="31"/>
      <c r="N118" s="31"/>
    </row>
    <row r="119">
      <c r="M119" s="31"/>
      <c r="N119" s="31"/>
    </row>
    <row r="120">
      <c r="M120" s="31"/>
      <c r="N120" s="31"/>
    </row>
    <row r="121">
      <c r="M121" s="31"/>
      <c r="N121" s="31"/>
    </row>
    <row r="122">
      <c r="M122" s="31"/>
      <c r="N122" s="31"/>
    </row>
    <row r="123">
      <c r="M123" s="31"/>
      <c r="N123" s="31"/>
    </row>
    <row r="124">
      <c r="M124" s="31"/>
      <c r="N124" s="31"/>
    </row>
    <row r="125">
      <c r="M125" s="31"/>
      <c r="N125" s="31"/>
    </row>
    <row r="126">
      <c r="M126" s="31"/>
      <c r="N126" s="31"/>
    </row>
    <row r="127">
      <c r="M127" s="31"/>
      <c r="N127" s="31"/>
    </row>
    <row r="128">
      <c r="M128" s="31"/>
      <c r="N128" s="31"/>
    </row>
    <row r="129">
      <c r="M129" s="31"/>
      <c r="N129" s="31"/>
    </row>
    <row r="130">
      <c r="M130" s="31"/>
      <c r="N130" s="31"/>
    </row>
    <row r="131">
      <c r="M131" s="31"/>
      <c r="N131" s="31"/>
    </row>
    <row r="132">
      <c r="M132" s="31"/>
      <c r="N132" s="31"/>
    </row>
    <row r="133">
      <c r="M133" s="31"/>
      <c r="N133" s="31"/>
    </row>
    <row r="134">
      <c r="M134" s="31"/>
      <c r="N134" s="31"/>
    </row>
    <row r="135">
      <c r="M135" s="31"/>
      <c r="N135" s="31"/>
    </row>
    <row r="136">
      <c r="M136" s="31"/>
      <c r="N136" s="31"/>
    </row>
    <row r="137">
      <c r="M137" s="31"/>
      <c r="N137" s="31"/>
    </row>
    <row r="138">
      <c r="M138" s="31"/>
      <c r="N138" s="31"/>
    </row>
    <row r="139">
      <c r="M139" s="31"/>
      <c r="N139" s="31"/>
    </row>
    <row r="140">
      <c r="M140" s="31"/>
      <c r="N140" s="31"/>
    </row>
    <row r="141">
      <c r="M141" s="31"/>
      <c r="N141" s="31"/>
    </row>
    <row r="142">
      <c r="M142" s="31"/>
      <c r="N142" s="31"/>
    </row>
    <row r="143">
      <c r="M143" s="31"/>
      <c r="N143" s="31"/>
    </row>
    <row r="144">
      <c r="M144" s="31"/>
      <c r="N144" s="31"/>
    </row>
    <row r="145">
      <c r="M145" s="31"/>
      <c r="N145" s="31"/>
    </row>
    <row r="146">
      <c r="M146" s="31"/>
      <c r="N146" s="31"/>
    </row>
    <row r="147">
      <c r="M147" s="31"/>
      <c r="N147" s="31"/>
    </row>
    <row r="148">
      <c r="M148" s="31"/>
      <c r="N148" s="31"/>
    </row>
    <row r="149">
      <c r="M149" s="31"/>
      <c r="N149" s="31"/>
    </row>
    <row r="150">
      <c r="M150" s="31"/>
      <c r="N150" s="31"/>
    </row>
    <row r="151">
      <c r="M151" s="31"/>
      <c r="N151" s="31"/>
    </row>
    <row r="152">
      <c r="M152" s="31"/>
      <c r="N152" s="31"/>
    </row>
    <row r="153">
      <c r="M153" s="31"/>
      <c r="N153" s="31"/>
    </row>
    <row r="154">
      <c r="M154" s="31"/>
      <c r="N154" s="31"/>
    </row>
    <row r="155">
      <c r="M155" s="31"/>
      <c r="N155" s="31"/>
    </row>
    <row r="156">
      <c r="M156" s="31"/>
      <c r="N156" s="31"/>
    </row>
    <row r="157">
      <c r="M157" s="31"/>
      <c r="N157" s="31"/>
    </row>
    <row r="158">
      <c r="M158" s="31"/>
      <c r="N158" s="31"/>
    </row>
    <row r="159">
      <c r="M159" s="31"/>
      <c r="N159" s="31"/>
    </row>
    <row r="160">
      <c r="M160" s="31"/>
      <c r="N160" s="31"/>
    </row>
    <row r="161">
      <c r="M161" s="31"/>
      <c r="N161" s="31"/>
    </row>
    <row r="162">
      <c r="M162" s="31"/>
      <c r="N162" s="31"/>
    </row>
    <row r="163">
      <c r="M163" s="31"/>
      <c r="N163" s="31"/>
    </row>
    <row r="164">
      <c r="M164" s="31"/>
      <c r="N164" s="31"/>
    </row>
    <row r="165">
      <c r="M165" s="31"/>
      <c r="N165" s="31"/>
    </row>
    <row r="166">
      <c r="M166" s="31"/>
      <c r="N166" s="31"/>
    </row>
    <row r="167">
      <c r="M167" s="31"/>
      <c r="N167" s="31"/>
    </row>
    <row r="168">
      <c r="M168" s="31"/>
      <c r="N168" s="31"/>
    </row>
    <row r="169">
      <c r="M169" s="31"/>
      <c r="N169" s="31"/>
    </row>
    <row r="170">
      <c r="M170" s="31"/>
      <c r="N170" s="31"/>
    </row>
    <row r="171">
      <c r="M171" s="31"/>
      <c r="N171" s="31"/>
    </row>
    <row r="172">
      <c r="M172" s="31"/>
      <c r="N172" s="31"/>
    </row>
    <row r="173">
      <c r="M173" s="31"/>
      <c r="N173" s="31"/>
    </row>
    <row r="174">
      <c r="M174" s="31"/>
      <c r="N174" s="31"/>
    </row>
    <row r="175">
      <c r="M175" s="31"/>
      <c r="N175" s="31"/>
    </row>
    <row r="176">
      <c r="M176" s="31"/>
      <c r="N176" s="31"/>
    </row>
    <row r="177">
      <c r="M177" s="31"/>
      <c r="N177" s="31"/>
    </row>
    <row r="178">
      <c r="M178" s="31"/>
      <c r="N178" s="31"/>
    </row>
    <row r="179">
      <c r="M179" s="31"/>
      <c r="N179" s="31"/>
    </row>
    <row r="180">
      <c r="M180" s="31"/>
      <c r="N180" s="31"/>
    </row>
    <row r="181">
      <c r="M181" s="31"/>
      <c r="N181" s="31"/>
    </row>
    <row r="182">
      <c r="M182" s="31"/>
      <c r="N182" s="31"/>
    </row>
    <row r="183">
      <c r="M183" s="31"/>
      <c r="N183" s="31"/>
    </row>
    <row r="184">
      <c r="M184" s="31"/>
      <c r="N184" s="31"/>
    </row>
    <row r="185">
      <c r="M185" s="31"/>
      <c r="N185" s="31"/>
    </row>
    <row r="186">
      <c r="M186" s="31"/>
      <c r="N186" s="31"/>
    </row>
    <row r="187">
      <c r="M187" s="31"/>
      <c r="N187" s="31"/>
    </row>
    <row r="188">
      <c r="M188" s="31"/>
      <c r="N188" s="31"/>
    </row>
    <row r="189">
      <c r="M189" s="31"/>
      <c r="N189" s="31"/>
    </row>
    <row r="190">
      <c r="M190" s="31"/>
      <c r="N190" s="31"/>
    </row>
    <row r="191">
      <c r="M191" s="31"/>
      <c r="N191" s="31"/>
    </row>
    <row r="192">
      <c r="M192" s="31"/>
      <c r="N192" s="31"/>
    </row>
    <row r="193">
      <c r="M193" s="31"/>
      <c r="N193" s="31"/>
    </row>
    <row r="194">
      <c r="M194" s="31"/>
      <c r="N194" s="31"/>
    </row>
    <row r="195">
      <c r="M195" s="31"/>
      <c r="N195" s="31"/>
    </row>
    <row r="196">
      <c r="M196" s="31"/>
      <c r="N196" s="31"/>
    </row>
    <row r="197">
      <c r="M197" s="31"/>
      <c r="N197" s="31"/>
    </row>
    <row r="198">
      <c r="M198" s="31"/>
      <c r="N198" s="31"/>
    </row>
    <row r="199">
      <c r="M199" s="31"/>
      <c r="N199" s="31"/>
    </row>
    <row r="200">
      <c r="M200" s="31"/>
      <c r="N200" s="31"/>
    </row>
    <row r="201">
      <c r="M201" s="31"/>
      <c r="N201" s="31"/>
    </row>
    <row r="202">
      <c r="M202" s="31"/>
      <c r="N202" s="31"/>
    </row>
    <row r="203">
      <c r="M203" s="31"/>
      <c r="N203" s="31"/>
    </row>
    <row r="204">
      <c r="M204" s="31"/>
      <c r="N204" s="31"/>
    </row>
    <row r="205">
      <c r="M205" s="31"/>
      <c r="N205" s="31"/>
    </row>
    <row r="206">
      <c r="M206" s="31"/>
      <c r="N206" s="31"/>
    </row>
    <row r="207">
      <c r="M207" s="31"/>
      <c r="N207" s="31"/>
    </row>
    <row r="208">
      <c r="M208" s="31"/>
      <c r="N208" s="31"/>
    </row>
    <row r="209">
      <c r="M209" s="31"/>
      <c r="N209" s="31"/>
    </row>
    <row r="210">
      <c r="M210" s="31"/>
      <c r="N210" s="31"/>
    </row>
    <row r="211">
      <c r="M211" s="31"/>
      <c r="N211" s="31"/>
    </row>
    <row r="212">
      <c r="M212" s="31"/>
      <c r="N212" s="31"/>
    </row>
    <row r="213">
      <c r="M213" s="31"/>
      <c r="N213" s="31"/>
    </row>
    <row r="214">
      <c r="M214" s="31"/>
      <c r="N214" s="31"/>
    </row>
    <row r="215">
      <c r="M215" s="31"/>
      <c r="N215" s="31"/>
    </row>
    <row r="216">
      <c r="M216" s="31"/>
      <c r="N216" s="31"/>
    </row>
    <row r="217">
      <c r="M217" s="31"/>
      <c r="N217" s="31"/>
    </row>
    <row r="218">
      <c r="M218" s="31"/>
      <c r="N218" s="31"/>
    </row>
    <row r="219">
      <c r="M219" s="31"/>
      <c r="N219" s="31"/>
    </row>
    <row r="220">
      <c r="M220" s="31"/>
      <c r="N220" s="31"/>
    </row>
    <row r="221">
      <c r="M221" s="31"/>
      <c r="N221" s="31"/>
    </row>
    <row r="222">
      <c r="M222" s="31"/>
      <c r="N222" s="31"/>
    </row>
    <row r="223">
      <c r="M223" s="31"/>
      <c r="N223" s="31"/>
    </row>
    <row r="224">
      <c r="M224" s="31"/>
      <c r="N224" s="31"/>
    </row>
    <row r="225">
      <c r="M225" s="31"/>
      <c r="N225" s="31"/>
    </row>
    <row r="226">
      <c r="M226" s="31"/>
      <c r="N226" s="31"/>
    </row>
    <row r="227">
      <c r="M227" s="31"/>
      <c r="N227" s="31"/>
    </row>
    <row r="228">
      <c r="M228" s="31"/>
      <c r="N228" s="31"/>
    </row>
    <row r="229">
      <c r="M229" s="31"/>
      <c r="N229" s="31"/>
    </row>
    <row r="230">
      <c r="M230" s="31"/>
      <c r="N230" s="31"/>
    </row>
    <row r="231">
      <c r="M231" s="31"/>
      <c r="N231" s="31"/>
    </row>
    <row r="232">
      <c r="M232" s="31"/>
      <c r="N232" s="31"/>
    </row>
    <row r="233">
      <c r="M233" s="31"/>
      <c r="N233" s="31"/>
    </row>
    <row r="234">
      <c r="M234" s="31"/>
      <c r="N234" s="31"/>
    </row>
    <row r="235">
      <c r="M235" s="31"/>
      <c r="N235" s="31"/>
    </row>
    <row r="236">
      <c r="M236" s="31"/>
      <c r="N236" s="31"/>
    </row>
    <row r="237">
      <c r="M237" s="31"/>
      <c r="N237" s="31"/>
    </row>
    <row r="238">
      <c r="M238" s="31"/>
      <c r="N238" s="31"/>
    </row>
    <row r="239">
      <c r="M239" s="31"/>
      <c r="N239" s="31"/>
    </row>
    <row r="240">
      <c r="M240" s="31"/>
      <c r="N240" s="31"/>
    </row>
    <row r="241">
      <c r="M241" s="31"/>
      <c r="N241" s="31"/>
    </row>
    <row r="242">
      <c r="M242" s="31"/>
      <c r="N242" s="31"/>
    </row>
    <row r="243">
      <c r="M243" s="31"/>
      <c r="N243" s="31"/>
    </row>
    <row r="244">
      <c r="M244" s="31"/>
      <c r="N244" s="31"/>
    </row>
    <row r="245">
      <c r="M245" s="31"/>
      <c r="N245" s="31"/>
    </row>
    <row r="246">
      <c r="M246" s="31"/>
      <c r="N246" s="31"/>
    </row>
    <row r="247">
      <c r="M247" s="31"/>
      <c r="N247" s="31"/>
    </row>
    <row r="248">
      <c r="M248" s="31"/>
      <c r="N248" s="31"/>
    </row>
    <row r="249">
      <c r="M249" s="31"/>
      <c r="N249" s="31"/>
    </row>
    <row r="250">
      <c r="M250" s="31"/>
      <c r="N250" s="31"/>
    </row>
    <row r="251">
      <c r="M251" s="31"/>
      <c r="N251" s="31"/>
    </row>
    <row r="252">
      <c r="M252" s="31"/>
      <c r="N252" s="31"/>
    </row>
    <row r="253">
      <c r="M253" s="31"/>
      <c r="N253" s="31"/>
    </row>
    <row r="254">
      <c r="M254" s="31"/>
      <c r="N254" s="31"/>
    </row>
    <row r="255">
      <c r="M255" s="31"/>
      <c r="N255" s="31"/>
    </row>
    <row r="256">
      <c r="M256" s="31"/>
      <c r="N256" s="31"/>
    </row>
    <row r="257">
      <c r="M257" s="31"/>
      <c r="N257" s="31"/>
    </row>
    <row r="258">
      <c r="M258" s="31"/>
      <c r="N258" s="31"/>
    </row>
    <row r="259">
      <c r="M259" s="31"/>
      <c r="N259" s="31"/>
    </row>
    <row r="260">
      <c r="M260" s="31"/>
      <c r="N260" s="31"/>
    </row>
    <row r="261">
      <c r="M261" s="31"/>
      <c r="N261" s="31"/>
    </row>
    <row r="262">
      <c r="M262" s="31"/>
      <c r="N262" s="31"/>
    </row>
    <row r="263">
      <c r="M263" s="31"/>
      <c r="N263" s="31"/>
    </row>
    <row r="264">
      <c r="M264" s="31"/>
      <c r="N264" s="31"/>
    </row>
    <row r="265">
      <c r="M265" s="31"/>
      <c r="N265" s="31"/>
    </row>
    <row r="266">
      <c r="M266" s="31"/>
      <c r="N266" s="31"/>
    </row>
    <row r="267">
      <c r="M267" s="31"/>
      <c r="N267" s="31"/>
    </row>
    <row r="268">
      <c r="M268" s="31"/>
      <c r="N268" s="31"/>
    </row>
    <row r="269">
      <c r="M269" s="31"/>
      <c r="N269" s="31"/>
    </row>
    <row r="270">
      <c r="M270" s="31"/>
      <c r="N270" s="31"/>
    </row>
    <row r="271">
      <c r="M271" s="31"/>
      <c r="N271" s="31"/>
    </row>
    <row r="272">
      <c r="M272" s="31"/>
      <c r="N272" s="31"/>
    </row>
    <row r="273">
      <c r="M273" s="31"/>
      <c r="N273" s="31"/>
    </row>
    <row r="274">
      <c r="M274" s="31"/>
      <c r="N274" s="31"/>
    </row>
    <row r="275">
      <c r="M275" s="31"/>
      <c r="N275" s="31"/>
    </row>
    <row r="276">
      <c r="M276" s="31"/>
      <c r="N276" s="31"/>
    </row>
    <row r="277">
      <c r="M277" s="31"/>
      <c r="N277" s="31"/>
    </row>
    <row r="278">
      <c r="M278" s="31"/>
      <c r="N278" s="31"/>
    </row>
    <row r="279">
      <c r="M279" s="31"/>
      <c r="N279" s="31"/>
    </row>
    <row r="280">
      <c r="M280" s="31"/>
      <c r="N280" s="31"/>
    </row>
    <row r="281">
      <c r="M281" s="31"/>
      <c r="N281" s="31"/>
    </row>
    <row r="282">
      <c r="M282" s="31"/>
      <c r="N282" s="31"/>
    </row>
    <row r="283">
      <c r="M283" s="31"/>
      <c r="N283" s="31"/>
    </row>
    <row r="284">
      <c r="M284" s="31"/>
      <c r="N284" s="31"/>
    </row>
    <row r="285">
      <c r="M285" s="31"/>
      <c r="N285" s="31"/>
    </row>
    <row r="286">
      <c r="M286" s="31"/>
      <c r="N286" s="31"/>
    </row>
    <row r="287">
      <c r="M287" s="31"/>
      <c r="N287" s="31"/>
    </row>
    <row r="288">
      <c r="M288" s="31"/>
      <c r="N288" s="31"/>
    </row>
    <row r="289">
      <c r="M289" s="31"/>
      <c r="N289" s="31"/>
    </row>
    <row r="290">
      <c r="M290" s="31"/>
      <c r="N290" s="31"/>
    </row>
    <row r="291">
      <c r="M291" s="31"/>
      <c r="N291" s="31"/>
    </row>
    <row r="292">
      <c r="M292" s="31"/>
      <c r="N292" s="31"/>
    </row>
    <row r="293">
      <c r="M293" s="31"/>
      <c r="N293" s="31"/>
    </row>
    <row r="294">
      <c r="M294" s="31"/>
      <c r="N294" s="31"/>
    </row>
    <row r="295">
      <c r="M295" s="31"/>
      <c r="N295" s="31"/>
    </row>
    <row r="296">
      <c r="M296" s="31"/>
      <c r="N296" s="31"/>
    </row>
    <row r="297">
      <c r="M297" s="31"/>
      <c r="N297" s="31"/>
    </row>
    <row r="298">
      <c r="M298" s="31"/>
      <c r="N298" s="31"/>
    </row>
    <row r="299">
      <c r="M299" s="31"/>
      <c r="N299" s="31"/>
    </row>
    <row r="300">
      <c r="M300" s="31"/>
      <c r="N300" s="31"/>
    </row>
    <row r="301">
      <c r="M301" s="31"/>
      <c r="N301" s="31"/>
    </row>
    <row r="302">
      <c r="M302" s="31"/>
      <c r="N302" s="31"/>
    </row>
    <row r="303">
      <c r="M303" s="31"/>
      <c r="N303" s="31"/>
    </row>
    <row r="304">
      <c r="M304" s="31"/>
      <c r="N304" s="31"/>
    </row>
    <row r="305">
      <c r="M305" s="31"/>
      <c r="N305" s="31"/>
    </row>
    <row r="306">
      <c r="M306" s="31"/>
      <c r="N306" s="31"/>
    </row>
    <row r="307">
      <c r="M307" s="31"/>
      <c r="N307" s="31"/>
    </row>
    <row r="308">
      <c r="M308" s="31"/>
      <c r="N308" s="31"/>
    </row>
    <row r="309">
      <c r="M309" s="31"/>
      <c r="N309" s="31"/>
    </row>
    <row r="310">
      <c r="M310" s="31"/>
      <c r="N310" s="31"/>
    </row>
    <row r="311">
      <c r="M311" s="31"/>
      <c r="N311" s="31"/>
    </row>
    <row r="312">
      <c r="M312" s="31"/>
      <c r="N312" s="31"/>
    </row>
    <row r="313">
      <c r="M313" s="31"/>
      <c r="N313" s="31"/>
    </row>
    <row r="314">
      <c r="M314" s="31"/>
      <c r="N314" s="31"/>
    </row>
    <row r="315">
      <c r="M315" s="31"/>
      <c r="N315" s="31"/>
    </row>
    <row r="316">
      <c r="M316" s="31"/>
      <c r="N316" s="31"/>
    </row>
    <row r="317">
      <c r="M317" s="31"/>
      <c r="N317" s="31"/>
    </row>
    <row r="318">
      <c r="M318" s="31"/>
      <c r="N318" s="31"/>
    </row>
    <row r="319">
      <c r="M319" s="31"/>
      <c r="N319" s="31"/>
    </row>
    <row r="320">
      <c r="M320" s="31"/>
      <c r="N320" s="31"/>
    </row>
    <row r="321">
      <c r="M321" s="31"/>
      <c r="N321" s="31"/>
    </row>
    <row r="322">
      <c r="M322" s="31"/>
      <c r="N322" s="31"/>
    </row>
    <row r="323">
      <c r="M323" s="31"/>
      <c r="N323" s="31"/>
    </row>
    <row r="324">
      <c r="M324" s="31"/>
      <c r="N324" s="31"/>
    </row>
    <row r="325">
      <c r="M325" s="31"/>
      <c r="N325" s="31"/>
    </row>
    <row r="326">
      <c r="M326" s="31"/>
      <c r="N326" s="31"/>
    </row>
    <row r="327">
      <c r="M327" s="31"/>
      <c r="N327" s="31"/>
    </row>
    <row r="328">
      <c r="M328" s="31"/>
      <c r="N328" s="31"/>
    </row>
    <row r="329">
      <c r="M329" s="31"/>
      <c r="N329" s="31"/>
    </row>
    <row r="330">
      <c r="M330" s="31"/>
      <c r="N330" s="31"/>
    </row>
    <row r="331">
      <c r="M331" s="31"/>
      <c r="N331" s="31"/>
    </row>
    <row r="332">
      <c r="M332" s="31"/>
      <c r="N332" s="31"/>
    </row>
    <row r="333">
      <c r="M333" s="31"/>
      <c r="N333" s="31"/>
    </row>
    <row r="334">
      <c r="M334" s="31"/>
      <c r="N334" s="31"/>
    </row>
    <row r="335">
      <c r="M335" s="31"/>
      <c r="N335" s="31"/>
    </row>
    <row r="336">
      <c r="M336" s="31"/>
      <c r="N336" s="31"/>
    </row>
    <row r="337">
      <c r="M337" s="31"/>
      <c r="N337" s="31"/>
    </row>
    <row r="338">
      <c r="M338" s="31"/>
      <c r="N338" s="31"/>
    </row>
    <row r="339">
      <c r="M339" s="31"/>
      <c r="N339" s="31"/>
    </row>
    <row r="340">
      <c r="M340" s="31"/>
      <c r="N340" s="31"/>
    </row>
    <row r="341">
      <c r="M341" s="31"/>
      <c r="N341" s="31"/>
    </row>
    <row r="342">
      <c r="M342" s="31"/>
      <c r="N342" s="31"/>
    </row>
    <row r="343">
      <c r="M343" s="31"/>
      <c r="N343" s="31"/>
    </row>
    <row r="344">
      <c r="M344" s="31"/>
      <c r="N344" s="31"/>
    </row>
    <row r="345">
      <c r="M345" s="31"/>
      <c r="N345" s="31"/>
    </row>
    <row r="346">
      <c r="M346" s="31"/>
      <c r="N346" s="31"/>
    </row>
    <row r="347">
      <c r="M347" s="31"/>
      <c r="N347" s="31"/>
    </row>
    <row r="348">
      <c r="M348" s="31"/>
      <c r="N348" s="31"/>
    </row>
    <row r="349">
      <c r="M349" s="31"/>
      <c r="N349" s="31"/>
    </row>
    <row r="350">
      <c r="M350" s="31"/>
      <c r="N350" s="31"/>
    </row>
    <row r="351">
      <c r="M351" s="31"/>
      <c r="N351" s="31"/>
    </row>
    <row r="352">
      <c r="M352" s="31"/>
      <c r="N352" s="31"/>
    </row>
    <row r="353">
      <c r="M353" s="31"/>
      <c r="N353" s="31"/>
    </row>
    <row r="354">
      <c r="M354" s="31"/>
      <c r="N354" s="31"/>
    </row>
    <row r="355">
      <c r="M355" s="31"/>
      <c r="N355" s="31"/>
    </row>
    <row r="356">
      <c r="M356" s="31"/>
      <c r="N356" s="31"/>
    </row>
    <row r="357">
      <c r="M357" s="31"/>
      <c r="N357" s="31"/>
    </row>
    <row r="358">
      <c r="M358" s="31"/>
      <c r="N358" s="31"/>
    </row>
    <row r="359">
      <c r="M359" s="31"/>
      <c r="N359" s="31"/>
    </row>
    <row r="360">
      <c r="M360" s="31"/>
      <c r="N360" s="31"/>
    </row>
    <row r="361">
      <c r="M361" s="31"/>
      <c r="N361" s="31"/>
    </row>
    <row r="362">
      <c r="M362" s="31"/>
      <c r="N362" s="31"/>
    </row>
    <row r="363">
      <c r="M363" s="31"/>
      <c r="N363" s="31"/>
    </row>
    <row r="364">
      <c r="M364" s="31"/>
      <c r="N364" s="31"/>
    </row>
    <row r="365">
      <c r="M365" s="31"/>
      <c r="N365" s="31"/>
    </row>
    <row r="366">
      <c r="M366" s="31"/>
      <c r="N366" s="31"/>
    </row>
    <row r="367">
      <c r="M367" s="31"/>
      <c r="N367" s="31"/>
    </row>
    <row r="368">
      <c r="M368" s="31"/>
      <c r="N368" s="31"/>
    </row>
    <row r="369">
      <c r="M369" s="31"/>
      <c r="N369" s="31"/>
    </row>
    <row r="370">
      <c r="M370" s="31"/>
      <c r="N370" s="31"/>
    </row>
    <row r="371">
      <c r="M371" s="31"/>
      <c r="N371" s="31"/>
    </row>
    <row r="372">
      <c r="M372" s="31"/>
      <c r="N372" s="31"/>
    </row>
    <row r="373">
      <c r="M373" s="31"/>
      <c r="N373" s="31"/>
    </row>
    <row r="374">
      <c r="M374" s="31"/>
      <c r="N374" s="31"/>
    </row>
    <row r="375">
      <c r="M375" s="31"/>
      <c r="N375" s="31"/>
    </row>
    <row r="376">
      <c r="M376" s="31"/>
      <c r="N376" s="31"/>
    </row>
    <row r="377">
      <c r="M377" s="31"/>
      <c r="N377" s="31"/>
    </row>
    <row r="378">
      <c r="M378" s="31"/>
      <c r="N378" s="31"/>
    </row>
    <row r="379">
      <c r="M379" s="31"/>
      <c r="N379" s="31"/>
    </row>
    <row r="380">
      <c r="M380" s="31"/>
      <c r="N380" s="31"/>
    </row>
    <row r="381">
      <c r="M381" s="31"/>
      <c r="N381" s="31"/>
    </row>
    <row r="382">
      <c r="M382" s="31"/>
      <c r="N382" s="31"/>
    </row>
    <row r="383">
      <c r="M383" s="31"/>
      <c r="N383" s="31"/>
    </row>
    <row r="384">
      <c r="M384" s="31"/>
      <c r="N384" s="31"/>
    </row>
    <row r="385">
      <c r="M385" s="31"/>
      <c r="N385" s="31"/>
    </row>
    <row r="386">
      <c r="M386" s="31"/>
      <c r="N386" s="31"/>
    </row>
    <row r="387">
      <c r="M387" s="31"/>
      <c r="N387" s="31"/>
    </row>
    <row r="388">
      <c r="M388" s="31"/>
      <c r="N388" s="31"/>
    </row>
    <row r="389">
      <c r="M389" s="31"/>
      <c r="N389" s="31"/>
    </row>
    <row r="390">
      <c r="M390" s="31"/>
      <c r="N390" s="31"/>
    </row>
    <row r="391">
      <c r="M391" s="31"/>
      <c r="N391" s="31"/>
    </row>
    <row r="392">
      <c r="M392" s="31"/>
      <c r="N392" s="31"/>
    </row>
    <row r="393">
      <c r="M393" s="31"/>
      <c r="N393" s="31"/>
    </row>
    <row r="394">
      <c r="M394" s="31"/>
      <c r="N394" s="31"/>
    </row>
    <row r="395">
      <c r="M395" s="31"/>
      <c r="N395" s="31"/>
    </row>
    <row r="396">
      <c r="M396" s="31"/>
      <c r="N396" s="31"/>
    </row>
    <row r="397">
      <c r="M397" s="31"/>
      <c r="N397" s="31"/>
    </row>
    <row r="398">
      <c r="M398" s="31"/>
      <c r="N398" s="31"/>
    </row>
    <row r="399">
      <c r="M399" s="31"/>
      <c r="N399" s="31"/>
    </row>
    <row r="400">
      <c r="M400" s="31"/>
      <c r="N400" s="31"/>
    </row>
    <row r="401">
      <c r="M401" s="31"/>
      <c r="N401" s="31"/>
    </row>
    <row r="402">
      <c r="M402" s="31"/>
      <c r="N402" s="31"/>
    </row>
    <row r="403">
      <c r="M403" s="31"/>
      <c r="N403" s="31"/>
    </row>
    <row r="404">
      <c r="M404" s="31"/>
      <c r="N404" s="31"/>
    </row>
    <row r="405">
      <c r="M405" s="31"/>
      <c r="N405" s="31"/>
    </row>
    <row r="406">
      <c r="M406" s="31"/>
      <c r="N406" s="31"/>
    </row>
    <row r="407">
      <c r="M407" s="31"/>
      <c r="N407" s="31"/>
    </row>
    <row r="408">
      <c r="M408" s="31"/>
      <c r="N408" s="31"/>
    </row>
    <row r="409">
      <c r="M409" s="31"/>
      <c r="N409" s="31"/>
    </row>
    <row r="410">
      <c r="M410" s="31"/>
      <c r="N410" s="31"/>
    </row>
    <row r="411">
      <c r="M411" s="31"/>
      <c r="N411" s="31"/>
    </row>
    <row r="412">
      <c r="M412" s="31"/>
      <c r="N412" s="31"/>
    </row>
    <row r="413">
      <c r="M413" s="31"/>
      <c r="N413" s="31"/>
    </row>
    <row r="414">
      <c r="M414" s="31"/>
      <c r="N414" s="31"/>
    </row>
    <row r="415">
      <c r="M415" s="31"/>
      <c r="N415" s="31"/>
    </row>
    <row r="416">
      <c r="M416" s="31"/>
      <c r="N416" s="31"/>
    </row>
    <row r="417">
      <c r="M417" s="31"/>
      <c r="N417" s="31"/>
    </row>
    <row r="418">
      <c r="M418" s="31"/>
      <c r="N418" s="31"/>
    </row>
    <row r="419">
      <c r="M419" s="31"/>
      <c r="N419" s="31"/>
    </row>
    <row r="420">
      <c r="M420" s="31"/>
      <c r="N420" s="31"/>
    </row>
    <row r="421">
      <c r="M421" s="31"/>
      <c r="N421" s="31"/>
    </row>
    <row r="422">
      <c r="M422" s="31"/>
      <c r="N422" s="31"/>
    </row>
    <row r="423">
      <c r="M423" s="31"/>
      <c r="N423" s="31"/>
    </row>
    <row r="424">
      <c r="M424" s="31"/>
      <c r="N424" s="31"/>
    </row>
    <row r="425">
      <c r="M425" s="31"/>
      <c r="N425" s="31"/>
    </row>
    <row r="426">
      <c r="M426" s="31"/>
      <c r="N426" s="31"/>
    </row>
    <row r="427">
      <c r="M427" s="31"/>
      <c r="N427" s="31"/>
    </row>
    <row r="428">
      <c r="M428" s="31"/>
      <c r="N428" s="31"/>
    </row>
    <row r="429">
      <c r="M429" s="31"/>
      <c r="N429" s="31"/>
    </row>
    <row r="430">
      <c r="M430" s="31"/>
      <c r="N430" s="31"/>
    </row>
    <row r="431">
      <c r="M431" s="31"/>
      <c r="N431" s="31"/>
    </row>
    <row r="432">
      <c r="M432" s="31"/>
      <c r="N432" s="31"/>
    </row>
    <row r="433">
      <c r="M433" s="31"/>
      <c r="N433" s="31"/>
    </row>
    <row r="434">
      <c r="M434" s="31"/>
      <c r="N434" s="31"/>
    </row>
    <row r="435">
      <c r="M435" s="31"/>
      <c r="N435" s="31"/>
    </row>
    <row r="436">
      <c r="M436" s="31"/>
      <c r="N436" s="31"/>
    </row>
    <row r="437">
      <c r="M437" s="31"/>
      <c r="N437" s="31"/>
    </row>
    <row r="438">
      <c r="M438" s="31"/>
      <c r="N438" s="31"/>
    </row>
    <row r="439">
      <c r="M439" s="31"/>
      <c r="N439" s="31"/>
    </row>
    <row r="440">
      <c r="M440" s="31"/>
      <c r="N440" s="31"/>
    </row>
    <row r="441">
      <c r="M441" s="31"/>
      <c r="N441" s="31"/>
    </row>
    <row r="442">
      <c r="M442" s="31"/>
      <c r="N442" s="31"/>
    </row>
    <row r="443">
      <c r="M443" s="31"/>
      <c r="N443" s="31"/>
    </row>
    <row r="444">
      <c r="M444" s="31"/>
      <c r="N444" s="31"/>
    </row>
    <row r="445">
      <c r="M445" s="31"/>
      <c r="N445" s="31"/>
    </row>
    <row r="446">
      <c r="M446" s="31"/>
      <c r="N446" s="31"/>
    </row>
    <row r="447">
      <c r="M447" s="31"/>
      <c r="N447" s="31"/>
    </row>
    <row r="448">
      <c r="M448" s="31"/>
      <c r="N448" s="31"/>
    </row>
    <row r="449">
      <c r="M449" s="31"/>
      <c r="N449" s="31"/>
    </row>
    <row r="450">
      <c r="M450" s="31"/>
      <c r="N450" s="31"/>
    </row>
    <row r="451">
      <c r="M451" s="31"/>
      <c r="N451" s="31"/>
    </row>
    <row r="452">
      <c r="M452" s="31"/>
      <c r="N452" s="31"/>
    </row>
    <row r="453">
      <c r="M453" s="31"/>
      <c r="N453" s="31"/>
    </row>
    <row r="454">
      <c r="M454" s="31"/>
      <c r="N454" s="31"/>
    </row>
    <row r="455">
      <c r="M455" s="31"/>
      <c r="N455" s="31"/>
    </row>
    <row r="456">
      <c r="M456" s="31"/>
      <c r="N456" s="31"/>
    </row>
    <row r="457">
      <c r="M457" s="31"/>
      <c r="N457" s="31"/>
    </row>
    <row r="458">
      <c r="M458" s="31"/>
      <c r="N458" s="31"/>
    </row>
    <row r="459">
      <c r="M459" s="31"/>
      <c r="N459" s="31"/>
    </row>
    <row r="460">
      <c r="M460" s="31"/>
      <c r="N460" s="31"/>
    </row>
    <row r="461">
      <c r="M461" s="31"/>
      <c r="N461" s="31"/>
    </row>
    <row r="462">
      <c r="M462" s="31"/>
      <c r="N462" s="31"/>
    </row>
    <row r="463">
      <c r="M463" s="31"/>
      <c r="N463" s="31"/>
    </row>
    <row r="464">
      <c r="M464" s="31"/>
      <c r="N464" s="31"/>
    </row>
    <row r="465">
      <c r="M465" s="31"/>
      <c r="N465" s="31"/>
    </row>
    <row r="466">
      <c r="M466" s="31"/>
      <c r="N466" s="31"/>
    </row>
    <row r="467">
      <c r="M467" s="31"/>
      <c r="N467" s="31"/>
    </row>
    <row r="468">
      <c r="M468" s="31"/>
      <c r="N468" s="31"/>
    </row>
    <row r="469">
      <c r="M469" s="31"/>
      <c r="N469" s="31"/>
    </row>
    <row r="470">
      <c r="M470" s="31"/>
      <c r="N470" s="31"/>
    </row>
    <row r="471">
      <c r="M471" s="31"/>
      <c r="N471" s="31"/>
    </row>
    <row r="472">
      <c r="M472" s="31"/>
      <c r="N472" s="31"/>
    </row>
    <row r="473">
      <c r="M473" s="31"/>
      <c r="N473" s="31"/>
    </row>
    <row r="474">
      <c r="M474" s="31"/>
      <c r="N474" s="31"/>
    </row>
    <row r="475">
      <c r="M475" s="31"/>
      <c r="N475" s="31"/>
    </row>
    <row r="476">
      <c r="M476" s="31"/>
      <c r="N476" s="31"/>
    </row>
    <row r="477">
      <c r="M477" s="31"/>
      <c r="N477" s="31"/>
    </row>
    <row r="478">
      <c r="M478" s="31"/>
      <c r="N478" s="31"/>
    </row>
    <row r="479">
      <c r="M479" s="31"/>
      <c r="N479" s="31"/>
    </row>
    <row r="480">
      <c r="M480" s="31"/>
      <c r="N480" s="31"/>
    </row>
    <row r="481">
      <c r="M481" s="31"/>
      <c r="N481" s="31"/>
    </row>
    <row r="482">
      <c r="M482" s="31"/>
      <c r="N482" s="31"/>
    </row>
    <row r="483">
      <c r="M483" s="31"/>
      <c r="N483" s="31"/>
    </row>
    <row r="484">
      <c r="M484" s="31"/>
      <c r="N484" s="31"/>
    </row>
    <row r="485">
      <c r="M485" s="31"/>
      <c r="N485" s="31"/>
    </row>
    <row r="486">
      <c r="M486" s="31"/>
      <c r="N486" s="31"/>
    </row>
    <row r="487">
      <c r="M487" s="31"/>
      <c r="N487" s="31"/>
    </row>
    <row r="488">
      <c r="M488" s="31"/>
      <c r="N488" s="31"/>
    </row>
    <row r="489">
      <c r="M489" s="31"/>
      <c r="N489" s="31"/>
    </row>
    <row r="490">
      <c r="M490" s="31"/>
      <c r="N490" s="31"/>
    </row>
    <row r="491">
      <c r="M491" s="31"/>
      <c r="N491" s="31"/>
    </row>
    <row r="492">
      <c r="M492" s="31"/>
      <c r="N492" s="31"/>
    </row>
    <row r="493">
      <c r="M493" s="31"/>
      <c r="N493" s="31"/>
    </row>
    <row r="494">
      <c r="M494" s="31"/>
      <c r="N494" s="31"/>
    </row>
    <row r="495">
      <c r="M495" s="31"/>
      <c r="N495" s="31"/>
    </row>
    <row r="496">
      <c r="M496" s="31"/>
      <c r="N496" s="31"/>
    </row>
    <row r="497">
      <c r="M497" s="31"/>
      <c r="N497" s="31"/>
    </row>
    <row r="498">
      <c r="M498" s="31"/>
      <c r="N498" s="31"/>
    </row>
    <row r="499">
      <c r="M499" s="31"/>
      <c r="N499" s="31"/>
    </row>
    <row r="500">
      <c r="M500" s="31"/>
      <c r="N500" s="31"/>
    </row>
    <row r="501">
      <c r="M501" s="31"/>
      <c r="N501" s="31"/>
    </row>
    <row r="502">
      <c r="M502" s="31"/>
      <c r="N502" s="31"/>
    </row>
    <row r="503">
      <c r="M503" s="31"/>
      <c r="N503" s="31"/>
    </row>
    <row r="504">
      <c r="M504" s="31"/>
      <c r="N504" s="31"/>
    </row>
    <row r="505">
      <c r="M505" s="31"/>
      <c r="N505" s="31"/>
    </row>
    <row r="506">
      <c r="M506" s="31"/>
      <c r="N506" s="31"/>
    </row>
    <row r="507">
      <c r="M507" s="31"/>
      <c r="N507" s="31"/>
    </row>
    <row r="508">
      <c r="M508" s="31"/>
      <c r="N508" s="31"/>
    </row>
    <row r="509">
      <c r="M509" s="31"/>
      <c r="N509" s="31"/>
    </row>
    <row r="510">
      <c r="M510" s="31"/>
      <c r="N510" s="31"/>
    </row>
    <row r="511">
      <c r="M511" s="31"/>
      <c r="N511" s="31"/>
    </row>
    <row r="512">
      <c r="M512" s="31"/>
      <c r="N512" s="31"/>
    </row>
    <row r="513">
      <c r="M513" s="31"/>
      <c r="N513" s="31"/>
    </row>
    <row r="514">
      <c r="M514" s="31"/>
      <c r="N514" s="31"/>
    </row>
    <row r="515">
      <c r="M515" s="31"/>
      <c r="N515" s="31"/>
    </row>
    <row r="516">
      <c r="M516" s="31"/>
      <c r="N516" s="31"/>
    </row>
    <row r="517">
      <c r="M517" s="31"/>
      <c r="N517" s="31"/>
    </row>
    <row r="518">
      <c r="M518" s="31"/>
      <c r="N518" s="31"/>
    </row>
    <row r="519">
      <c r="M519" s="31"/>
      <c r="N519" s="31"/>
    </row>
    <row r="520">
      <c r="M520" s="31"/>
      <c r="N520" s="31"/>
    </row>
    <row r="521">
      <c r="M521" s="31"/>
      <c r="N521" s="31"/>
    </row>
    <row r="522">
      <c r="M522" s="31"/>
      <c r="N522" s="31"/>
    </row>
    <row r="523">
      <c r="M523" s="31"/>
      <c r="N523" s="31"/>
    </row>
    <row r="524">
      <c r="M524" s="31"/>
      <c r="N524" s="31"/>
    </row>
    <row r="525">
      <c r="M525" s="31"/>
      <c r="N525" s="31"/>
    </row>
    <row r="526">
      <c r="M526" s="31"/>
      <c r="N526" s="31"/>
    </row>
    <row r="527">
      <c r="M527" s="31"/>
      <c r="N527" s="31"/>
    </row>
    <row r="528">
      <c r="M528" s="31"/>
      <c r="N528" s="31"/>
    </row>
    <row r="529">
      <c r="M529" s="31"/>
      <c r="N529" s="31"/>
    </row>
    <row r="530">
      <c r="M530" s="31"/>
      <c r="N530" s="31"/>
    </row>
    <row r="531">
      <c r="M531" s="31"/>
      <c r="N531" s="31"/>
    </row>
    <row r="532">
      <c r="M532" s="31"/>
      <c r="N532" s="31"/>
    </row>
    <row r="533">
      <c r="M533" s="31"/>
      <c r="N533" s="31"/>
    </row>
    <row r="534">
      <c r="M534" s="31"/>
      <c r="N534" s="31"/>
    </row>
    <row r="535">
      <c r="M535" s="31"/>
      <c r="N535" s="31"/>
    </row>
    <row r="536">
      <c r="M536" s="31"/>
      <c r="N536" s="31"/>
    </row>
    <row r="537">
      <c r="M537" s="31"/>
      <c r="N537" s="31"/>
    </row>
    <row r="538">
      <c r="M538" s="31"/>
      <c r="N538" s="31"/>
    </row>
    <row r="539">
      <c r="M539" s="31"/>
      <c r="N539" s="31"/>
    </row>
    <row r="540">
      <c r="M540" s="31"/>
      <c r="N540" s="31"/>
    </row>
    <row r="541">
      <c r="M541" s="31"/>
      <c r="N541" s="31"/>
    </row>
    <row r="542">
      <c r="M542" s="31"/>
      <c r="N542" s="31"/>
    </row>
    <row r="543">
      <c r="M543" s="31"/>
      <c r="N543" s="31"/>
    </row>
    <row r="544">
      <c r="M544" s="31"/>
      <c r="N544" s="31"/>
    </row>
    <row r="545">
      <c r="M545" s="31"/>
      <c r="N545" s="31"/>
    </row>
    <row r="546">
      <c r="M546" s="31"/>
      <c r="N546" s="31"/>
    </row>
    <row r="547">
      <c r="M547" s="31"/>
      <c r="N547" s="31"/>
    </row>
    <row r="548">
      <c r="M548" s="31"/>
      <c r="N548" s="31"/>
    </row>
    <row r="549">
      <c r="M549" s="31"/>
      <c r="N549" s="31"/>
    </row>
    <row r="550">
      <c r="M550" s="31"/>
      <c r="N550" s="31"/>
    </row>
    <row r="551">
      <c r="M551" s="31"/>
      <c r="N551" s="31"/>
    </row>
    <row r="552">
      <c r="M552" s="31"/>
      <c r="N552" s="31"/>
    </row>
    <row r="553">
      <c r="M553" s="31"/>
      <c r="N553" s="31"/>
    </row>
    <row r="554">
      <c r="M554" s="31"/>
      <c r="N554" s="31"/>
    </row>
    <row r="555">
      <c r="M555" s="31"/>
      <c r="N555" s="31"/>
    </row>
    <row r="556">
      <c r="M556" s="31"/>
      <c r="N556" s="31"/>
    </row>
    <row r="557">
      <c r="M557" s="31"/>
      <c r="N557" s="31"/>
    </row>
    <row r="558">
      <c r="M558" s="31"/>
      <c r="N558" s="31"/>
    </row>
    <row r="559">
      <c r="M559" s="31"/>
      <c r="N559" s="31"/>
    </row>
    <row r="560">
      <c r="M560" s="31"/>
      <c r="N560" s="31"/>
    </row>
    <row r="561">
      <c r="M561" s="31"/>
      <c r="N561" s="31"/>
    </row>
    <row r="562">
      <c r="M562" s="31"/>
      <c r="N562" s="31"/>
    </row>
    <row r="563">
      <c r="M563" s="31"/>
      <c r="N563" s="31"/>
    </row>
    <row r="564">
      <c r="M564" s="31"/>
      <c r="N564" s="31"/>
    </row>
    <row r="565">
      <c r="M565" s="31"/>
      <c r="N565" s="31"/>
    </row>
    <row r="566">
      <c r="M566" s="31"/>
      <c r="N566" s="31"/>
    </row>
    <row r="567">
      <c r="M567" s="31"/>
      <c r="N567" s="31"/>
    </row>
    <row r="568">
      <c r="M568" s="31"/>
      <c r="N568" s="31"/>
    </row>
    <row r="569">
      <c r="M569" s="31"/>
      <c r="N569" s="31"/>
    </row>
    <row r="570">
      <c r="M570" s="31"/>
      <c r="N570" s="31"/>
    </row>
    <row r="571">
      <c r="M571" s="31"/>
      <c r="N571" s="31"/>
    </row>
    <row r="572">
      <c r="M572" s="31"/>
      <c r="N572" s="31"/>
    </row>
    <row r="573">
      <c r="M573" s="31"/>
      <c r="N573" s="31"/>
    </row>
    <row r="574">
      <c r="M574" s="31"/>
      <c r="N574" s="31"/>
    </row>
    <row r="575">
      <c r="M575" s="31"/>
      <c r="N575" s="31"/>
    </row>
    <row r="576">
      <c r="M576" s="31"/>
      <c r="N576" s="31"/>
    </row>
    <row r="577">
      <c r="M577" s="31"/>
      <c r="N577" s="31"/>
    </row>
    <row r="578">
      <c r="M578" s="31"/>
      <c r="N578" s="31"/>
    </row>
    <row r="579">
      <c r="M579" s="31"/>
      <c r="N579" s="31"/>
    </row>
    <row r="580">
      <c r="M580" s="31"/>
      <c r="N580" s="31"/>
    </row>
    <row r="581">
      <c r="M581" s="31"/>
      <c r="N581" s="31"/>
    </row>
    <row r="582">
      <c r="M582" s="31"/>
      <c r="N582" s="31"/>
    </row>
    <row r="583">
      <c r="M583" s="31"/>
      <c r="N583" s="31"/>
    </row>
    <row r="584">
      <c r="M584" s="31"/>
      <c r="N584" s="31"/>
    </row>
    <row r="585">
      <c r="M585" s="31"/>
      <c r="N585" s="31"/>
    </row>
    <row r="586">
      <c r="M586" s="31"/>
      <c r="N586" s="31"/>
    </row>
    <row r="587">
      <c r="M587" s="31"/>
      <c r="N587" s="31"/>
    </row>
    <row r="588">
      <c r="M588" s="31"/>
      <c r="N588" s="31"/>
    </row>
    <row r="589">
      <c r="M589" s="31"/>
      <c r="N589" s="31"/>
    </row>
    <row r="590">
      <c r="M590" s="31"/>
      <c r="N590" s="31"/>
    </row>
    <row r="591">
      <c r="M591" s="31"/>
      <c r="N591" s="31"/>
    </row>
    <row r="592">
      <c r="M592" s="31"/>
      <c r="N592" s="31"/>
    </row>
    <row r="593">
      <c r="M593" s="31"/>
      <c r="N593" s="31"/>
    </row>
    <row r="594">
      <c r="M594" s="31"/>
      <c r="N594" s="31"/>
    </row>
    <row r="595">
      <c r="M595" s="31"/>
      <c r="N595" s="31"/>
    </row>
    <row r="596">
      <c r="M596" s="31"/>
      <c r="N596" s="31"/>
    </row>
    <row r="597">
      <c r="M597" s="31"/>
      <c r="N597" s="31"/>
    </row>
    <row r="598">
      <c r="M598" s="31"/>
      <c r="N598" s="31"/>
    </row>
    <row r="599">
      <c r="M599" s="31"/>
      <c r="N599" s="31"/>
    </row>
    <row r="600">
      <c r="M600" s="31"/>
      <c r="N600" s="31"/>
    </row>
    <row r="601">
      <c r="M601" s="31"/>
      <c r="N601" s="31"/>
    </row>
    <row r="602">
      <c r="M602" s="31"/>
      <c r="N602" s="31"/>
    </row>
    <row r="603">
      <c r="M603" s="31"/>
      <c r="N603" s="31"/>
    </row>
    <row r="604">
      <c r="M604" s="31"/>
      <c r="N604" s="31"/>
    </row>
    <row r="605">
      <c r="M605" s="31"/>
      <c r="N605" s="31"/>
    </row>
    <row r="606">
      <c r="M606" s="31"/>
      <c r="N606" s="31"/>
    </row>
    <row r="607">
      <c r="M607" s="31"/>
      <c r="N607" s="31"/>
    </row>
    <row r="608">
      <c r="M608" s="31"/>
      <c r="N608" s="31"/>
    </row>
    <row r="609">
      <c r="M609" s="31"/>
      <c r="N609" s="31"/>
    </row>
    <row r="610">
      <c r="M610" s="31"/>
      <c r="N610" s="31"/>
    </row>
    <row r="611">
      <c r="M611" s="31"/>
      <c r="N611" s="31"/>
    </row>
    <row r="612">
      <c r="M612" s="31"/>
      <c r="N612" s="31"/>
    </row>
    <row r="613">
      <c r="M613" s="31"/>
      <c r="N613" s="31"/>
    </row>
    <row r="614">
      <c r="M614" s="31"/>
      <c r="N614" s="31"/>
    </row>
    <row r="615">
      <c r="M615" s="31"/>
      <c r="N615" s="31"/>
    </row>
    <row r="616">
      <c r="M616" s="31"/>
      <c r="N616" s="31"/>
    </row>
    <row r="617">
      <c r="M617" s="31"/>
      <c r="N617" s="31"/>
    </row>
    <row r="618">
      <c r="M618" s="31"/>
      <c r="N618" s="31"/>
    </row>
    <row r="619">
      <c r="M619" s="31"/>
      <c r="N619" s="31"/>
    </row>
    <row r="620">
      <c r="M620" s="31"/>
      <c r="N620" s="31"/>
    </row>
    <row r="621">
      <c r="M621" s="31"/>
      <c r="N621" s="31"/>
    </row>
    <row r="622">
      <c r="M622" s="31"/>
      <c r="N622" s="31"/>
    </row>
    <row r="623">
      <c r="M623" s="31"/>
      <c r="N623" s="31"/>
    </row>
    <row r="624">
      <c r="M624" s="31"/>
      <c r="N624" s="31"/>
    </row>
    <row r="625">
      <c r="M625" s="31"/>
      <c r="N625" s="31"/>
    </row>
    <row r="626">
      <c r="M626" s="31"/>
      <c r="N626" s="31"/>
    </row>
    <row r="627">
      <c r="M627" s="31"/>
      <c r="N627" s="31"/>
    </row>
    <row r="628">
      <c r="M628" s="31"/>
      <c r="N628" s="31"/>
    </row>
    <row r="629">
      <c r="M629" s="31"/>
      <c r="N629" s="31"/>
    </row>
    <row r="630">
      <c r="M630" s="31"/>
      <c r="N630" s="31"/>
    </row>
    <row r="631">
      <c r="M631" s="31"/>
      <c r="N631" s="31"/>
    </row>
    <row r="632">
      <c r="M632" s="31"/>
      <c r="N632" s="31"/>
    </row>
    <row r="633">
      <c r="M633" s="31"/>
      <c r="N633" s="31"/>
    </row>
    <row r="634">
      <c r="M634" s="31"/>
      <c r="N634" s="31"/>
    </row>
    <row r="635">
      <c r="M635" s="31"/>
      <c r="N635" s="31"/>
    </row>
    <row r="636">
      <c r="M636" s="31"/>
      <c r="N636" s="31"/>
    </row>
    <row r="637">
      <c r="M637" s="31"/>
      <c r="N637" s="31"/>
    </row>
    <row r="638">
      <c r="M638" s="31"/>
      <c r="N638" s="31"/>
    </row>
    <row r="639">
      <c r="M639" s="31"/>
      <c r="N639" s="31"/>
    </row>
    <row r="640">
      <c r="M640" s="31"/>
      <c r="N640" s="31"/>
    </row>
    <row r="641">
      <c r="M641" s="31"/>
      <c r="N641" s="31"/>
    </row>
    <row r="642">
      <c r="M642" s="31"/>
      <c r="N642" s="31"/>
    </row>
    <row r="643">
      <c r="M643" s="31"/>
      <c r="N643" s="31"/>
    </row>
    <row r="644">
      <c r="M644" s="31"/>
      <c r="N644" s="31"/>
    </row>
    <row r="645">
      <c r="M645" s="31"/>
      <c r="N645" s="31"/>
    </row>
    <row r="646">
      <c r="M646" s="31"/>
      <c r="N646" s="31"/>
    </row>
    <row r="647">
      <c r="M647" s="31"/>
      <c r="N647" s="31"/>
    </row>
    <row r="648">
      <c r="M648" s="31"/>
      <c r="N648" s="31"/>
    </row>
    <row r="649">
      <c r="M649" s="31"/>
      <c r="N649" s="31"/>
    </row>
    <row r="650">
      <c r="M650" s="31"/>
      <c r="N650" s="31"/>
    </row>
    <row r="651">
      <c r="M651" s="31"/>
      <c r="N651" s="31"/>
    </row>
    <row r="652">
      <c r="M652" s="31"/>
      <c r="N652" s="31"/>
    </row>
    <row r="653">
      <c r="M653" s="31"/>
      <c r="N653" s="31"/>
    </row>
    <row r="654">
      <c r="M654" s="31"/>
      <c r="N654" s="31"/>
    </row>
    <row r="655">
      <c r="M655" s="31"/>
      <c r="N655" s="31"/>
    </row>
    <row r="656">
      <c r="M656" s="31"/>
      <c r="N656" s="31"/>
    </row>
    <row r="657">
      <c r="M657" s="31"/>
      <c r="N657" s="31"/>
    </row>
    <row r="658">
      <c r="M658" s="31"/>
      <c r="N658" s="31"/>
    </row>
    <row r="659">
      <c r="M659" s="31"/>
      <c r="N659" s="31"/>
    </row>
    <row r="660">
      <c r="M660" s="31"/>
      <c r="N660" s="31"/>
    </row>
    <row r="661">
      <c r="M661" s="31"/>
      <c r="N661" s="31"/>
    </row>
    <row r="662">
      <c r="M662" s="31"/>
      <c r="N662" s="31"/>
    </row>
    <row r="663">
      <c r="M663" s="31"/>
      <c r="N663" s="31"/>
    </row>
    <row r="664">
      <c r="M664" s="31"/>
      <c r="N664" s="31"/>
    </row>
    <row r="665">
      <c r="M665" s="31"/>
      <c r="N665" s="31"/>
    </row>
    <row r="666">
      <c r="M666" s="31"/>
      <c r="N666" s="31"/>
    </row>
    <row r="667">
      <c r="M667" s="31"/>
      <c r="N667" s="31"/>
    </row>
    <row r="668">
      <c r="M668" s="31"/>
      <c r="N668" s="31"/>
    </row>
    <row r="669">
      <c r="M669" s="31"/>
      <c r="N669" s="31"/>
    </row>
    <row r="670">
      <c r="M670" s="31"/>
      <c r="N670" s="31"/>
    </row>
    <row r="671">
      <c r="M671" s="31"/>
      <c r="N671" s="31"/>
    </row>
    <row r="672">
      <c r="M672" s="31"/>
      <c r="N672" s="31"/>
    </row>
    <row r="673">
      <c r="M673" s="31"/>
      <c r="N673" s="31"/>
    </row>
    <row r="674">
      <c r="M674" s="31"/>
      <c r="N674" s="31"/>
    </row>
    <row r="675">
      <c r="M675" s="31"/>
      <c r="N675" s="31"/>
    </row>
    <row r="676">
      <c r="M676" s="31"/>
      <c r="N676" s="31"/>
    </row>
    <row r="677">
      <c r="M677" s="31"/>
      <c r="N677" s="31"/>
    </row>
    <row r="678">
      <c r="M678" s="31"/>
      <c r="N678" s="31"/>
    </row>
    <row r="679">
      <c r="M679" s="31"/>
      <c r="N679" s="31"/>
    </row>
    <row r="680">
      <c r="M680" s="31"/>
      <c r="N680" s="31"/>
    </row>
    <row r="681">
      <c r="M681" s="31"/>
      <c r="N681" s="31"/>
    </row>
    <row r="682">
      <c r="M682" s="31"/>
      <c r="N682" s="31"/>
    </row>
    <row r="683">
      <c r="M683" s="31"/>
      <c r="N683" s="31"/>
    </row>
    <row r="684">
      <c r="M684" s="31"/>
      <c r="N684" s="31"/>
    </row>
    <row r="685">
      <c r="M685" s="31"/>
      <c r="N685" s="31"/>
    </row>
    <row r="686">
      <c r="M686" s="31"/>
      <c r="N686" s="31"/>
    </row>
    <row r="687">
      <c r="M687" s="31"/>
      <c r="N687" s="31"/>
    </row>
    <row r="688">
      <c r="M688" s="31"/>
      <c r="N688" s="31"/>
    </row>
    <row r="689">
      <c r="M689" s="31"/>
      <c r="N689" s="31"/>
    </row>
    <row r="690">
      <c r="M690" s="31"/>
      <c r="N690" s="31"/>
    </row>
    <row r="691">
      <c r="M691" s="31"/>
      <c r="N691" s="31"/>
    </row>
    <row r="692">
      <c r="M692" s="31"/>
      <c r="N692" s="31"/>
    </row>
    <row r="693">
      <c r="M693" s="31"/>
      <c r="N693" s="31"/>
    </row>
    <row r="694">
      <c r="M694" s="31"/>
      <c r="N694" s="31"/>
    </row>
    <row r="695">
      <c r="M695" s="31"/>
      <c r="N695" s="31"/>
    </row>
    <row r="696">
      <c r="M696" s="31"/>
      <c r="N696" s="31"/>
    </row>
    <row r="697">
      <c r="M697" s="31"/>
      <c r="N697" s="31"/>
    </row>
    <row r="698">
      <c r="M698" s="31"/>
      <c r="N698" s="31"/>
    </row>
    <row r="699">
      <c r="M699" s="31"/>
      <c r="N699" s="31"/>
    </row>
    <row r="700">
      <c r="M700" s="31"/>
      <c r="N700" s="31"/>
    </row>
    <row r="701">
      <c r="M701" s="31"/>
      <c r="N701" s="31"/>
    </row>
    <row r="702">
      <c r="M702" s="31"/>
      <c r="N702" s="31"/>
    </row>
    <row r="703">
      <c r="M703" s="31"/>
      <c r="N703" s="31"/>
    </row>
    <row r="704">
      <c r="M704" s="31"/>
      <c r="N704" s="31"/>
    </row>
    <row r="705">
      <c r="M705" s="31"/>
      <c r="N705" s="31"/>
    </row>
    <row r="706">
      <c r="M706" s="31"/>
      <c r="N706" s="31"/>
    </row>
    <row r="707">
      <c r="M707" s="31"/>
      <c r="N707" s="31"/>
    </row>
    <row r="708">
      <c r="M708" s="31"/>
      <c r="N708" s="31"/>
    </row>
    <row r="709">
      <c r="M709" s="31"/>
      <c r="N709" s="31"/>
    </row>
    <row r="710">
      <c r="M710" s="31"/>
      <c r="N710" s="31"/>
    </row>
    <row r="711">
      <c r="M711" s="31"/>
      <c r="N711" s="31"/>
    </row>
    <row r="712">
      <c r="M712" s="31"/>
      <c r="N712" s="31"/>
    </row>
    <row r="713">
      <c r="M713" s="31"/>
      <c r="N713" s="31"/>
    </row>
    <row r="714">
      <c r="M714" s="31"/>
      <c r="N714" s="31"/>
    </row>
    <row r="715">
      <c r="M715" s="31"/>
      <c r="N715" s="31"/>
    </row>
    <row r="716">
      <c r="M716" s="31"/>
      <c r="N716" s="31"/>
    </row>
    <row r="717">
      <c r="M717" s="31"/>
      <c r="N717" s="31"/>
    </row>
    <row r="718">
      <c r="M718" s="31"/>
      <c r="N718" s="31"/>
    </row>
    <row r="719">
      <c r="M719" s="31"/>
      <c r="N719" s="31"/>
    </row>
    <row r="720">
      <c r="M720" s="31"/>
      <c r="N720" s="31"/>
    </row>
    <row r="721">
      <c r="M721" s="31"/>
      <c r="N721" s="31"/>
    </row>
    <row r="722">
      <c r="M722" s="31"/>
      <c r="N722" s="31"/>
    </row>
    <row r="723">
      <c r="M723" s="31"/>
      <c r="N723" s="31"/>
    </row>
    <row r="724">
      <c r="M724" s="31"/>
      <c r="N724" s="31"/>
    </row>
    <row r="725">
      <c r="M725" s="31"/>
      <c r="N725" s="31"/>
    </row>
    <row r="726">
      <c r="M726" s="31"/>
      <c r="N726" s="31"/>
    </row>
    <row r="727">
      <c r="M727" s="31"/>
      <c r="N727" s="31"/>
    </row>
    <row r="728">
      <c r="M728" s="31"/>
      <c r="N728" s="31"/>
    </row>
    <row r="729">
      <c r="M729" s="31"/>
      <c r="N729" s="31"/>
    </row>
    <row r="730">
      <c r="M730" s="31"/>
      <c r="N730" s="31"/>
    </row>
    <row r="731">
      <c r="M731" s="31"/>
      <c r="N731" s="31"/>
    </row>
    <row r="732">
      <c r="M732" s="31"/>
      <c r="N732" s="31"/>
    </row>
    <row r="733">
      <c r="M733" s="31"/>
      <c r="N733" s="31"/>
    </row>
    <row r="734">
      <c r="M734" s="31"/>
      <c r="N734" s="31"/>
    </row>
    <row r="735">
      <c r="M735" s="31"/>
      <c r="N735" s="31"/>
    </row>
    <row r="736">
      <c r="M736" s="31"/>
      <c r="N736" s="31"/>
    </row>
    <row r="737">
      <c r="M737" s="31"/>
      <c r="N737" s="31"/>
    </row>
    <row r="738">
      <c r="M738" s="31"/>
      <c r="N738" s="31"/>
    </row>
    <row r="739">
      <c r="M739" s="31"/>
      <c r="N739" s="31"/>
    </row>
    <row r="740">
      <c r="M740" s="31"/>
      <c r="N740" s="31"/>
    </row>
    <row r="741">
      <c r="M741" s="31"/>
      <c r="N741" s="31"/>
    </row>
    <row r="742">
      <c r="M742" s="31"/>
      <c r="N742" s="31"/>
    </row>
    <row r="743">
      <c r="M743" s="31"/>
      <c r="N743" s="31"/>
    </row>
    <row r="744">
      <c r="M744" s="31"/>
      <c r="N744" s="31"/>
    </row>
    <row r="745">
      <c r="M745" s="31"/>
      <c r="N745" s="31"/>
    </row>
    <row r="746">
      <c r="M746" s="31"/>
      <c r="N746" s="31"/>
    </row>
    <row r="747">
      <c r="M747" s="31"/>
      <c r="N747" s="31"/>
    </row>
    <row r="748">
      <c r="M748" s="31"/>
      <c r="N748" s="31"/>
    </row>
    <row r="749">
      <c r="M749" s="31"/>
      <c r="N749" s="31"/>
    </row>
    <row r="750">
      <c r="M750" s="31"/>
      <c r="N750" s="31"/>
    </row>
    <row r="751">
      <c r="M751" s="31"/>
      <c r="N751" s="31"/>
    </row>
    <row r="752">
      <c r="M752" s="31"/>
      <c r="N752" s="31"/>
    </row>
    <row r="753">
      <c r="M753" s="31"/>
      <c r="N753" s="31"/>
    </row>
    <row r="754">
      <c r="M754" s="31"/>
      <c r="N754" s="31"/>
    </row>
    <row r="755">
      <c r="M755" s="31"/>
      <c r="N755" s="31"/>
    </row>
    <row r="756">
      <c r="M756" s="31"/>
      <c r="N756" s="31"/>
    </row>
    <row r="757">
      <c r="M757" s="31"/>
      <c r="N757" s="31"/>
    </row>
    <row r="758">
      <c r="M758" s="31"/>
      <c r="N758" s="31"/>
    </row>
    <row r="759">
      <c r="M759" s="31"/>
      <c r="N759" s="31"/>
    </row>
    <row r="760">
      <c r="M760" s="31"/>
      <c r="N760" s="31"/>
    </row>
    <row r="761">
      <c r="M761" s="31"/>
      <c r="N761" s="31"/>
    </row>
    <row r="762">
      <c r="M762" s="31"/>
      <c r="N762" s="31"/>
    </row>
    <row r="763">
      <c r="M763" s="31"/>
      <c r="N763" s="31"/>
    </row>
    <row r="764">
      <c r="M764" s="31"/>
      <c r="N764" s="31"/>
    </row>
    <row r="765">
      <c r="M765" s="31"/>
      <c r="N765" s="31"/>
    </row>
    <row r="766">
      <c r="M766" s="31"/>
      <c r="N766" s="31"/>
    </row>
    <row r="767">
      <c r="M767" s="31"/>
      <c r="N767" s="31"/>
    </row>
    <row r="768">
      <c r="M768" s="31"/>
      <c r="N768" s="31"/>
    </row>
    <row r="769">
      <c r="M769" s="31"/>
      <c r="N769" s="31"/>
    </row>
    <row r="770">
      <c r="M770" s="31"/>
      <c r="N770" s="31"/>
    </row>
    <row r="771">
      <c r="M771" s="31"/>
      <c r="N771" s="31"/>
    </row>
    <row r="772">
      <c r="M772" s="31"/>
      <c r="N772" s="31"/>
    </row>
    <row r="773">
      <c r="M773" s="31"/>
      <c r="N773" s="31"/>
    </row>
    <row r="774">
      <c r="M774" s="31"/>
      <c r="N774" s="31"/>
    </row>
    <row r="775">
      <c r="M775" s="31"/>
      <c r="N775" s="31"/>
    </row>
    <row r="776">
      <c r="M776" s="31"/>
      <c r="N776" s="31"/>
    </row>
    <row r="777">
      <c r="M777" s="31"/>
      <c r="N777" s="31"/>
    </row>
    <row r="778">
      <c r="M778" s="31"/>
      <c r="N778" s="31"/>
    </row>
    <row r="779">
      <c r="M779" s="31"/>
      <c r="N779" s="31"/>
    </row>
    <row r="780">
      <c r="M780" s="31"/>
      <c r="N780" s="31"/>
    </row>
    <row r="781">
      <c r="M781" s="31"/>
      <c r="N781" s="31"/>
    </row>
    <row r="782">
      <c r="M782" s="31"/>
      <c r="N782" s="31"/>
    </row>
    <row r="783">
      <c r="M783" s="31"/>
      <c r="N783" s="31"/>
    </row>
    <row r="784">
      <c r="M784" s="31"/>
      <c r="N784" s="31"/>
    </row>
    <row r="785">
      <c r="M785" s="31"/>
      <c r="N785" s="31"/>
    </row>
    <row r="786">
      <c r="M786" s="31"/>
      <c r="N786" s="31"/>
    </row>
    <row r="787">
      <c r="M787" s="31"/>
      <c r="N787" s="31"/>
    </row>
    <row r="788">
      <c r="M788" s="31"/>
      <c r="N788" s="31"/>
    </row>
    <row r="789">
      <c r="M789" s="31"/>
      <c r="N789" s="31"/>
    </row>
    <row r="790">
      <c r="M790" s="31"/>
      <c r="N790" s="31"/>
    </row>
    <row r="791">
      <c r="M791" s="31"/>
      <c r="N791" s="31"/>
    </row>
    <row r="792">
      <c r="M792" s="31"/>
      <c r="N792" s="31"/>
    </row>
    <row r="793">
      <c r="M793" s="31"/>
      <c r="N793" s="31"/>
    </row>
    <row r="794">
      <c r="M794" s="31"/>
      <c r="N794" s="31"/>
    </row>
    <row r="795">
      <c r="M795" s="31"/>
      <c r="N795" s="31"/>
    </row>
    <row r="796">
      <c r="M796" s="31"/>
      <c r="N796" s="31"/>
    </row>
    <row r="797">
      <c r="M797" s="31"/>
      <c r="N797" s="31"/>
    </row>
    <row r="798">
      <c r="M798" s="31"/>
      <c r="N798" s="31"/>
    </row>
    <row r="799">
      <c r="M799" s="31"/>
      <c r="N799" s="31"/>
    </row>
    <row r="800">
      <c r="M800" s="31"/>
      <c r="N800" s="31"/>
    </row>
    <row r="801">
      <c r="M801" s="31"/>
      <c r="N801" s="31"/>
    </row>
    <row r="802">
      <c r="M802" s="31"/>
      <c r="N802" s="31"/>
    </row>
    <row r="803">
      <c r="M803" s="31"/>
      <c r="N803" s="31"/>
    </row>
    <row r="804">
      <c r="M804" s="31"/>
      <c r="N804" s="31"/>
    </row>
    <row r="805">
      <c r="M805" s="31"/>
      <c r="N805" s="31"/>
    </row>
    <row r="806">
      <c r="M806" s="31"/>
      <c r="N806" s="31"/>
    </row>
    <row r="807">
      <c r="M807" s="31"/>
      <c r="N807" s="31"/>
    </row>
    <row r="808">
      <c r="M808" s="31"/>
      <c r="N808" s="31"/>
    </row>
    <row r="809">
      <c r="M809" s="31"/>
      <c r="N809" s="31"/>
    </row>
    <row r="810">
      <c r="M810" s="31"/>
      <c r="N810" s="31"/>
    </row>
    <row r="811">
      <c r="M811" s="31"/>
      <c r="N811" s="31"/>
    </row>
    <row r="812">
      <c r="M812" s="31"/>
      <c r="N812" s="31"/>
    </row>
    <row r="813">
      <c r="M813" s="31"/>
      <c r="N813" s="31"/>
    </row>
    <row r="814">
      <c r="M814" s="31"/>
      <c r="N814" s="31"/>
    </row>
    <row r="815">
      <c r="M815" s="31"/>
      <c r="N815" s="31"/>
    </row>
    <row r="816">
      <c r="M816" s="31"/>
      <c r="N816" s="31"/>
    </row>
    <row r="817">
      <c r="M817" s="31"/>
      <c r="N817" s="31"/>
    </row>
    <row r="818">
      <c r="M818" s="31"/>
      <c r="N818" s="31"/>
    </row>
    <row r="819">
      <c r="M819" s="31"/>
      <c r="N819" s="31"/>
    </row>
    <row r="820">
      <c r="M820" s="31"/>
      <c r="N820" s="31"/>
    </row>
    <row r="821">
      <c r="M821" s="31"/>
      <c r="N821" s="31"/>
    </row>
    <row r="822">
      <c r="M822" s="31"/>
      <c r="N822" s="31"/>
    </row>
    <row r="823">
      <c r="M823" s="31"/>
      <c r="N823" s="31"/>
    </row>
    <row r="824">
      <c r="M824" s="31"/>
      <c r="N824" s="31"/>
    </row>
    <row r="825">
      <c r="M825" s="31"/>
      <c r="N825" s="31"/>
    </row>
    <row r="826">
      <c r="M826" s="31"/>
      <c r="N826" s="31"/>
    </row>
    <row r="827">
      <c r="M827" s="31"/>
      <c r="N827" s="31"/>
    </row>
    <row r="828">
      <c r="M828" s="31"/>
      <c r="N828" s="31"/>
    </row>
    <row r="829">
      <c r="M829" s="31"/>
      <c r="N829" s="31"/>
    </row>
    <row r="830">
      <c r="M830" s="31"/>
      <c r="N830" s="31"/>
    </row>
    <row r="831">
      <c r="M831" s="31"/>
      <c r="N831" s="31"/>
    </row>
    <row r="832">
      <c r="M832" s="31"/>
      <c r="N832" s="31"/>
    </row>
    <row r="833">
      <c r="M833" s="31"/>
      <c r="N833" s="31"/>
    </row>
    <row r="834">
      <c r="M834" s="31"/>
      <c r="N834" s="31"/>
    </row>
    <row r="835">
      <c r="M835" s="31"/>
      <c r="N835" s="31"/>
    </row>
    <row r="836">
      <c r="M836" s="31"/>
      <c r="N836" s="31"/>
    </row>
    <row r="837">
      <c r="M837" s="31"/>
      <c r="N837" s="31"/>
    </row>
    <row r="838">
      <c r="M838" s="31"/>
      <c r="N838" s="31"/>
    </row>
    <row r="839">
      <c r="M839" s="31"/>
      <c r="N839" s="31"/>
    </row>
    <row r="840">
      <c r="M840" s="31"/>
      <c r="N840" s="31"/>
    </row>
    <row r="841">
      <c r="M841" s="31"/>
      <c r="N841" s="31"/>
    </row>
    <row r="842">
      <c r="M842" s="31"/>
      <c r="N842" s="31"/>
    </row>
    <row r="843">
      <c r="M843" s="31"/>
      <c r="N843" s="31"/>
    </row>
    <row r="844">
      <c r="M844" s="31"/>
      <c r="N844" s="31"/>
    </row>
    <row r="845">
      <c r="M845" s="31"/>
      <c r="N845" s="31"/>
    </row>
    <row r="846">
      <c r="M846" s="31"/>
      <c r="N846" s="31"/>
    </row>
    <row r="847">
      <c r="M847" s="31"/>
      <c r="N847" s="31"/>
    </row>
    <row r="848">
      <c r="M848" s="31"/>
      <c r="N848" s="31"/>
    </row>
    <row r="849">
      <c r="M849" s="31"/>
      <c r="N849" s="31"/>
    </row>
    <row r="850">
      <c r="M850" s="31"/>
      <c r="N850" s="31"/>
    </row>
    <row r="851">
      <c r="M851" s="31"/>
      <c r="N851" s="31"/>
    </row>
    <row r="852">
      <c r="M852" s="31"/>
      <c r="N852" s="31"/>
    </row>
    <row r="853">
      <c r="M853" s="31"/>
      <c r="N853" s="31"/>
    </row>
    <row r="854">
      <c r="M854" s="31"/>
      <c r="N854" s="31"/>
    </row>
    <row r="855">
      <c r="M855" s="31"/>
      <c r="N855" s="31"/>
    </row>
    <row r="856">
      <c r="M856" s="31"/>
      <c r="N856" s="31"/>
    </row>
    <row r="857">
      <c r="M857" s="31"/>
      <c r="N857" s="31"/>
    </row>
    <row r="858">
      <c r="M858" s="31"/>
      <c r="N858" s="31"/>
    </row>
    <row r="859">
      <c r="M859" s="31"/>
      <c r="N859" s="31"/>
    </row>
    <row r="860">
      <c r="M860" s="31"/>
      <c r="N860" s="31"/>
    </row>
    <row r="861">
      <c r="M861" s="31"/>
      <c r="N861" s="31"/>
    </row>
    <row r="862">
      <c r="M862" s="31"/>
      <c r="N862" s="31"/>
    </row>
    <row r="863">
      <c r="M863" s="31"/>
      <c r="N863" s="31"/>
    </row>
    <row r="864">
      <c r="M864" s="31"/>
      <c r="N864" s="31"/>
    </row>
    <row r="865">
      <c r="M865" s="31"/>
      <c r="N865" s="31"/>
    </row>
    <row r="866">
      <c r="M866" s="31"/>
      <c r="N866" s="31"/>
    </row>
    <row r="867">
      <c r="M867" s="31"/>
      <c r="N867" s="31"/>
    </row>
    <row r="868">
      <c r="M868" s="31"/>
      <c r="N868" s="31"/>
    </row>
    <row r="869">
      <c r="M869" s="31"/>
      <c r="N869" s="31"/>
    </row>
    <row r="870">
      <c r="M870" s="31"/>
      <c r="N870" s="31"/>
    </row>
    <row r="871">
      <c r="M871" s="31"/>
      <c r="N871" s="31"/>
    </row>
    <row r="872">
      <c r="M872" s="31"/>
      <c r="N872" s="31"/>
    </row>
    <row r="873">
      <c r="M873" s="31"/>
      <c r="N873" s="31"/>
    </row>
    <row r="874">
      <c r="M874" s="31"/>
      <c r="N874" s="31"/>
    </row>
    <row r="875">
      <c r="M875" s="31"/>
      <c r="N875" s="31"/>
    </row>
    <row r="876">
      <c r="M876" s="31"/>
      <c r="N876" s="31"/>
    </row>
    <row r="877">
      <c r="M877" s="31"/>
      <c r="N877" s="31"/>
    </row>
    <row r="878">
      <c r="M878" s="31"/>
      <c r="N878" s="31"/>
    </row>
    <row r="879">
      <c r="M879" s="31"/>
      <c r="N879" s="31"/>
    </row>
    <row r="880">
      <c r="M880" s="31"/>
      <c r="N880" s="31"/>
    </row>
    <row r="881">
      <c r="M881" s="31"/>
      <c r="N881" s="31"/>
    </row>
    <row r="882">
      <c r="M882" s="31"/>
      <c r="N882" s="31"/>
    </row>
    <row r="883">
      <c r="M883" s="31"/>
      <c r="N883" s="31"/>
    </row>
    <row r="884">
      <c r="M884" s="31"/>
      <c r="N884" s="31"/>
    </row>
    <row r="885">
      <c r="M885" s="31"/>
      <c r="N885" s="31"/>
    </row>
    <row r="886">
      <c r="M886" s="31"/>
      <c r="N886" s="31"/>
    </row>
    <row r="887">
      <c r="M887" s="31"/>
      <c r="N887" s="31"/>
    </row>
    <row r="888">
      <c r="M888" s="31"/>
      <c r="N888" s="31"/>
    </row>
    <row r="889">
      <c r="M889" s="31"/>
      <c r="N889" s="31"/>
    </row>
    <row r="890">
      <c r="M890" s="31"/>
      <c r="N890" s="31"/>
    </row>
    <row r="891">
      <c r="M891" s="31"/>
      <c r="N891" s="31"/>
    </row>
    <row r="892">
      <c r="M892" s="31"/>
      <c r="N892" s="31"/>
    </row>
    <row r="893">
      <c r="M893" s="31"/>
      <c r="N893" s="31"/>
    </row>
    <row r="894">
      <c r="M894" s="31"/>
      <c r="N894" s="31"/>
    </row>
    <row r="895">
      <c r="M895" s="31"/>
      <c r="N895" s="31"/>
    </row>
    <row r="896">
      <c r="M896" s="31"/>
      <c r="N896" s="31"/>
    </row>
    <row r="897">
      <c r="M897" s="31"/>
      <c r="N897" s="31"/>
    </row>
    <row r="898">
      <c r="M898" s="31"/>
      <c r="N898" s="31"/>
    </row>
    <row r="899">
      <c r="M899" s="31"/>
      <c r="N899" s="31"/>
    </row>
    <row r="900">
      <c r="M900" s="31"/>
      <c r="N900" s="31"/>
    </row>
    <row r="901">
      <c r="M901" s="31"/>
      <c r="N901" s="31"/>
    </row>
    <row r="902">
      <c r="M902" s="31"/>
      <c r="N902" s="31"/>
    </row>
    <row r="903">
      <c r="M903" s="31"/>
      <c r="N903" s="31"/>
    </row>
    <row r="904">
      <c r="M904" s="31"/>
      <c r="N904" s="31"/>
    </row>
    <row r="905">
      <c r="M905" s="31"/>
      <c r="N905" s="31"/>
    </row>
    <row r="906">
      <c r="M906" s="31"/>
      <c r="N906" s="31"/>
    </row>
    <row r="907">
      <c r="M907" s="31"/>
      <c r="N907" s="31"/>
    </row>
    <row r="908">
      <c r="M908" s="31"/>
      <c r="N908" s="31"/>
    </row>
    <row r="909">
      <c r="M909" s="31"/>
      <c r="N909" s="31"/>
    </row>
    <row r="910">
      <c r="M910" s="31"/>
      <c r="N910" s="31"/>
    </row>
    <row r="911">
      <c r="M911" s="31"/>
      <c r="N911" s="31"/>
    </row>
    <row r="912">
      <c r="M912" s="31"/>
      <c r="N912" s="31"/>
    </row>
    <row r="913">
      <c r="M913" s="31"/>
      <c r="N913" s="31"/>
    </row>
    <row r="914">
      <c r="M914" s="31"/>
      <c r="N914" s="31"/>
    </row>
    <row r="915">
      <c r="M915" s="31"/>
      <c r="N915" s="31"/>
    </row>
    <row r="916">
      <c r="M916" s="31"/>
      <c r="N916" s="31"/>
    </row>
    <row r="917">
      <c r="M917" s="31"/>
      <c r="N917" s="31"/>
    </row>
    <row r="918">
      <c r="M918" s="31"/>
      <c r="N918" s="31"/>
    </row>
    <row r="919">
      <c r="M919" s="31"/>
      <c r="N919" s="31"/>
    </row>
    <row r="920">
      <c r="M920" s="31"/>
      <c r="N920" s="31"/>
    </row>
    <row r="921">
      <c r="M921" s="31"/>
      <c r="N921" s="31"/>
    </row>
    <row r="922">
      <c r="M922" s="31"/>
      <c r="N922" s="31"/>
    </row>
    <row r="923">
      <c r="M923" s="31"/>
      <c r="N923" s="31"/>
    </row>
    <row r="924">
      <c r="M924" s="31"/>
      <c r="N924" s="31"/>
    </row>
    <row r="925">
      <c r="M925" s="31"/>
      <c r="N925" s="31"/>
    </row>
    <row r="926">
      <c r="M926" s="31"/>
      <c r="N926" s="31"/>
    </row>
    <row r="927">
      <c r="M927" s="31"/>
      <c r="N927" s="31"/>
    </row>
    <row r="928">
      <c r="M928" s="31"/>
      <c r="N928" s="31"/>
    </row>
    <row r="929">
      <c r="M929" s="31"/>
      <c r="N929" s="31"/>
    </row>
    <row r="930">
      <c r="M930" s="31"/>
      <c r="N930" s="31"/>
    </row>
    <row r="931">
      <c r="M931" s="31"/>
      <c r="N931" s="31"/>
    </row>
    <row r="932">
      <c r="M932" s="31"/>
      <c r="N932" s="31"/>
    </row>
    <row r="933">
      <c r="M933" s="31"/>
      <c r="N933" s="31"/>
    </row>
    <row r="934">
      <c r="M934" s="31"/>
      <c r="N934" s="31"/>
    </row>
    <row r="935">
      <c r="M935" s="31"/>
      <c r="N935" s="31"/>
    </row>
    <row r="936">
      <c r="M936" s="31"/>
      <c r="N936" s="31"/>
    </row>
    <row r="937">
      <c r="M937" s="31"/>
      <c r="N937" s="31"/>
    </row>
    <row r="938">
      <c r="M938" s="31"/>
      <c r="N938" s="31"/>
    </row>
    <row r="939">
      <c r="M939" s="31"/>
      <c r="N939" s="31"/>
    </row>
    <row r="940">
      <c r="M940" s="31"/>
      <c r="N940" s="31"/>
    </row>
    <row r="941">
      <c r="M941" s="31"/>
      <c r="N941" s="31"/>
    </row>
    <row r="942">
      <c r="M942" s="31"/>
      <c r="N942" s="31"/>
    </row>
    <row r="943">
      <c r="M943" s="31"/>
      <c r="N943" s="31"/>
    </row>
    <row r="944">
      <c r="M944" s="31"/>
      <c r="N944" s="31"/>
    </row>
    <row r="945">
      <c r="M945" s="31"/>
      <c r="N945" s="31"/>
    </row>
    <row r="946">
      <c r="M946" s="31"/>
      <c r="N946" s="31"/>
    </row>
    <row r="947">
      <c r="M947" s="31"/>
      <c r="N947" s="31"/>
    </row>
    <row r="948">
      <c r="M948" s="31"/>
      <c r="N948" s="31"/>
    </row>
    <row r="949">
      <c r="M949" s="31"/>
      <c r="N949" s="31"/>
    </row>
    <row r="950">
      <c r="M950" s="31"/>
      <c r="N950" s="31"/>
    </row>
    <row r="951">
      <c r="M951" s="31"/>
      <c r="N951" s="31"/>
    </row>
    <row r="952">
      <c r="M952" s="31"/>
      <c r="N952" s="31"/>
    </row>
    <row r="953">
      <c r="M953" s="31"/>
      <c r="N953" s="31"/>
    </row>
    <row r="954">
      <c r="M954" s="31"/>
      <c r="N954" s="31"/>
    </row>
    <row r="955">
      <c r="M955" s="31"/>
      <c r="N955" s="31"/>
    </row>
    <row r="956">
      <c r="M956" s="31"/>
      <c r="N956" s="31"/>
    </row>
    <row r="957">
      <c r="M957" s="31"/>
      <c r="N957" s="31"/>
    </row>
    <row r="958">
      <c r="M958" s="31"/>
      <c r="N958" s="31"/>
    </row>
    <row r="959">
      <c r="M959" s="31"/>
      <c r="N959" s="31"/>
    </row>
    <row r="960">
      <c r="M960" s="31"/>
      <c r="N960" s="31"/>
    </row>
    <row r="961">
      <c r="M961" s="31"/>
      <c r="N961" s="31"/>
    </row>
    <row r="962">
      <c r="M962" s="31"/>
      <c r="N962" s="31"/>
    </row>
    <row r="963">
      <c r="M963" s="31"/>
      <c r="N963" s="31"/>
    </row>
    <row r="964">
      <c r="M964" s="31"/>
      <c r="N964" s="31"/>
    </row>
    <row r="965">
      <c r="M965" s="31"/>
      <c r="N965" s="31"/>
    </row>
    <row r="966">
      <c r="M966" s="31"/>
      <c r="N966" s="31"/>
    </row>
    <row r="967">
      <c r="M967" s="31"/>
      <c r="N967" s="31"/>
    </row>
    <row r="968">
      <c r="M968" s="31"/>
      <c r="N968" s="31"/>
    </row>
    <row r="969">
      <c r="M969" s="31"/>
      <c r="N969" s="31"/>
    </row>
    <row r="970">
      <c r="M970" s="31"/>
      <c r="N970" s="31"/>
    </row>
    <row r="971">
      <c r="M971" s="31"/>
      <c r="N971" s="31"/>
    </row>
    <row r="972">
      <c r="M972" s="31"/>
      <c r="N972" s="31"/>
    </row>
    <row r="973">
      <c r="M973" s="31"/>
      <c r="N973" s="31"/>
    </row>
    <row r="974">
      <c r="M974" s="31"/>
      <c r="N974" s="31"/>
    </row>
    <row r="975">
      <c r="M975" s="31"/>
      <c r="N975" s="31"/>
    </row>
    <row r="976">
      <c r="M976" s="31"/>
      <c r="N976" s="31"/>
    </row>
    <row r="977">
      <c r="M977" s="31"/>
      <c r="N977" s="31"/>
    </row>
    <row r="978">
      <c r="M978" s="31"/>
      <c r="N978" s="31"/>
    </row>
    <row r="979">
      <c r="M979" s="31"/>
      <c r="N979" s="31"/>
    </row>
    <row r="980">
      <c r="M980" s="31"/>
      <c r="N980" s="31"/>
    </row>
    <row r="981">
      <c r="M981" s="31"/>
      <c r="N981" s="31"/>
    </row>
    <row r="982">
      <c r="M982" s="31"/>
      <c r="N982" s="31"/>
    </row>
    <row r="983">
      <c r="M983" s="31"/>
      <c r="N983" s="31"/>
    </row>
    <row r="984">
      <c r="M984" s="31"/>
      <c r="N984" s="31"/>
    </row>
    <row r="985">
      <c r="M985" s="31"/>
      <c r="N985" s="31"/>
    </row>
    <row r="986">
      <c r="M986" s="31"/>
      <c r="N986" s="31"/>
    </row>
    <row r="987">
      <c r="M987" s="31"/>
      <c r="N987" s="31"/>
    </row>
    <row r="988">
      <c r="M988" s="31"/>
      <c r="N988" s="31"/>
    </row>
    <row r="989">
      <c r="M989" s="31"/>
      <c r="N989" s="31"/>
    </row>
    <row r="990">
      <c r="M990" s="31"/>
      <c r="N990" s="31"/>
    </row>
    <row r="991">
      <c r="M991" s="31"/>
      <c r="N991" s="31"/>
    </row>
    <row r="992">
      <c r="M992" s="31"/>
      <c r="N992" s="31"/>
    </row>
    <row r="993">
      <c r="M993" s="31"/>
      <c r="N993" s="31"/>
    </row>
    <row r="994">
      <c r="M994" s="31"/>
      <c r="N994" s="31"/>
    </row>
    <row r="995">
      <c r="M995" s="31"/>
      <c r="N995" s="31"/>
    </row>
    <row r="996">
      <c r="M996" s="31"/>
      <c r="N996" s="31"/>
    </row>
    <row r="997">
      <c r="M997" s="31"/>
      <c r="N997" s="31"/>
    </row>
    <row r="998">
      <c r="M998" s="31"/>
      <c r="N998" s="31"/>
    </row>
    <row r="999">
      <c r="M999" s="31"/>
      <c r="N999" s="31"/>
    </row>
  </sheetData>
  <mergeCells count="5">
    <mergeCell ref="A1:A2"/>
    <mergeCell ref="B1:B2"/>
    <mergeCell ref="C1:C2"/>
    <mergeCell ref="D1:D2"/>
    <mergeCell ref="E1:E2"/>
  </mergeCells>
  <conditionalFormatting sqref="F3:G37 H3:AS38 AT3:AW31 AT35:AU35 G39">
    <cfRule type="cellIs" dxfId="3" priority="1" operator="equal">
      <formula>1</formula>
    </cfRule>
  </conditionalFormatting>
  <conditionalFormatting sqref="F3:G37 H3:AS38 AT8:AU8 AT35:AU35 AT37:AW37 G39">
    <cfRule type="cellIs" dxfId="4" priority="2" operator="equal">
      <formula>"R"</formula>
    </cfRule>
  </conditionalFormatting>
  <conditionalFormatting sqref="B3:B31 C3:C38 B37">
    <cfRule type="cellIs" dxfId="5" priority="3" operator="greaterThanOrEqual">
      <formula>3</formula>
    </cfRule>
  </conditionalFormatting>
  <conditionalFormatting sqref="B3:B24 B26:B31 B37">
    <cfRule type="cellIs" dxfId="6" priority="4" operator="lessThan">
      <formula>1</formula>
    </cfRule>
  </conditionalFormatting>
  <conditionalFormatting sqref="B3:B32 C3:C41 B37">
    <cfRule type="cellIs" dxfId="7" priority="5" operator="equal">
      <formula>0</formula>
    </cfRule>
  </conditionalFormatting>
  <conditionalFormatting sqref="B3:B31 C3:C38 B37">
    <cfRule type="cellIs" dxfId="8" priority="6" operator="lessThan">
      <formula>2</formula>
    </cfRule>
  </conditionalFormatting>
  <conditionalFormatting sqref="B3:B31 C3:C38 B37">
    <cfRule type="cellIs" dxfId="9" priority="7" operator="lessThan">
      <formula>3</formula>
    </cfRule>
  </conditionalFormatting>
  <conditionalFormatting sqref="B3:B32 C3:C41 B37">
    <cfRule type="containsBlanks" dxfId="6" priority="8">
      <formula>LEN(TRIM(B3))=0</formula>
    </cfRule>
  </conditionalFormatting>
  <conditionalFormatting sqref="F3:G37 H3:AS38 AT8:AU8 AT35:AU35 AT37:AW37 G39">
    <cfRule type="cellIs" dxfId="10" priority="9" operator="equal">
      <formula>"R2"</formula>
    </cfRule>
  </conditionalFormatting>
  <conditionalFormatting sqref="F38:F41 G39:AW41">
    <cfRule type="cellIs" dxfId="7" priority="10" operator="lessThan">
      <formula>1</formula>
    </cfRule>
  </conditionalFormatting>
  <conditionalFormatting sqref="F39 G39:G40 H39:AW39">
    <cfRule type="cellIs" dxfId="3" priority="11" operator="equal">
      <formula>1</formula>
    </cfRule>
  </conditionalFormatting>
  <conditionalFormatting sqref="F38:F41 G39:AW41">
    <cfRule type="cellIs" dxfId="11" priority="12" operator="greaterThan">
      <formula>1</formula>
    </cfRule>
  </conditionalFormatting>
  <conditionalFormatting sqref="D3:E41">
    <cfRule type="cellIs" dxfId="9" priority="13" operator="equal">
      <formula>1</formula>
    </cfRule>
  </conditionalFormatting>
  <conditionalFormatting sqref="F4:AQ5 F25:O25 AH25:AW25 AF31:AF36 F33:AE36 AG33:AH36 AI33:AI34 AJ33:AW36 F38:AW41">
    <cfRule type="cellIs" dxfId="7" priority="14" operator="lessThan">
      <formula>1</formula>
    </cfRule>
  </conditionalFormatting>
  <conditionalFormatting sqref="F4:AQ5 F25:O25 AH25:AW25 AF31:AF36 F33:AE36 AG33:AH36 AI33:AI34 AJ33:AW36 F38:AW41">
    <cfRule type="cellIs" dxfId="12" priority="15" operator="equal">
      <formula>1</formula>
    </cfRule>
  </conditionalFormatting>
  <conditionalFormatting sqref="F4:AQ5 F25:O25 AH25:AW25 AF31:AF36 F33:AE36 AG33:AH36 AI33:AI34 AJ33:AW36 F38:AW41">
    <cfRule type="cellIs" dxfId="11" priority="16" operator="greaterThan">
      <formula>1</formula>
    </cfRule>
  </conditionalFormatting>
  <conditionalFormatting sqref="D3:D41 E3:E38">
    <cfRule type="cellIs" dxfId="7" priority="17" operator="equal">
      <formula>0</formula>
    </cfRule>
  </conditionalFormatting>
  <conditionalFormatting sqref="D3:D41 E3:E38">
    <cfRule type="cellIs" dxfId="4" priority="18" operator="equal">
      <formula>2</formula>
    </cfRule>
  </conditionalFormatting>
  <conditionalFormatting sqref="E3:E41">
    <cfRule type="cellIs" dxfId="7" priority="19" operator="equal">
      <formula>0</formula>
    </cfRule>
  </conditionalFormatting>
  <conditionalFormatting sqref="E3:E41">
    <cfRule type="cellIs" dxfId="4" priority="20" operator="greaterThanOrEqual">
      <formula>2</formula>
    </cfRule>
  </conditionalFormatting>
  <conditionalFormatting sqref="C44">
    <cfRule type="notContainsBlanks" dxfId="3" priority="21">
      <formula>LEN(TRIM(C44))&gt;0</formula>
    </cfRule>
  </conditionalFormatting>
  <conditionalFormatting sqref="AR2:AW2">
    <cfRule type="containsText" dxfId="13" priority="22" operator="containsText" text="(PAM)">
      <formula>NOT(ISERROR(SEARCH(("(PAM)"),(AR2))))</formula>
    </cfRule>
  </conditionalFormatting>
  <conditionalFormatting sqref="AR2:AW2">
    <cfRule type="containsText" dxfId="13" priority="23" operator="containsText" text="(PPM)">
      <formula>NOT(ISERROR(SEARCH(("(PPM)"),(AR2))))</formula>
    </cfRule>
  </conditionalFormatting>
  <conditionalFormatting sqref="F2:AW2">
    <cfRule type="containsText" dxfId="13" priority="24" operator="containsText" text="PAM">
      <formula>NOT(ISERROR(SEARCH(("PAM"),(F2))))</formula>
    </cfRule>
  </conditionalFormatting>
  <conditionalFormatting sqref="F2:AW2">
    <cfRule type="containsText" dxfId="13" priority="25" operator="containsText" text="PPM">
      <formula>NOT(ISERROR(SEARCH(("PPM"),(F2))))</formula>
    </cfRule>
  </conditionalFormatting>
  <conditionalFormatting sqref="F2:AW2">
    <cfRule type="containsText" dxfId="11" priority="26" operator="containsText" text="(AM)">
      <formula>NOT(ISERROR(SEARCH(("(AM)"),(F2))))</formula>
    </cfRule>
  </conditionalFormatting>
  <conditionalFormatting sqref="F2:AW2">
    <cfRule type="containsText" dxfId="7" priority="27" operator="containsText" text="(PM)">
      <formula>NOT(ISERROR(SEARCH(("(PM)"),(F2))))</formula>
    </cfRule>
  </conditionalFormatting>
  <conditionalFormatting sqref="F2:AW2">
    <cfRule type="notContainsText" dxfId="15" priority="28" operator="notContains" text="(AM)">
      <formula>ISERROR(SEARCH(("(AM)"),(F2)))</formula>
    </cfRule>
  </conditionalFormatting>
  <conditionalFormatting sqref="F2:AW2">
    <cfRule type="notContainsText" dxfId="15" priority="29" operator="notContains" text="(PM)">
      <formula>ISERROR(SEARCH(("(PM)"),(F2)))</formula>
    </cfRule>
  </conditionalFormatting>
  <conditionalFormatting sqref="F2:AW2">
    <cfRule type="notContainsText" dxfId="15" priority="30" operator="notContains" text="(PM)">
      <formula>ISERROR(SEARCH(("(PM)"),(F2)))</formula>
    </cfRule>
  </conditionalFormatting>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49.5"/>
    <col customWidth="1" hidden="1" min="2" max="2" width="11.38"/>
    <col customWidth="1" min="3" max="3" width="7.38"/>
    <col customWidth="1" min="4" max="4" width="3.13"/>
    <col customWidth="1" min="5" max="5" width="3.5"/>
    <col customWidth="1" min="6" max="15" width="8.63"/>
    <col customWidth="1" min="16" max="16" width="8.25"/>
    <col customWidth="1" min="17" max="43" width="8.63"/>
    <col customWidth="1" min="44" max="45" width="9.5"/>
    <col customWidth="1" hidden="1" min="46" max="50" width="9.5"/>
  </cols>
  <sheetData>
    <row r="1" ht="25.5" customHeight="1">
      <c r="A1" s="1" t="s">
        <v>0</v>
      </c>
      <c r="B1" s="1" t="s">
        <v>1</v>
      </c>
      <c r="C1" s="1" t="s">
        <v>682</v>
      </c>
      <c r="D1" s="1" t="s">
        <v>683</v>
      </c>
      <c r="E1" s="1" t="s">
        <v>62</v>
      </c>
      <c r="F1" s="2" t="s">
        <v>423</v>
      </c>
      <c r="G1" s="2" t="s">
        <v>423</v>
      </c>
      <c r="H1" s="2" t="s">
        <v>424</v>
      </c>
      <c r="I1" s="2" t="s">
        <v>425</v>
      </c>
      <c r="J1" s="2" t="s">
        <v>426</v>
      </c>
      <c r="K1" s="2" t="s">
        <v>427</v>
      </c>
      <c r="L1" s="2" t="s">
        <v>420</v>
      </c>
      <c r="M1" s="2" t="s">
        <v>422</v>
      </c>
      <c r="N1" s="2" t="s">
        <v>422</v>
      </c>
      <c r="O1" s="2" t="s">
        <v>423</v>
      </c>
      <c r="P1" s="2" t="s">
        <v>423</v>
      </c>
      <c r="Q1" s="2" t="s">
        <v>424</v>
      </c>
      <c r="R1" s="2" t="s">
        <v>425</v>
      </c>
      <c r="S1" s="2" t="s">
        <v>426</v>
      </c>
      <c r="T1" s="2" t="s">
        <v>427</v>
      </c>
      <c r="U1" s="2" t="s">
        <v>420</v>
      </c>
      <c r="V1" s="2" t="s">
        <v>422</v>
      </c>
      <c r="W1" s="2" t="s">
        <v>422</v>
      </c>
      <c r="X1" s="2" t="s">
        <v>423</v>
      </c>
      <c r="Y1" s="2" t="s">
        <v>423</v>
      </c>
      <c r="Z1" s="2" t="s">
        <v>424</v>
      </c>
      <c r="AA1" s="2" t="s">
        <v>425</v>
      </c>
      <c r="AB1" s="2" t="s">
        <v>426</v>
      </c>
      <c r="AC1" s="2" t="s">
        <v>427</v>
      </c>
      <c r="AD1" s="2" t="s">
        <v>420</v>
      </c>
      <c r="AE1" s="2" t="s">
        <v>422</v>
      </c>
      <c r="AF1" s="2" t="s">
        <v>422</v>
      </c>
      <c r="AG1" s="2" t="s">
        <v>423</v>
      </c>
      <c r="AH1" s="2" t="s">
        <v>423</v>
      </c>
      <c r="AI1" s="2" t="s">
        <v>424</v>
      </c>
      <c r="AJ1" s="2" t="s">
        <v>425</v>
      </c>
      <c r="AK1" s="2" t="s">
        <v>426</v>
      </c>
      <c r="AL1" s="2" t="s">
        <v>427</v>
      </c>
      <c r="AM1" s="2" t="s">
        <v>420</v>
      </c>
      <c r="AN1" s="2" t="s">
        <v>422</v>
      </c>
      <c r="AO1" s="2" t="s">
        <v>422</v>
      </c>
      <c r="AP1" s="2" t="s">
        <v>423</v>
      </c>
      <c r="AQ1" s="2" t="s">
        <v>423</v>
      </c>
      <c r="AR1" s="2" t="s">
        <v>424</v>
      </c>
      <c r="AS1" s="2" t="s">
        <v>425</v>
      </c>
      <c r="AT1" s="2" t="s">
        <v>684</v>
      </c>
      <c r="AU1" s="54" t="s">
        <v>425</v>
      </c>
      <c r="AV1" s="55" t="s">
        <v>7</v>
      </c>
      <c r="AW1" s="55" t="s">
        <v>8</v>
      </c>
      <c r="AX1" s="55" t="s">
        <v>8</v>
      </c>
    </row>
    <row r="2" ht="25.5" customHeight="1">
      <c r="F2" s="88" t="s">
        <v>685</v>
      </c>
      <c r="G2" s="88" t="s">
        <v>686</v>
      </c>
      <c r="H2" s="88" t="s">
        <v>687</v>
      </c>
      <c r="I2" s="88" t="s">
        <v>688</v>
      </c>
      <c r="J2" s="88" t="s">
        <v>689</v>
      </c>
      <c r="K2" s="88" t="s">
        <v>690</v>
      </c>
      <c r="L2" s="88" t="s">
        <v>691</v>
      </c>
      <c r="M2" s="88" t="s">
        <v>692</v>
      </c>
      <c r="N2" s="88" t="s">
        <v>693</v>
      </c>
      <c r="O2" s="88" t="s">
        <v>694</v>
      </c>
      <c r="P2" s="88" t="s">
        <v>695</v>
      </c>
      <c r="Q2" s="88" t="s">
        <v>696</v>
      </c>
      <c r="R2" s="88" t="s">
        <v>697</v>
      </c>
      <c r="S2" s="88" t="s">
        <v>698</v>
      </c>
      <c r="T2" s="88" t="s">
        <v>699</v>
      </c>
      <c r="U2" s="88" t="s">
        <v>700</v>
      </c>
      <c r="V2" s="88" t="s">
        <v>701</v>
      </c>
      <c r="W2" s="88" t="s">
        <v>702</v>
      </c>
      <c r="X2" s="88" t="s">
        <v>703</v>
      </c>
      <c r="Y2" s="88" t="s">
        <v>704</v>
      </c>
      <c r="Z2" s="88" t="s">
        <v>705</v>
      </c>
      <c r="AA2" s="88" t="s">
        <v>706</v>
      </c>
      <c r="AB2" s="88" t="s">
        <v>707</v>
      </c>
      <c r="AC2" s="88" t="s">
        <v>708</v>
      </c>
      <c r="AD2" s="88" t="s">
        <v>709</v>
      </c>
      <c r="AE2" s="88" t="s">
        <v>710</v>
      </c>
      <c r="AF2" s="88" t="s">
        <v>711</v>
      </c>
      <c r="AG2" s="88" t="s">
        <v>712</v>
      </c>
      <c r="AH2" s="88" t="s">
        <v>713</v>
      </c>
      <c r="AI2" s="88" t="s">
        <v>714</v>
      </c>
      <c r="AJ2" s="88" t="s">
        <v>715</v>
      </c>
      <c r="AK2" s="88" t="s">
        <v>716</v>
      </c>
      <c r="AL2" s="88" t="s">
        <v>717</v>
      </c>
      <c r="AM2" s="88" t="s">
        <v>718</v>
      </c>
      <c r="AN2" s="88" t="s">
        <v>719</v>
      </c>
      <c r="AO2" s="88" t="s">
        <v>720</v>
      </c>
      <c r="AP2" s="88" t="s">
        <v>721</v>
      </c>
      <c r="AQ2" s="88" t="s">
        <v>722</v>
      </c>
      <c r="AR2" s="88" t="s">
        <v>723</v>
      </c>
      <c r="AS2" s="88" t="s">
        <v>724</v>
      </c>
      <c r="AT2" s="88" t="s">
        <v>715</v>
      </c>
      <c r="AU2" s="51" t="s">
        <v>252</v>
      </c>
      <c r="AV2" s="51" t="s">
        <v>252</v>
      </c>
      <c r="AW2" s="51" t="s">
        <v>253</v>
      </c>
      <c r="AX2" s="51" t="s">
        <v>253</v>
      </c>
    </row>
    <row r="3">
      <c r="A3" s="146" t="s">
        <v>626</v>
      </c>
      <c r="B3" s="40">
        <f t="shared" ref="B3:B8" si="1">SUM(C3:D3)</f>
        <v>0</v>
      </c>
      <c r="C3" s="10">
        <f t="shared" ref="C3:C41" si="2">SUM(F3:AS3)</f>
        <v>0</v>
      </c>
      <c r="D3" s="11">
        <f t="array" ref="D3">SUM(IF(F3:AS3="R",1,0))</f>
        <v>0</v>
      </c>
      <c r="E3" s="11">
        <f t="array" ref="E3">SUM(IF(F3:AS3="R2",1,0))</f>
        <v>2</v>
      </c>
      <c r="K3" s="17" t="s">
        <v>40</v>
      </c>
      <c r="P3" s="17" t="s">
        <v>40</v>
      </c>
      <c r="R3" s="17"/>
      <c r="Z3" s="17"/>
      <c r="AN3" s="17"/>
      <c r="AT3" s="28">
        <f t="shared" ref="AT3:AT38" si="3">sum(D3:E3)</f>
        <v>2</v>
      </c>
    </row>
    <row r="4">
      <c r="A4" s="25" t="s">
        <v>501</v>
      </c>
      <c r="B4" s="10">
        <f t="shared" si="1"/>
        <v>3</v>
      </c>
      <c r="C4" s="10">
        <f t="shared" si="2"/>
        <v>2</v>
      </c>
      <c r="D4" s="11">
        <f t="array" ref="D4">SUM(IF(F4:AS4="R",1,0))</f>
        <v>1</v>
      </c>
      <c r="E4" s="11">
        <f t="array" ref="E4">SUM(IF(F4:AS4="R2",1,0))</f>
        <v>1</v>
      </c>
      <c r="J4" s="17"/>
      <c r="T4" s="24">
        <v>1.0</v>
      </c>
      <c r="AB4" s="17" t="s">
        <v>40</v>
      </c>
      <c r="AF4" s="17"/>
      <c r="AL4" s="24">
        <v>1.0</v>
      </c>
      <c r="AN4" s="17"/>
      <c r="AR4" s="17" t="s">
        <v>39</v>
      </c>
      <c r="AT4" s="28">
        <f t="shared" si="3"/>
        <v>2</v>
      </c>
    </row>
    <row r="5">
      <c r="A5" s="25" t="s">
        <v>502</v>
      </c>
      <c r="B5" s="10">
        <f t="shared" si="1"/>
        <v>3</v>
      </c>
      <c r="C5" s="10">
        <f t="shared" si="2"/>
        <v>2</v>
      </c>
      <c r="D5" s="11">
        <f t="array" ref="D5">SUM(IF(F5:AS5="R",1,0))</f>
        <v>1</v>
      </c>
      <c r="E5" s="11">
        <f t="array" ref="E5">SUM(IF(F5:AS5="R2",1,0))</f>
        <v>1</v>
      </c>
      <c r="H5" s="24"/>
      <c r="I5" s="24">
        <v>1.0</v>
      </c>
      <c r="J5" s="16"/>
      <c r="K5" s="21" t="s">
        <v>39</v>
      </c>
      <c r="L5" s="16"/>
      <c r="M5" s="16"/>
      <c r="N5" s="16"/>
      <c r="Q5" s="121"/>
      <c r="R5" s="24"/>
      <c r="S5" s="121"/>
      <c r="T5" s="24"/>
      <c r="U5" s="17" t="s">
        <v>40</v>
      </c>
      <c r="Z5" s="121"/>
      <c r="AA5" s="121"/>
      <c r="AB5" s="121"/>
      <c r="AC5" s="121"/>
      <c r="AI5" s="24">
        <v>1.0</v>
      </c>
      <c r="AJ5" s="121"/>
      <c r="AK5" s="24"/>
      <c r="AL5" s="24"/>
      <c r="AN5" s="17"/>
      <c r="AR5" s="121"/>
      <c r="AS5" s="121"/>
      <c r="AT5" s="28">
        <f t="shared" si="3"/>
        <v>2</v>
      </c>
    </row>
    <row r="6">
      <c r="A6" s="14" t="s">
        <v>503</v>
      </c>
      <c r="B6" s="10">
        <f t="shared" si="1"/>
        <v>2</v>
      </c>
      <c r="C6" s="10">
        <f t="shared" si="2"/>
        <v>1</v>
      </c>
      <c r="D6" s="11">
        <f t="array" ref="D6">SUM(IF(F6:AS6="R",1,0))</f>
        <v>1</v>
      </c>
      <c r="E6" s="11">
        <f t="array" ref="E6">SUM(IF(F6:AS6="R2",1,0))</f>
        <v>2</v>
      </c>
      <c r="F6" s="17" t="s">
        <v>40</v>
      </c>
      <c r="H6" s="21"/>
      <c r="I6" s="21"/>
      <c r="J6" s="21"/>
      <c r="K6" s="16"/>
      <c r="L6" s="16"/>
      <c r="M6" s="16"/>
      <c r="N6" s="16"/>
      <c r="O6" s="21"/>
      <c r="P6" s="21"/>
      <c r="Q6" s="21"/>
      <c r="R6" s="121"/>
      <c r="S6" s="121"/>
      <c r="T6" s="121"/>
      <c r="U6" s="16"/>
      <c r="W6" s="17" t="s">
        <v>40</v>
      </c>
      <c r="Y6" s="17"/>
      <c r="Z6" s="16"/>
      <c r="AA6" s="16"/>
      <c r="AB6" s="16"/>
      <c r="AC6" s="16"/>
      <c r="AD6" s="16"/>
      <c r="AE6" s="17"/>
      <c r="AG6" s="17"/>
      <c r="AI6" s="21"/>
      <c r="AJ6" s="121"/>
      <c r="AK6" s="121"/>
      <c r="AL6" s="121"/>
      <c r="AM6" s="16"/>
      <c r="AO6" s="17">
        <v>1.0</v>
      </c>
      <c r="AP6" s="17" t="s">
        <v>39</v>
      </c>
      <c r="AQ6" s="17"/>
      <c r="AR6" s="16"/>
      <c r="AS6" s="16"/>
      <c r="AT6" s="28">
        <f t="shared" si="3"/>
        <v>3</v>
      </c>
    </row>
    <row r="7">
      <c r="A7" s="14" t="s">
        <v>504</v>
      </c>
      <c r="B7" s="10">
        <f t="shared" si="1"/>
        <v>3</v>
      </c>
      <c r="C7" s="10">
        <f t="shared" si="2"/>
        <v>1</v>
      </c>
      <c r="D7" s="11">
        <f t="array" ref="D7">SUM(IF(F7:AS7="R",1,0))</f>
        <v>2</v>
      </c>
      <c r="E7" s="11">
        <f t="array" ref="E7">SUM(IF(F7:AS7="R2",1,0))</f>
        <v>1</v>
      </c>
      <c r="H7" s="21"/>
      <c r="I7" s="21"/>
      <c r="J7" s="16"/>
      <c r="K7" s="16"/>
      <c r="L7" s="16"/>
      <c r="M7" s="16"/>
      <c r="N7" s="16"/>
      <c r="O7" s="17"/>
      <c r="P7" s="17" t="s">
        <v>39</v>
      </c>
      <c r="S7" s="17"/>
      <c r="V7" s="17" t="s">
        <v>39</v>
      </c>
      <c r="AD7" s="17" t="s">
        <v>40</v>
      </c>
      <c r="AF7" s="17"/>
      <c r="AH7" s="17"/>
      <c r="AI7" s="17"/>
      <c r="AJ7" s="17"/>
      <c r="AM7" s="17">
        <v>1.0</v>
      </c>
      <c r="AQ7" s="17"/>
      <c r="AT7" s="28">
        <f t="shared" si="3"/>
        <v>3</v>
      </c>
    </row>
    <row r="8" hidden="1">
      <c r="A8" s="122" t="s">
        <v>505</v>
      </c>
      <c r="B8" s="10">
        <f t="shared" si="1"/>
        <v>0</v>
      </c>
      <c r="C8" s="10">
        <f t="shared" si="2"/>
        <v>0</v>
      </c>
      <c r="D8" s="11">
        <f t="array" ref="D8">SUM(IF(F8:AS8="R",1,0))</f>
        <v>0</v>
      </c>
      <c r="E8" s="11">
        <f t="array" ref="E8">SUM(IF(F8:AS8="R2",1,0))</f>
        <v>0</v>
      </c>
      <c r="H8" s="17"/>
      <c r="I8" s="17"/>
      <c r="J8" s="17"/>
      <c r="Q8" s="17"/>
      <c r="AD8" s="17"/>
      <c r="AE8" s="17"/>
      <c r="AF8" s="17"/>
      <c r="AI8" s="17"/>
      <c r="AQ8" s="17"/>
      <c r="AT8" s="28">
        <f t="shared" si="3"/>
        <v>0</v>
      </c>
    </row>
    <row r="9">
      <c r="A9" s="27" t="s">
        <v>672</v>
      </c>
      <c r="B9" s="10"/>
      <c r="C9" s="10">
        <f t="shared" si="2"/>
        <v>1</v>
      </c>
      <c r="D9" s="11">
        <f t="array" ref="D9">SUM(IF(F9:AS9="R",1,0))</f>
        <v>2</v>
      </c>
      <c r="E9" s="11">
        <f t="array" ref="E9">SUM(IF(F9:AS9="R2",1,0))</f>
        <v>1</v>
      </c>
      <c r="F9" s="17"/>
      <c r="G9" s="17"/>
      <c r="H9" s="17" t="s">
        <v>40</v>
      </c>
      <c r="I9" s="21"/>
      <c r="J9" s="21"/>
      <c r="K9" s="21"/>
      <c r="L9" s="21"/>
      <c r="M9" s="21"/>
      <c r="N9" s="21"/>
      <c r="Q9" s="17"/>
      <c r="R9" s="24" t="s">
        <v>39</v>
      </c>
      <c r="T9" s="121"/>
      <c r="W9" s="17"/>
      <c r="Y9" s="17"/>
      <c r="AA9" s="121"/>
      <c r="AC9" s="121"/>
      <c r="AG9" s="17"/>
      <c r="AH9" s="17"/>
      <c r="AJ9" s="121"/>
      <c r="AK9" s="17"/>
      <c r="AL9" s="24"/>
      <c r="AM9" s="17" t="s">
        <v>39</v>
      </c>
      <c r="AO9" s="17"/>
      <c r="AP9" s="17"/>
      <c r="AR9" s="17">
        <v>1.0</v>
      </c>
      <c r="AS9" s="121"/>
      <c r="AT9" s="28">
        <f t="shared" si="3"/>
        <v>3</v>
      </c>
    </row>
    <row r="10">
      <c r="A10" s="125" t="s">
        <v>586</v>
      </c>
      <c r="B10" s="10">
        <f>SUM(C10:D10)</f>
        <v>2</v>
      </c>
      <c r="C10" s="10">
        <f t="shared" si="2"/>
        <v>1</v>
      </c>
      <c r="D10" s="11">
        <f t="array" ref="D10">SUM(IF(F10:AS10="R",1,0))</f>
        <v>1</v>
      </c>
      <c r="E10" s="11">
        <f t="array" ref="E10">SUM(IF(F10:AS10="R2",1,0))</f>
        <v>2</v>
      </c>
      <c r="K10" s="17"/>
      <c r="M10" s="17" t="s">
        <v>39</v>
      </c>
      <c r="P10" s="17"/>
      <c r="S10" s="17" t="s">
        <v>40</v>
      </c>
      <c r="Z10" s="17"/>
      <c r="AJ10" s="17">
        <v>1.0</v>
      </c>
      <c r="AL10" s="17"/>
      <c r="AQ10" s="17" t="s">
        <v>40</v>
      </c>
      <c r="AT10" s="28">
        <f t="shared" si="3"/>
        <v>3</v>
      </c>
    </row>
    <row r="11">
      <c r="A11" s="141" t="s">
        <v>507</v>
      </c>
      <c r="B11" s="10"/>
      <c r="C11" s="10">
        <f t="shared" si="2"/>
        <v>1</v>
      </c>
      <c r="D11" s="11">
        <f t="array" ref="D11">SUM(IF(F11:AS11="R",1,0))</f>
        <v>2</v>
      </c>
      <c r="E11" s="11">
        <f t="array" ref="E11">SUM(IF(F11:AS11="R2",1,0))</f>
        <v>2</v>
      </c>
      <c r="I11" s="17" t="s">
        <v>39</v>
      </c>
      <c r="J11" s="16"/>
      <c r="K11" s="16"/>
      <c r="L11" s="16"/>
      <c r="M11" s="21" t="s">
        <v>40</v>
      </c>
      <c r="N11" s="16"/>
      <c r="Q11" s="17" t="s">
        <v>39</v>
      </c>
      <c r="Z11" s="17"/>
      <c r="AA11" s="24">
        <v>1.0</v>
      </c>
      <c r="AB11" s="24"/>
      <c r="AE11" s="17"/>
      <c r="AF11" s="17" t="s">
        <v>40</v>
      </c>
      <c r="AI11" s="121"/>
      <c r="AJ11" s="24"/>
      <c r="AK11" s="21"/>
      <c r="AL11" s="16"/>
      <c r="AM11" s="16"/>
      <c r="AN11" s="16"/>
      <c r="AO11" s="16"/>
      <c r="AP11" s="16"/>
      <c r="AQ11" s="16"/>
      <c r="AR11" s="16"/>
      <c r="AS11" s="16"/>
      <c r="AT11" s="28">
        <f t="shared" si="3"/>
        <v>4</v>
      </c>
    </row>
    <row r="12">
      <c r="A12" s="126" t="s">
        <v>508</v>
      </c>
      <c r="B12" s="10"/>
      <c r="C12" s="10">
        <f t="shared" si="2"/>
        <v>1</v>
      </c>
      <c r="D12" s="11">
        <f t="array" ref="D12">SUM(IF(F12:AS12="R",1,0))</f>
        <v>2</v>
      </c>
      <c r="E12" s="11">
        <f t="array" ref="E12">SUM(IF(F12:AS12="R2",1,0))</f>
        <v>1</v>
      </c>
      <c r="G12" s="17">
        <v>1.0</v>
      </c>
      <c r="J12" s="16"/>
      <c r="K12" s="16"/>
      <c r="L12" s="16"/>
      <c r="M12" s="16"/>
      <c r="N12" s="21"/>
      <c r="P12" s="17"/>
      <c r="R12" s="17"/>
      <c r="T12" s="17"/>
      <c r="X12" s="17"/>
      <c r="Y12" s="17" t="s">
        <v>39</v>
      </c>
      <c r="AH12" s="17" t="s">
        <v>40</v>
      </c>
      <c r="AI12" s="17"/>
      <c r="AK12" s="17"/>
      <c r="AL12" s="17" t="s">
        <v>39</v>
      </c>
      <c r="AP12" s="17"/>
      <c r="AT12" s="28">
        <f t="shared" si="3"/>
        <v>3</v>
      </c>
    </row>
    <row r="13" hidden="1">
      <c r="A13" s="127" t="s">
        <v>509</v>
      </c>
      <c r="B13" s="10"/>
      <c r="C13" s="10">
        <f t="shared" si="2"/>
        <v>0</v>
      </c>
      <c r="D13" s="11">
        <f t="array" ref="D13">SUM(IF(F13:AS13="R",1,0))</f>
        <v>0</v>
      </c>
      <c r="E13" s="11">
        <f t="array" ref="E13">SUM(IF(F13:AS13="R2",1,0))</f>
        <v>0</v>
      </c>
      <c r="I13" s="17"/>
      <c r="P13" s="17"/>
      <c r="W13" s="17"/>
      <c r="AE13" s="17"/>
      <c r="AL13" s="17"/>
      <c r="AT13" s="28">
        <f t="shared" si="3"/>
        <v>0</v>
      </c>
    </row>
    <row r="14">
      <c r="A14" s="125" t="s">
        <v>725</v>
      </c>
      <c r="B14" s="10">
        <f>SUM(C14:D14)</f>
        <v>5</v>
      </c>
      <c r="C14" s="10">
        <f t="shared" si="2"/>
        <v>4</v>
      </c>
      <c r="D14" s="11">
        <f t="array" ref="D14">SUM(IF(F14:AS14="R",1,0))</f>
        <v>1</v>
      </c>
      <c r="E14" s="11">
        <f t="array" ref="E14">SUM(IF(F14:AS14="R2",1,0))</f>
        <v>1</v>
      </c>
      <c r="F14" s="17">
        <v>1.0</v>
      </c>
      <c r="H14" s="17" t="s">
        <v>39</v>
      </c>
      <c r="J14" s="17" t="s">
        <v>40</v>
      </c>
      <c r="M14" s="16"/>
      <c r="N14" s="16"/>
      <c r="O14" s="16"/>
      <c r="P14" s="16"/>
      <c r="W14" s="17">
        <v>1.0</v>
      </c>
      <c r="AB14" s="17">
        <v>1.0</v>
      </c>
      <c r="AE14" s="17"/>
      <c r="AF14" s="17"/>
      <c r="AK14" s="17">
        <v>1.0</v>
      </c>
      <c r="AT14" s="28">
        <f t="shared" si="3"/>
        <v>2</v>
      </c>
    </row>
    <row r="15">
      <c r="A15" s="20" t="s">
        <v>471</v>
      </c>
      <c r="B15" s="10"/>
      <c r="C15" s="10">
        <f t="shared" si="2"/>
        <v>0</v>
      </c>
      <c r="D15" s="11">
        <f t="array" ref="D15">SUM(IF(F15:AS15="R",1,0))</f>
        <v>1</v>
      </c>
      <c r="E15" s="11">
        <f t="array" ref="E15">SUM(IF(F15:AS15="R2",1,0))</f>
        <v>2</v>
      </c>
      <c r="F15" s="17"/>
      <c r="G15" s="17"/>
      <c r="I15" s="17" t="s">
        <v>40</v>
      </c>
      <c r="J15" s="16"/>
      <c r="K15" s="21"/>
      <c r="L15" s="21"/>
      <c r="M15" s="16"/>
      <c r="N15" s="16"/>
      <c r="O15" s="17" t="s">
        <v>40</v>
      </c>
      <c r="Q15" s="121"/>
      <c r="R15" s="24"/>
      <c r="S15" s="17" t="s">
        <v>39</v>
      </c>
      <c r="U15" s="17"/>
      <c r="X15" s="16"/>
      <c r="Y15" s="16"/>
      <c r="Z15" s="16"/>
      <c r="AA15" s="16"/>
      <c r="AB15" s="16"/>
      <c r="AC15" s="16"/>
      <c r="AD15" s="16"/>
      <c r="AE15" s="16"/>
      <c r="AF15" s="16"/>
      <c r="AG15" s="16"/>
      <c r="AH15" s="16"/>
      <c r="AI15" s="16"/>
      <c r="AJ15" s="17"/>
      <c r="AL15" s="16"/>
      <c r="AM15" s="21"/>
      <c r="AN15" s="16"/>
      <c r="AO15" s="16"/>
      <c r="AP15" s="16"/>
      <c r="AQ15" s="16"/>
      <c r="AR15" s="16"/>
      <c r="AS15" s="16"/>
      <c r="AT15" s="28">
        <f t="shared" si="3"/>
        <v>3</v>
      </c>
    </row>
    <row r="16" ht="15.0" customHeight="1">
      <c r="A16" s="26" t="s">
        <v>511</v>
      </c>
      <c r="B16" s="10">
        <f>SUM(C16:D16)</f>
        <v>3</v>
      </c>
      <c r="C16" s="10">
        <f t="shared" si="2"/>
        <v>2</v>
      </c>
      <c r="D16" s="11">
        <f t="array" ref="D16">SUM(IF(F16:AS16="R",1,0))</f>
        <v>1</v>
      </c>
      <c r="E16" s="11">
        <f t="array" ref="E16">SUM(IF(F16:AS16="R2",1,0))</f>
        <v>1</v>
      </c>
      <c r="F16" s="17"/>
      <c r="M16" s="17">
        <v>1.0</v>
      </c>
      <c r="N16" s="17" t="s">
        <v>39</v>
      </c>
      <c r="O16" s="134"/>
      <c r="P16" s="129"/>
      <c r="Q16" s="129"/>
      <c r="R16" s="147"/>
      <c r="S16" s="134"/>
      <c r="U16" s="17">
        <v>1.0</v>
      </c>
      <c r="X16" s="17"/>
      <c r="Y16" s="17" t="s">
        <v>40</v>
      </c>
      <c r="AA16" s="17"/>
      <c r="AB16" s="148"/>
      <c r="AC16" s="148"/>
      <c r="AD16" s="149"/>
      <c r="AE16" s="149"/>
      <c r="AF16" s="148"/>
      <c r="AG16" s="149"/>
      <c r="AH16" s="148"/>
      <c r="AM16" s="17"/>
      <c r="AT16" s="28">
        <f t="shared" si="3"/>
        <v>2</v>
      </c>
    </row>
    <row r="17">
      <c r="A17" s="163" t="s">
        <v>627</v>
      </c>
      <c r="B17" s="10"/>
      <c r="C17" s="10">
        <f t="shared" si="2"/>
        <v>1</v>
      </c>
      <c r="D17" s="11">
        <f t="array" ref="D17">SUM(IF(F17:AS17="R",1,0))</f>
        <v>2</v>
      </c>
      <c r="E17" s="11">
        <f t="array" ref="E17">SUM(IF(F17:AS17="R2",1,0))</f>
        <v>1</v>
      </c>
      <c r="G17" s="17"/>
      <c r="J17" s="17">
        <v>1.0</v>
      </c>
      <c r="L17" s="17"/>
      <c r="O17" s="129"/>
      <c r="P17" s="147"/>
      <c r="Q17" s="147"/>
      <c r="R17" s="129"/>
      <c r="S17" s="147"/>
      <c r="T17" s="17"/>
      <c r="U17" s="17" t="s">
        <v>39</v>
      </c>
      <c r="Z17" s="17" t="s">
        <v>40</v>
      </c>
      <c r="AB17" s="148"/>
      <c r="AC17" s="148"/>
      <c r="AD17" s="148"/>
      <c r="AE17" s="148"/>
      <c r="AF17" s="148"/>
      <c r="AG17" s="148"/>
      <c r="AH17" s="148"/>
      <c r="AN17" s="17"/>
      <c r="AO17" s="17" t="s">
        <v>39</v>
      </c>
      <c r="AT17" s="28">
        <f t="shared" si="3"/>
        <v>3</v>
      </c>
    </row>
    <row r="18">
      <c r="A18" s="22" t="s">
        <v>550</v>
      </c>
      <c r="B18" s="10">
        <f t="shared" ref="B18:B20" si="4">SUM(C18:D18)</f>
        <v>3</v>
      </c>
      <c r="C18" s="10">
        <f t="shared" si="2"/>
        <v>1</v>
      </c>
      <c r="D18" s="11">
        <f t="array" ref="D18">SUM(IF(F18:AS18="R",1,0))</f>
        <v>2</v>
      </c>
      <c r="E18" s="11">
        <f t="array" ref="E18">SUM(IF(F18:AS18="R2",1,0))</f>
        <v>1</v>
      </c>
      <c r="H18" s="17"/>
      <c r="J18" s="16"/>
      <c r="K18" s="16"/>
      <c r="L18" s="21"/>
      <c r="M18" s="21"/>
      <c r="N18" s="16"/>
      <c r="Q18" s="17"/>
      <c r="R18" s="17"/>
      <c r="S18" s="24">
        <v>1.0</v>
      </c>
      <c r="X18" s="17" t="s">
        <v>39</v>
      </c>
      <c r="Z18" s="24"/>
      <c r="AB18" s="121"/>
      <c r="AG18" s="17" t="s">
        <v>40</v>
      </c>
      <c r="AK18" s="121"/>
      <c r="AN18" s="17"/>
      <c r="AO18" s="17"/>
      <c r="AQ18" s="17" t="s">
        <v>39</v>
      </c>
      <c r="AR18" s="16"/>
      <c r="AT18" s="28">
        <f t="shared" si="3"/>
        <v>3</v>
      </c>
    </row>
    <row r="19">
      <c r="A19" s="25" t="s">
        <v>551</v>
      </c>
      <c r="B19" s="10">
        <f t="shared" si="4"/>
        <v>0</v>
      </c>
      <c r="C19" s="10">
        <f t="shared" si="2"/>
        <v>0</v>
      </c>
      <c r="D19" s="11">
        <f t="array" ref="D19">SUM(IF(F19:AS19="R",1,0))</f>
        <v>0</v>
      </c>
      <c r="E19" s="11">
        <f t="array" ref="E19">SUM(IF(F19:AS19="R2",1,0))</f>
        <v>0</v>
      </c>
      <c r="G19" s="17"/>
      <c r="H19" s="17"/>
      <c r="I19" s="17"/>
      <c r="J19" s="16"/>
      <c r="K19" s="16"/>
      <c r="L19" s="16"/>
      <c r="M19" s="16"/>
      <c r="N19" s="16"/>
      <c r="X19" s="17"/>
      <c r="AB19" s="17"/>
      <c r="AG19" s="17"/>
      <c r="AJ19" s="17"/>
      <c r="AN19" s="17"/>
      <c r="AP19" s="17"/>
      <c r="AT19" s="28">
        <f t="shared" si="3"/>
        <v>0</v>
      </c>
    </row>
    <row r="20">
      <c r="A20" s="44" t="s">
        <v>673</v>
      </c>
      <c r="B20" s="10">
        <f t="shared" si="4"/>
        <v>2</v>
      </c>
      <c r="C20" s="10">
        <f t="shared" si="2"/>
        <v>1</v>
      </c>
      <c r="D20" s="11">
        <f t="array" ref="D20">SUM(IF(F20:AS20="R",1,0))</f>
        <v>1</v>
      </c>
      <c r="E20" s="11">
        <f t="array" ref="E20">SUM(IF(F20:AS20="R2",1,0))</f>
        <v>2</v>
      </c>
      <c r="F20" s="17"/>
      <c r="G20" s="17"/>
      <c r="J20" s="17"/>
      <c r="L20" s="17" t="s">
        <v>39</v>
      </c>
      <c r="O20" s="129"/>
      <c r="P20" s="129"/>
      <c r="Q20" s="129">
        <v>1.0</v>
      </c>
      <c r="R20" s="147"/>
      <c r="S20" s="147"/>
      <c r="V20" s="17" t="s">
        <v>40</v>
      </c>
      <c r="W20" s="17"/>
      <c r="AB20" s="149"/>
      <c r="AC20" s="149"/>
      <c r="AD20" s="149"/>
      <c r="AE20" s="148"/>
      <c r="AF20" s="148"/>
      <c r="AG20" s="148"/>
      <c r="AH20" s="149"/>
      <c r="AM20" s="148"/>
      <c r="AN20" s="149" t="s">
        <v>40</v>
      </c>
      <c r="AT20" s="28">
        <f t="shared" si="3"/>
        <v>3</v>
      </c>
    </row>
    <row r="21" hidden="1">
      <c r="A21" s="26" t="s">
        <v>552</v>
      </c>
      <c r="B21" s="10"/>
      <c r="C21" s="10">
        <f t="shared" si="2"/>
        <v>0</v>
      </c>
      <c r="D21" s="11">
        <f t="array" ref="D21">SUM(IF(F21:AS21="R",1,0))</f>
        <v>0</v>
      </c>
      <c r="E21" s="11">
        <f t="array" ref="E21">SUM(IF(F21:AS21="R2",1,0))</f>
        <v>0</v>
      </c>
      <c r="F21" s="17"/>
      <c r="M21" s="17"/>
      <c r="O21" s="17"/>
      <c r="V21" s="17"/>
      <c r="AC21" s="17"/>
      <c r="AP21" s="17"/>
      <c r="AT21" s="28">
        <f t="shared" si="3"/>
        <v>0</v>
      </c>
    </row>
    <row r="22">
      <c r="A22" s="25" t="s">
        <v>514</v>
      </c>
      <c r="B22" s="10">
        <f>SUM(C22:D22)</f>
        <v>3</v>
      </c>
      <c r="C22" s="10">
        <f t="shared" si="2"/>
        <v>2</v>
      </c>
      <c r="D22" s="11">
        <f t="array" ref="D22">SUM(IF(F22:AS22="R",1,0))</f>
        <v>1</v>
      </c>
      <c r="E22" s="11">
        <f t="array" ref="E22">SUM(IF(F22:AS22="R2",1,0))</f>
        <v>2</v>
      </c>
      <c r="L22" s="17" t="s">
        <v>40</v>
      </c>
      <c r="AC22" s="17">
        <v>1.0</v>
      </c>
      <c r="AH22" s="17" t="s">
        <v>39</v>
      </c>
      <c r="AM22" s="17" t="s">
        <v>40</v>
      </c>
      <c r="AS22" s="17">
        <v>1.0</v>
      </c>
      <c r="AT22" s="28">
        <f t="shared" si="3"/>
        <v>3</v>
      </c>
    </row>
    <row r="23">
      <c r="A23" s="25" t="s">
        <v>515</v>
      </c>
      <c r="B23" s="10"/>
      <c r="C23" s="10">
        <f t="shared" si="2"/>
        <v>2</v>
      </c>
      <c r="D23" s="11">
        <f t="array" ref="D23">SUM(IF(F23:AS23="R",1,0))</f>
        <v>3</v>
      </c>
      <c r="E23" s="11">
        <f t="array" ref="E23">SUM(IF(F23:AS23="R2",1,0))</f>
        <v>4</v>
      </c>
      <c r="G23" s="17" t="s">
        <v>39</v>
      </c>
      <c r="J23" s="16"/>
      <c r="K23" s="16"/>
      <c r="L23" s="16"/>
      <c r="M23" s="16"/>
      <c r="N23" s="21" t="s">
        <v>40</v>
      </c>
      <c r="Q23" s="17" t="s">
        <v>40</v>
      </c>
      <c r="T23" s="17" t="s">
        <v>40</v>
      </c>
      <c r="X23" s="17" t="s">
        <v>40</v>
      </c>
      <c r="Y23" s="17">
        <v>1.0</v>
      </c>
      <c r="AA23" s="17" t="s">
        <v>39</v>
      </c>
      <c r="AD23" s="17"/>
      <c r="AG23" s="17" t="s">
        <v>39</v>
      </c>
      <c r="AH23" s="17">
        <v>1.0</v>
      </c>
      <c r="AK23" s="16"/>
      <c r="AL23" s="16"/>
      <c r="AM23" s="16"/>
      <c r="AN23" s="16"/>
      <c r="AO23" s="16"/>
      <c r="AP23" s="16"/>
      <c r="AQ23" s="16"/>
      <c r="AR23" s="16"/>
      <c r="AS23" s="16"/>
      <c r="AT23" s="28">
        <f t="shared" si="3"/>
        <v>7</v>
      </c>
    </row>
    <row r="24">
      <c r="A24" s="9" t="s">
        <v>587</v>
      </c>
      <c r="B24" s="10">
        <f>SUM(C24:D24)</f>
        <v>5</v>
      </c>
      <c r="C24" s="10">
        <f t="shared" si="2"/>
        <v>3</v>
      </c>
      <c r="D24" s="11">
        <f t="array" ref="D24">SUM(IF(F24:AS24="R",1,0))</f>
        <v>2</v>
      </c>
      <c r="E24" s="11">
        <f t="array" ref="E24">SUM(IF(F24:AS24="R2",1,0))</f>
        <v>1</v>
      </c>
      <c r="N24" s="17">
        <v>1.0</v>
      </c>
      <c r="O24" s="17" t="s">
        <v>39</v>
      </c>
      <c r="X24" s="17">
        <v>1.0</v>
      </c>
      <c r="AB24" s="17"/>
      <c r="AE24" s="17" t="s">
        <v>39</v>
      </c>
      <c r="AF24" s="17"/>
      <c r="AH24" s="17"/>
      <c r="AO24" s="17" t="s">
        <v>40</v>
      </c>
      <c r="AP24" s="17">
        <v>1.0</v>
      </c>
      <c r="AT24" s="28">
        <f t="shared" si="3"/>
        <v>3</v>
      </c>
    </row>
    <row r="25">
      <c r="A25" s="9" t="s">
        <v>516</v>
      </c>
      <c r="B25" s="28"/>
      <c r="C25" s="10">
        <f t="shared" si="2"/>
        <v>0</v>
      </c>
      <c r="D25" s="11">
        <f t="array" ref="D25">SUM(IF(F25:AS25="R",1,0))</f>
        <v>0</v>
      </c>
      <c r="E25" s="11">
        <f t="array" ref="E25">SUM(IF(F25:AS25="R2",1,0))</f>
        <v>0</v>
      </c>
      <c r="G25" s="152"/>
      <c r="H25" s="164"/>
      <c r="I25" s="165"/>
      <c r="J25" s="35"/>
      <c r="K25" s="164"/>
      <c r="L25" s="165"/>
      <c r="M25" s="21"/>
      <c r="N25" s="21"/>
      <c r="O25" s="16"/>
      <c r="P25" s="16"/>
      <c r="Q25" s="16"/>
      <c r="R25" s="16"/>
      <c r="S25" s="16"/>
      <c r="T25" s="21"/>
      <c r="U25" s="16"/>
      <c r="V25" s="16"/>
      <c r="W25" s="16"/>
      <c r="X25" s="16"/>
      <c r="Y25" s="16"/>
      <c r="Z25" s="16"/>
      <c r="AA25" s="16"/>
      <c r="AB25" s="16"/>
      <c r="AC25" s="21"/>
      <c r="AD25" s="16"/>
      <c r="AE25" s="21"/>
      <c r="AF25" s="16"/>
      <c r="AG25" s="16"/>
      <c r="AH25" s="16"/>
      <c r="AI25" s="16"/>
      <c r="AJ25" s="16"/>
      <c r="AK25" s="16"/>
      <c r="AL25" s="16"/>
      <c r="AM25" s="16"/>
      <c r="AN25" s="16"/>
      <c r="AO25" s="16"/>
      <c r="AP25" s="16"/>
      <c r="AQ25" s="16"/>
      <c r="AR25" s="16"/>
      <c r="AS25" s="16"/>
      <c r="AT25" s="28">
        <f t="shared" si="3"/>
        <v>0</v>
      </c>
      <c r="AW25" s="121"/>
      <c r="AX25" s="121"/>
    </row>
    <row r="26">
      <c r="A26" s="62" t="s">
        <v>517</v>
      </c>
      <c r="B26" s="10"/>
      <c r="C26" s="10">
        <f t="shared" si="2"/>
        <v>1</v>
      </c>
      <c r="D26" s="11">
        <f t="array" ref="D26">SUM(IF(F26:AS26="R",1,0))</f>
        <v>1</v>
      </c>
      <c r="E26" s="11">
        <f t="array" ref="E26">SUM(IF(F26:AS26="R2",1,0))</f>
        <v>2</v>
      </c>
      <c r="J26" s="16"/>
      <c r="K26" s="16"/>
      <c r="L26" s="16"/>
      <c r="M26" s="16"/>
      <c r="N26" s="21"/>
      <c r="P26" s="17"/>
      <c r="T26" s="17"/>
      <c r="W26" s="24" t="s">
        <v>39</v>
      </c>
      <c r="Y26" s="17"/>
      <c r="AC26" s="17"/>
      <c r="AE26" s="17" t="s">
        <v>40</v>
      </c>
      <c r="AF26" s="24">
        <v>1.0</v>
      </c>
      <c r="AJ26" s="17"/>
      <c r="AK26" s="17" t="s">
        <v>40</v>
      </c>
      <c r="AL26" s="17"/>
      <c r="AM26" s="17"/>
      <c r="AN26" s="21"/>
      <c r="AO26" s="16"/>
      <c r="AP26" s="16"/>
      <c r="AQ26" s="16"/>
      <c r="AR26" s="16"/>
      <c r="AS26" s="16"/>
      <c r="AT26" s="28">
        <f t="shared" si="3"/>
        <v>3</v>
      </c>
    </row>
    <row r="27">
      <c r="A27" s="62" t="s">
        <v>588</v>
      </c>
      <c r="B27" s="10">
        <f>SUM(C27:D27)</f>
        <v>0</v>
      </c>
      <c r="C27" s="10">
        <f t="shared" si="2"/>
        <v>0</v>
      </c>
      <c r="D27" s="11">
        <f t="array" ref="D27">SUM(IF(F27:AS27="R",1,0))</f>
        <v>0</v>
      </c>
      <c r="E27" s="11">
        <f t="array" ref="E27">SUM(IF(F27:AS27="R2",1,0))</f>
        <v>0</v>
      </c>
      <c r="F27" s="21"/>
      <c r="G27" s="21"/>
      <c r="H27" s="16"/>
      <c r="I27" s="16"/>
      <c r="J27" s="21"/>
      <c r="K27" s="16"/>
      <c r="L27" s="21"/>
      <c r="M27" s="16"/>
      <c r="N27" s="21"/>
      <c r="O27" s="16"/>
      <c r="P27" s="16"/>
      <c r="Q27" s="16"/>
      <c r="R27" s="21"/>
      <c r="S27" s="16"/>
      <c r="T27" s="16"/>
      <c r="U27" s="16"/>
      <c r="V27" s="16"/>
      <c r="W27" s="16"/>
      <c r="X27" s="16"/>
      <c r="Y27" s="16"/>
      <c r="Z27" s="16"/>
      <c r="AA27" s="16"/>
      <c r="AB27" s="21"/>
      <c r="AC27" s="16"/>
      <c r="AD27" s="21"/>
      <c r="AE27" s="16"/>
      <c r="AF27" s="16"/>
      <c r="AG27" s="21"/>
      <c r="AH27" s="21"/>
      <c r="AI27" s="16"/>
      <c r="AJ27" s="16"/>
      <c r="AK27" s="16"/>
      <c r="AL27" s="16"/>
      <c r="AM27" s="16"/>
      <c r="AN27" s="16"/>
      <c r="AO27" s="16"/>
      <c r="AP27" s="21"/>
      <c r="AQ27" s="16"/>
      <c r="AR27" s="16"/>
      <c r="AS27" s="16"/>
      <c r="AT27" s="28">
        <f t="shared" si="3"/>
        <v>0</v>
      </c>
    </row>
    <row r="28">
      <c r="A28" s="62" t="s">
        <v>519</v>
      </c>
      <c r="B28" s="10"/>
      <c r="C28" s="10">
        <f t="shared" si="2"/>
        <v>2</v>
      </c>
      <c r="D28" s="11">
        <f t="array" ref="D28">SUM(IF(F28:AS28="R",1,0))</f>
        <v>1</v>
      </c>
      <c r="E28" s="11">
        <f t="array" ref="E28">SUM(IF(F28:AS28="R2",1,0))</f>
        <v>1</v>
      </c>
      <c r="F28" s="16"/>
      <c r="G28" s="16"/>
      <c r="H28" s="21"/>
      <c r="I28" s="21"/>
      <c r="J28" s="16"/>
      <c r="K28" s="16"/>
      <c r="L28" s="16"/>
      <c r="M28" s="16"/>
      <c r="N28" s="16"/>
      <c r="V28" s="24">
        <v>1.0</v>
      </c>
      <c r="W28" s="17"/>
      <c r="X28" s="17"/>
      <c r="Y28" s="17"/>
      <c r="Z28" s="17"/>
      <c r="AD28" s="17"/>
      <c r="AE28" s="17"/>
      <c r="AF28" s="17" t="s">
        <v>39</v>
      </c>
      <c r="AG28" s="17"/>
      <c r="AH28" s="24"/>
      <c r="AJ28" s="17"/>
      <c r="AL28" s="17" t="s">
        <v>40</v>
      </c>
      <c r="AP28" s="17"/>
      <c r="AQ28" s="24">
        <v>1.0</v>
      </c>
      <c r="AT28" s="28">
        <f t="shared" si="3"/>
        <v>2</v>
      </c>
    </row>
    <row r="29">
      <c r="A29" s="62" t="s">
        <v>589</v>
      </c>
      <c r="B29" s="10">
        <f t="shared" ref="B29:B30" si="5">SUM(C29:D29)</f>
        <v>3</v>
      </c>
      <c r="C29" s="10">
        <f t="shared" si="2"/>
        <v>2</v>
      </c>
      <c r="D29" s="11">
        <f t="array" ref="D29">SUM(IF(F29:AS29="R",1,0))</f>
        <v>1</v>
      </c>
      <c r="E29" s="11">
        <f t="array" ref="E29">SUM(IF(F29:AS29="R2",1,0))</f>
        <v>1</v>
      </c>
      <c r="G29" s="17" t="s">
        <v>40</v>
      </c>
      <c r="J29" s="16"/>
      <c r="K29" s="16"/>
      <c r="L29" s="16"/>
      <c r="M29" s="16"/>
      <c r="N29" s="16"/>
      <c r="P29" s="17">
        <v>1.0</v>
      </c>
      <c r="Y29" s="17"/>
      <c r="AA29" s="17"/>
      <c r="AE29" s="17">
        <v>1.0</v>
      </c>
      <c r="AI29" s="17"/>
      <c r="AK29" s="17" t="s">
        <v>39</v>
      </c>
      <c r="AN29" s="16"/>
      <c r="AO29" s="16"/>
      <c r="AP29" s="21"/>
      <c r="AQ29" s="16"/>
      <c r="AR29" s="16"/>
      <c r="AS29" s="16"/>
      <c r="AT29" s="28">
        <f t="shared" si="3"/>
        <v>2</v>
      </c>
    </row>
    <row r="30">
      <c r="A30" s="44" t="s">
        <v>553</v>
      </c>
      <c r="B30" s="10">
        <f t="shared" si="5"/>
        <v>3</v>
      </c>
      <c r="C30" s="10">
        <f t="shared" si="2"/>
        <v>2</v>
      </c>
      <c r="D30" s="11">
        <f t="array" ref="D30">SUM(IF(F30:AS30="R",1,0))</f>
        <v>1</v>
      </c>
      <c r="E30" s="11">
        <f t="array" ref="E30">SUM(IF(F30:AS30="R2",1,0))</f>
        <v>1</v>
      </c>
      <c r="F30" s="21"/>
      <c r="G30" s="16"/>
      <c r="L30" s="17">
        <v>1.0</v>
      </c>
      <c r="M30" s="21"/>
      <c r="N30" s="16"/>
      <c r="O30" s="21"/>
      <c r="P30" s="16"/>
      <c r="V30" s="16"/>
      <c r="W30" s="16"/>
      <c r="X30" s="21"/>
      <c r="Y30" s="16"/>
      <c r="Z30" s="17" t="s">
        <v>39</v>
      </c>
      <c r="AC30" s="17"/>
      <c r="AD30" s="17">
        <v>1.0</v>
      </c>
      <c r="AE30" s="16"/>
      <c r="AF30" s="16"/>
      <c r="AG30" s="21"/>
      <c r="AH30" s="16"/>
      <c r="AI30" s="17" t="s">
        <v>40</v>
      </c>
      <c r="AN30" s="16"/>
      <c r="AO30" s="16"/>
      <c r="AP30" s="16"/>
      <c r="AQ30" s="16"/>
      <c r="AT30" s="28">
        <f t="shared" si="3"/>
        <v>2</v>
      </c>
    </row>
    <row r="31">
      <c r="A31" s="27" t="s">
        <v>475</v>
      </c>
      <c r="B31" s="10"/>
      <c r="C31" s="10">
        <f t="shared" si="2"/>
        <v>1</v>
      </c>
      <c r="D31" s="11">
        <f t="array" ref="D31">SUM(IF(F31:AS31="R",1,0))</f>
        <v>3</v>
      </c>
      <c r="E31" s="11">
        <f t="array" ref="E31">SUM(IF(F31:AS31="R2",1,0))</f>
        <v>0</v>
      </c>
      <c r="J31" s="17" t="s">
        <v>39</v>
      </c>
      <c r="M31" s="17"/>
      <c r="V31" s="17"/>
      <c r="X31" s="17"/>
      <c r="AC31" s="17" t="s">
        <v>39</v>
      </c>
      <c r="AG31" s="17"/>
      <c r="AI31" s="24" t="s">
        <v>39</v>
      </c>
      <c r="AN31" s="17">
        <v>1.0</v>
      </c>
      <c r="AT31" s="28">
        <f t="shared" si="3"/>
        <v>3</v>
      </c>
    </row>
    <row r="32">
      <c r="A32" s="62" t="s">
        <v>674</v>
      </c>
      <c r="B32" s="10" t="str">
        <f>SUM(B4:B37)</f>
        <v>#REF!</v>
      </c>
      <c r="C32" s="10">
        <f t="shared" si="2"/>
        <v>1</v>
      </c>
      <c r="D32" s="11">
        <f t="array" ref="D32">SUM(IF(F32:AS32="R",1,0))</f>
        <v>1</v>
      </c>
      <c r="E32" s="11">
        <f t="array" ref="E32">SUM(IF(F32:AS32="R2",1,0))</f>
        <v>2</v>
      </c>
      <c r="I32" s="16"/>
      <c r="J32" s="16"/>
      <c r="K32" s="16"/>
      <c r="L32" s="16"/>
      <c r="M32" s="16"/>
      <c r="N32" s="21"/>
      <c r="R32" s="24">
        <v>1.0</v>
      </c>
      <c r="S32" s="121"/>
      <c r="T32" s="121"/>
      <c r="V32" s="17"/>
      <c r="AA32" s="121"/>
      <c r="AB32" s="24" t="s">
        <v>39</v>
      </c>
      <c r="AC32" s="121"/>
      <c r="AI32" s="17"/>
      <c r="AJ32" s="24" t="s">
        <v>40</v>
      </c>
      <c r="AK32" s="121"/>
      <c r="AL32" s="121"/>
      <c r="AO32" s="17"/>
      <c r="AS32" s="24" t="s">
        <v>40</v>
      </c>
      <c r="AT32" s="28">
        <f t="shared" si="3"/>
        <v>3</v>
      </c>
    </row>
    <row r="33" hidden="1">
      <c r="A33" s="27" t="s">
        <v>522</v>
      </c>
      <c r="B33" s="28" t="str">
        <f t="shared" ref="B33:B34" si="6">SUM(#REF!)</f>
        <v>#REF!</v>
      </c>
      <c r="C33" s="10">
        <f t="shared" si="2"/>
        <v>0</v>
      </c>
      <c r="D33" s="11">
        <f t="array" ref="D33">SUM(IF(F33:AS33="R",1,0))</f>
        <v>0</v>
      </c>
      <c r="E33" s="11">
        <f t="array" ref="E33">SUM(IF(F33:AS33="R2",1,0))</f>
        <v>0</v>
      </c>
      <c r="R33" s="17"/>
      <c r="X33" s="17"/>
      <c r="Z33" s="17"/>
      <c r="AG33" s="17"/>
      <c r="AI33" s="17"/>
      <c r="AT33" s="28">
        <f t="shared" si="3"/>
        <v>0</v>
      </c>
    </row>
    <row r="34">
      <c r="A34" s="69" t="s">
        <v>523</v>
      </c>
      <c r="B34" s="28" t="str">
        <f t="shared" si="6"/>
        <v>#REF!</v>
      </c>
      <c r="C34" s="10">
        <f t="shared" si="2"/>
        <v>1</v>
      </c>
      <c r="D34" s="11">
        <f t="array" ref="D34">SUM(IF(F34:AS34="R",1,0))</f>
        <v>1</v>
      </c>
      <c r="E34" s="11">
        <f t="array" ref="E34">SUM(IF(F34:AS34="R2",1,0))</f>
        <v>2</v>
      </c>
      <c r="F34" s="16"/>
      <c r="G34" s="17"/>
      <c r="H34" s="24"/>
      <c r="I34" s="21"/>
      <c r="J34" s="16"/>
      <c r="K34" s="16"/>
      <c r="L34" s="16"/>
      <c r="M34" s="21"/>
      <c r="N34" s="21"/>
      <c r="O34" s="17">
        <v>1.0</v>
      </c>
      <c r="P34" s="17"/>
      <c r="Q34" s="24"/>
      <c r="R34" s="121"/>
      <c r="S34" s="24"/>
      <c r="T34" s="121"/>
      <c r="U34" s="17"/>
      <c r="Z34" s="24"/>
      <c r="AA34" s="24" t="s">
        <v>40</v>
      </c>
      <c r="AB34" s="24"/>
      <c r="AC34" s="24"/>
      <c r="AD34" s="17"/>
      <c r="AI34" s="121"/>
      <c r="AJ34" s="24" t="s">
        <v>39</v>
      </c>
      <c r="AK34" s="121"/>
      <c r="AL34" s="24"/>
      <c r="AM34" s="17"/>
      <c r="AN34" s="17"/>
      <c r="AR34" s="24" t="s">
        <v>40</v>
      </c>
      <c r="AS34" s="121"/>
      <c r="AT34" s="28">
        <f t="shared" si="3"/>
        <v>3</v>
      </c>
    </row>
    <row r="35">
      <c r="A35" s="44" t="s">
        <v>524</v>
      </c>
      <c r="C35" s="10">
        <f t="shared" si="2"/>
        <v>1</v>
      </c>
      <c r="D35" s="11">
        <f t="array" ref="D35">SUM(IF(F35:AS35="R",1,0))</f>
        <v>2</v>
      </c>
      <c r="E35" s="11">
        <f t="array" ref="E35">SUM(IF(F35:AS35="R2",1,0))</f>
        <v>1</v>
      </c>
      <c r="F35" s="17" t="s">
        <v>39</v>
      </c>
      <c r="H35" s="121"/>
      <c r="I35" s="21"/>
      <c r="J35" s="16"/>
      <c r="K35" s="21"/>
      <c r="L35" s="21"/>
      <c r="M35" s="16"/>
      <c r="N35" s="21"/>
      <c r="O35" s="21"/>
      <c r="P35" s="21"/>
      <c r="Q35" s="16"/>
      <c r="R35" s="16"/>
      <c r="S35" s="121"/>
      <c r="U35" s="17"/>
      <c r="W35" s="17"/>
      <c r="Z35" s="121"/>
      <c r="AA35" s="121"/>
      <c r="AB35" s="121"/>
      <c r="AC35" s="24" t="s">
        <v>40</v>
      </c>
      <c r="AE35" s="17"/>
      <c r="AF35" s="17"/>
      <c r="AG35" s="17">
        <v>1.0</v>
      </c>
      <c r="AH35" s="17"/>
      <c r="AI35" s="121"/>
      <c r="AJ35" s="121"/>
      <c r="AK35" s="121"/>
      <c r="AL35" s="121"/>
      <c r="AN35" s="17" t="s">
        <v>39</v>
      </c>
      <c r="AO35" s="17"/>
      <c r="AR35" s="24"/>
      <c r="AS35" s="121"/>
      <c r="AT35" s="28">
        <f t="shared" si="3"/>
        <v>3</v>
      </c>
    </row>
    <row r="36" hidden="1">
      <c r="A36" s="44" t="s">
        <v>479</v>
      </c>
      <c r="C36" s="10">
        <f t="shared" si="2"/>
        <v>0</v>
      </c>
      <c r="D36" s="11">
        <f t="array" ref="D36">SUM(IF(F36:AS36="R",1,0))</f>
        <v>0</v>
      </c>
      <c r="E36" s="11">
        <f t="array" ref="E36">SUM(IF(F36:AS36="R2",1,0))</f>
        <v>0</v>
      </c>
      <c r="AT36" s="28">
        <f t="shared" si="3"/>
        <v>0</v>
      </c>
    </row>
    <row r="37">
      <c r="A37" s="44" t="s">
        <v>628</v>
      </c>
      <c r="B37" s="10">
        <f>SUM(C37:D37)</f>
        <v>3</v>
      </c>
      <c r="C37" s="10">
        <f t="shared" si="2"/>
        <v>1</v>
      </c>
      <c r="D37" s="11">
        <f t="array" ref="D37">SUM(IF(F37:AS37="R",1,0))</f>
        <v>2</v>
      </c>
      <c r="E37" s="11">
        <f t="array" ref="E37">SUM(IF(F37:AS37="R2",1,0))</f>
        <v>1</v>
      </c>
      <c r="G37" s="17"/>
      <c r="K37" s="17">
        <v>1.0</v>
      </c>
      <c r="L37" s="17"/>
      <c r="N37" s="17"/>
      <c r="Q37" s="17"/>
      <c r="S37" s="17"/>
      <c r="T37" s="17" t="s">
        <v>39</v>
      </c>
      <c r="W37" s="17"/>
      <c r="AD37" s="17" t="s">
        <v>39</v>
      </c>
      <c r="AP37" s="17" t="s">
        <v>40</v>
      </c>
      <c r="AT37" s="28">
        <f t="shared" si="3"/>
        <v>3</v>
      </c>
    </row>
    <row r="38">
      <c r="A38" s="23" t="s">
        <v>481</v>
      </c>
      <c r="C38" s="10">
        <f t="shared" si="2"/>
        <v>2</v>
      </c>
      <c r="D38" s="11">
        <f t="array" ref="D38">SUM(IF(F38:AS38="R",1,0))</f>
        <v>1</v>
      </c>
      <c r="E38" s="11">
        <f t="array" ref="E38">SUM(IF(F38:AS38="R2",1,0))</f>
        <v>1</v>
      </c>
      <c r="H38" s="24">
        <v>1.0</v>
      </c>
      <c r="I38" s="24"/>
      <c r="J38" s="16"/>
      <c r="K38" s="16"/>
      <c r="L38" s="16"/>
      <c r="M38" s="16"/>
      <c r="N38" s="16"/>
      <c r="Q38" s="121"/>
      <c r="R38" s="24" t="s">
        <v>40</v>
      </c>
      <c r="S38" s="24"/>
      <c r="T38" s="121"/>
      <c r="U38" s="16"/>
      <c r="V38" s="16"/>
      <c r="W38" s="21"/>
      <c r="X38" s="16"/>
      <c r="Y38" s="16"/>
      <c r="Z38" s="24">
        <v>1.0</v>
      </c>
      <c r="AA38" s="121"/>
      <c r="AB38" s="121"/>
      <c r="AC38" s="121"/>
      <c r="AG38" s="17"/>
      <c r="AH38" s="17"/>
      <c r="AI38" s="24"/>
      <c r="AJ38" s="24"/>
      <c r="AK38" s="121"/>
      <c r="AL38" s="24"/>
      <c r="AM38" s="17"/>
      <c r="AO38" s="17"/>
      <c r="AP38" s="17"/>
      <c r="AR38" s="121"/>
      <c r="AS38" s="24" t="s">
        <v>39</v>
      </c>
      <c r="AT38" s="28">
        <f t="shared" si="3"/>
        <v>2</v>
      </c>
    </row>
    <row r="39">
      <c r="A39" s="17" t="s">
        <v>68</v>
      </c>
      <c r="C39" s="10">
        <f t="shared" si="2"/>
        <v>40</v>
      </c>
      <c r="D39" s="11"/>
      <c r="E39" s="11"/>
      <c r="F39" s="28">
        <f t="shared" ref="F39:AS39" si="7">SUM(F3:F38)</f>
        <v>1</v>
      </c>
      <c r="G39" s="28">
        <f t="shared" si="7"/>
        <v>1</v>
      </c>
      <c r="H39" s="28">
        <f t="shared" si="7"/>
        <v>1</v>
      </c>
      <c r="I39" s="28">
        <f t="shared" si="7"/>
        <v>1</v>
      </c>
      <c r="J39" s="28">
        <f t="shared" si="7"/>
        <v>1</v>
      </c>
      <c r="K39" s="28">
        <f t="shared" si="7"/>
        <v>1</v>
      </c>
      <c r="L39" s="28">
        <f t="shared" si="7"/>
        <v>1</v>
      </c>
      <c r="M39" s="28">
        <f t="shared" si="7"/>
        <v>1</v>
      </c>
      <c r="N39" s="28">
        <f t="shared" si="7"/>
        <v>1</v>
      </c>
      <c r="O39" s="28">
        <f t="shared" si="7"/>
        <v>1</v>
      </c>
      <c r="P39" s="28">
        <f t="shared" si="7"/>
        <v>1</v>
      </c>
      <c r="Q39" s="28">
        <f t="shared" si="7"/>
        <v>1</v>
      </c>
      <c r="R39" s="28">
        <f t="shared" si="7"/>
        <v>1</v>
      </c>
      <c r="S39" s="28">
        <f t="shared" si="7"/>
        <v>1</v>
      </c>
      <c r="T39" s="28">
        <f t="shared" si="7"/>
        <v>1</v>
      </c>
      <c r="U39" s="28">
        <f t="shared" si="7"/>
        <v>1</v>
      </c>
      <c r="V39" s="28">
        <f t="shared" si="7"/>
        <v>1</v>
      </c>
      <c r="W39" s="28">
        <f t="shared" si="7"/>
        <v>1</v>
      </c>
      <c r="X39" s="28">
        <f t="shared" si="7"/>
        <v>1</v>
      </c>
      <c r="Y39" s="28">
        <f t="shared" si="7"/>
        <v>1</v>
      </c>
      <c r="Z39" s="28">
        <f t="shared" si="7"/>
        <v>1</v>
      </c>
      <c r="AA39" s="28">
        <f t="shared" si="7"/>
        <v>1</v>
      </c>
      <c r="AB39" s="28">
        <f t="shared" si="7"/>
        <v>1</v>
      </c>
      <c r="AC39" s="28">
        <f t="shared" si="7"/>
        <v>1</v>
      </c>
      <c r="AD39" s="28">
        <f t="shared" si="7"/>
        <v>1</v>
      </c>
      <c r="AE39" s="28">
        <f t="shared" si="7"/>
        <v>1</v>
      </c>
      <c r="AF39" s="28">
        <f t="shared" si="7"/>
        <v>1</v>
      </c>
      <c r="AG39" s="28">
        <f t="shared" si="7"/>
        <v>1</v>
      </c>
      <c r="AH39" s="28">
        <f t="shared" si="7"/>
        <v>1</v>
      </c>
      <c r="AI39" s="28">
        <f t="shared" si="7"/>
        <v>1</v>
      </c>
      <c r="AJ39" s="28">
        <f t="shared" si="7"/>
        <v>1</v>
      </c>
      <c r="AK39" s="28">
        <f t="shared" si="7"/>
        <v>1</v>
      </c>
      <c r="AL39" s="28">
        <f t="shared" si="7"/>
        <v>1</v>
      </c>
      <c r="AM39" s="28">
        <f t="shared" si="7"/>
        <v>1</v>
      </c>
      <c r="AN39" s="28">
        <f t="shared" si="7"/>
        <v>1</v>
      </c>
      <c r="AO39" s="28">
        <f t="shared" si="7"/>
        <v>1</v>
      </c>
      <c r="AP39" s="28">
        <f t="shared" si="7"/>
        <v>1</v>
      </c>
      <c r="AQ39" s="28">
        <f t="shared" si="7"/>
        <v>1</v>
      </c>
      <c r="AR39" s="28">
        <f t="shared" si="7"/>
        <v>1</v>
      </c>
      <c r="AS39" s="28">
        <f t="shared" si="7"/>
        <v>1</v>
      </c>
      <c r="AT39" s="28">
        <f>SUM(J4:J37)</f>
        <v>1</v>
      </c>
      <c r="AU39" s="28">
        <f>SUM(L4:L37)</f>
        <v>1</v>
      </c>
      <c r="AV39" s="28">
        <f>SUM(O4:O37)</f>
        <v>1</v>
      </c>
      <c r="AW39" s="28" t="str">
        <f>SUM(#REF!)</f>
        <v>#REF!</v>
      </c>
      <c r="AX39" s="28">
        <f>SUM(N4:N37)</f>
        <v>1</v>
      </c>
    </row>
    <row r="40">
      <c r="A40" s="17" t="s">
        <v>69</v>
      </c>
      <c r="C40" s="10">
        <f t="shared" si="2"/>
        <v>40</v>
      </c>
      <c r="D40" s="11"/>
      <c r="E40" s="11"/>
      <c r="F40" s="11">
        <f t="array" ref="F40">SUM(IF(F3:F38="R",1,0))</f>
        <v>1</v>
      </c>
      <c r="G40" s="11">
        <f t="array" ref="G40">SUM(IF(G3:G38="R",1,0))</f>
        <v>1</v>
      </c>
      <c r="H40" s="11">
        <f t="array" ref="H40">SUM(IF(H3:H38="R",1,0))</f>
        <v>1</v>
      </c>
      <c r="I40" s="11">
        <f t="array" ref="I40">SUM(IF(I3:I38="R",1,0))</f>
        <v>1</v>
      </c>
      <c r="J40" s="11">
        <f t="array" ref="J40">SUM(IF(J3:J38="R",1,0))</f>
        <v>1</v>
      </c>
      <c r="K40" s="11">
        <f t="array" ref="K40">SUM(IF(K3:K38="R",1,0))</f>
        <v>1</v>
      </c>
      <c r="L40" s="11">
        <f t="array" ref="L40">SUM(IF(L3:L38="R",1,0))</f>
        <v>1</v>
      </c>
      <c r="M40" s="11">
        <f t="array" ref="M40">SUM(IF(M3:M38="R",1,0))</f>
        <v>1</v>
      </c>
      <c r="N40" s="11">
        <f t="array" ref="N40">SUM(IF(N3:N38="R",1,0))</f>
        <v>1</v>
      </c>
      <c r="O40" s="11">
        <f t="array" ref="O40">SUM(IF(O3:O38="R",1,0))</f>
        <v>1</v>
      </c>
      <c r="P40" s="11">
        <f t="array" ref="P40">SUM(IF(P3:P38="R",1,0))</f>
        <v>1</v>
      </c>
      <c r="Q40" s="11">
        <f t="array" ref="Q40">SUM(IF(Q3:Q38="R",1,0))</f>
        <v>1</v>
      </c>
      <c r="R40" s="11">
        <f t="array" ref="R40">SUM(IF(R3:R38="R",1,0))</f>
        <v>1</v>
      </c>
      <c r="S40" s="11">
        <f t="array" ref="S40">SUM(IF(S3:S38="R",1,0))</f>
        <v>1</v>
      </c>
      <c r="T40" s="11">
        <f t="array" ref="T40">SUM(IF(T3:T38="R",1,0))</f>
        <v>1</v>
      </c>
      <c r="U40" s="11">
        <f t="array" ref="U40">SUM(IF(U3:U38="R",1,0))</f>
        <v>1</v>
      </c>
      <c r="V40" s="11">
        <f t="array" ref="V40">SUM(IF(V3:V38="R",1,0))</f>
        <v>1</v>
      </c>
      <c r="W40" s="11">
        <f t="array" ref="W40">SUM(IF(W3:W38="R",1,0))</f>
        <v>1</v>
      </c>
      <c r="X40" s="11">
        <f t="array" ref="X40">SUM(IF(X3:X38="R",1,0))</f>
        <v>1</v>
      </c>
      <c r="Y40" s="11">
        <f t="array" ref="Y40">SUM(IF(Y3:Y38="R",1,0))</f>
        <v>1</v>
      </c>
      <c r="Z40" s="11">
        <f t="array" ref="Z40">SUM(IF(Z3:Z38="R",1,0))</f>
        <v>1</v>
      </c>
      <c r="AA40" s="11">
        <f t="array" ref="AA40">SUM(IF(AA3:AA38="R",1,0))</f>
        <v>1</v>
      </c>
      <c r="AB40" s="11">
        <f t="array" ref="AB40">SUM(IF(AB3:AB38="R",1,0))</f>
        <v>1</v>
      </c>
      <c r="AC40" s="11">
        <f t="array" ref="AC40">SUM(IF(AC3:AC38="R",1,0))</f>
        <v>1</v>
      </c>
      <c r="AD40" s="11">
        <f t="array" ref="AD40">SUM(IF(AD3:AD38="R",1,0))</f>
        <v>1</v>
      </c>
      <c r="AE40" s="11">
        <f t="array" ref="AE40">SUM(IF(AE3:AE38="R",1,0))</f>
        <v>1</v>
      </c>
      <c r="AF40" s="11">
        <f t="array" ref="AF40">SUM(IF(AF3:AF38="R",1,0))</f>
        <v>1</v>
      </c>
      <c r="AG40" s="11">
        <f t="array" ref="AG40">SUM(IF(AG3:AG38="R",1,0))</f>
        <v>1</v>
      </c>
      <c r="AH40" s="11">
        <f t="array" ref="AH40">SUM(IF(AH3:AH38="R",1,0))</f>
        <v>1</v>
      </c>
      <c r="AI40" s="11">
        <f t="array" ref="AI40">SUM(IF(AI3:AI38="R",1,0))</f>
        <v>1</v>
      </c>
      <c r="AJ40" s="11">
        <f t="array" ref="AJ40">SUM(IF(AJ3:AJ38="R",1,0))</f>
        <v>1</v>
      </c>
      <c r="AK40" s="11">
        <f t="array" ref="AK40">SUM(IF(AK3:AK38="R",1,0))</f>
        <v>1</v>
      </c>
      <c r="AL40" s="11">
        <f t="array" ref="AL40">SUM(IF(AL3:AL38="R",1,0))</f>
        <v>1</v>
      </c>
      <c r="AM40" s="11">
        <f t="array" ref="AM40">SUM(IF(AM3:AM38="R",1,0))</f>
        <v>1</v>
      </c>
      <c r="AN40" s="11">
        <f t="array" ref="AN40">SUM(IF(AN3:AN38="R",1,0))</f>
        <v>1</v>
      </c>
      <c r="AO40" s="11">
        <f t="array" ref="AO40">SUM(IF(AO3:AO38="R",1,0))</f>
        <v>1</v>
      </c>
      <c r="AP40" s="11">
        <f t="array" ref="AP40">SUM(IF(AP3:AP38="R",1,0))</f>
        <v>1</v>
      </c>
      <c r="AQ40" s="11">
        <f t="array" ref="AQ40">SUM(IF(AQ3:AQ38="R",1,0))</f>
        <v>1</v>
      </c>
      <c r="AR40" s="11">
        <f t="array" ref="AR40">SUM(IF(AR3:AR38="R",1,0))</f>
        <v>1</v>
      </c>
      <c r="AS40" s="11">
        <f t="array" ref="AS40">SUM(IF(AS3:AS38="R",1,0))</f>
        <v>1</v>
      </c>
      <c r="AT40" s="11">
        <f t="array" ref="AT40">SUM(IF(J4:J37="R",1,0))</f>
        <v>1</v>
      </c>
      <c r="AU40" s="11">
        <f t="array" ref="AU40">SUM(IF(L4:L37="R",1,0))</f>
        <v>1</v>
      </c>
      <c r="AV40" s="11">
        <f t="array" ref="AV40">SUM(IF(O4:O37="R",1,0))</f>
        <v>1</v>
      </c>
      <c r="AW40" s="11" t="str">
        <f t="array" ref="AW40">SUM(IF(#REF!="R",1,0))</f>
        <v>#REF!</v>
      </c>
      <c r="AX40" s="11">
        <f t="array" ref="AX40">SUM(IF(N4:N37="R",1,0))</f>
        <v>1</v>
      </c>
    </row>
    <row r="41">
      <c r="A41" s="17" t="s">
        <v>70</v>
      </c>
      <c r="C41" s="10">
        <f t="shared" si="2"/>
        <v>40</v>
      </c>
      <c r="D41" s="11"/>
      <c r="E41" s="11"/>
      <c r="F41" s="11">
        <f t="array" ref="F41">SUM(IF(F3:F38="R2",1,0))</f>
        <v>1</v>
      </c>
      <c r="G41" s="11">
        <f t="array" ref="G41">SUM(IF(G3:G38="R2",1,0))</f>
        <v>1</v>
      </c>
      <c r="H41" s="11">
        <f t="array" ref="H41">SUM(IF(H3:H38="R2",1,0))</f>
        <v>1</v>
      </c>
      <c r="I41" s="11">
        <f t="array" ref="I41">SUM(IF(I3:I38="R2",1,0))</f>
        <v>1</v>
      </c>
      <c r="J41" s="11">
        <f t="array" ref="J41">SUM(IF(J3:J38="R2",1,0))</f>
        <v>1</v>
      </c>
      <c r="K41" s="11">
        <f t="array" ref="K41">SUM(IF(K3:K38="R2",1,0))</f>
        <v>1</v>
      </c>
      <c r="L41" s="11">
        <f t="array" ref="L41">SUM(IF(L3:L38="R2",1,0))</f>
        <v>1</v>
      </c>
      <c r="M41" s="11">
        <f t="array" ref="M41">SUM(IF(M3:M38="R2",1,0))</f>
        <v>1</v>
      </c>
      <c r="N41" s="11">
        <f t="array" ref="N41">SUM(IF(N3:N38="R2",1,0))</f>
        <v>1</v>
      </c>
      <c r="O41" s="11">
        <f t="array" ref="O41">SUM(IF(O3:O38="R2",1,0))</f>
        <v>1</v>
      </c>
      <c r="P41" s="11">
        <f t="array" ref="P41">SUM(IF(P3:P38="R2",1,0))</f>
        <v>1</v>
      </c>
      <c r="Q41" s="11">
        <f t="array" ref="Q41">SUM(IF(Q3:Q38="R2",1,0))</f>
        <v>1</v>
      </c>
      <c r="R41" s="11">
        <f t="array" ref="R41">SUM(IF(R3:R38="R2",1,0))</f>
        <v>1</v>
      </c>
      <c r="S41" s="11">
        <f t="array" ref="S41">SUM(IF(S3:S38="R2",1,0))</f>
        <v>1</v>
      </c>
      <c r="T41" s="11">
        <f t="array" ref="T41">SUM(IF(T3:T38="R2",1,0))</f>
        <v>1</v>
      </c>
      <c r="U41" s="11">
        <f t="array" ref="U41">SUM(IF(U3:U38="R2",1,0))</f>
        <v>1</v>
      </c>
      <c r="V41" s="11">
        <f t="array" ref="V41">SUM(IF(V3:V38="R2",1,0))</f>
        <v>1</v>
      </c>
      <c r="W41" s="11">
        <f t="array" ref="W41">SUM(IF(W3:W38="R2",1,0))</f>
        <v>1</v>
      </c>
      <c r="X41" s="11">
        <f t="array" ref="X41">SUM(IF(X3:X38="R2",1,0))</f>
        <v>1</v>
      </c>
      <c r="Y41" s="11">
        <f t="array" ref="Y41">SUM(IF(Y3:Y38="R2",1,0))</f>
        <v>1</v>
      </c>
      <c r="Z41" s="11">
        <f t="array" ref="Z41">SUM(IF(Z3:Z38="R2",1,0))</f>
        <v>1</v>
      </c>
      <c r="AA41" s="11">
        <f t="array" ref="AA41">SUM(IF(AA3:AA38="R2",1,0))</f>
        <v>1</v>
      </c>
      <c r="AB41" s="11">
        <f t="array" ref="AB41">SUM(IF(AB3:AB38="R2",1,0))</f>
        <v>1</v>
      </c>
      <c r="AC41" s="11">
        <f t="array" ref="AC41">SUM(IF(AC3:AC38="R2",1,0))</f>
        <v>1</v>
      </c>
      <c r="AD41" s="11">
        <f t="array" ref="AD41">SUM(IF(AD3:AD38="R2",1,0))</f>
        <v>1</v>
      </c>
      <c r="AE41" s="11">
        <f t="array" ref="AE41">SUM(IF(AE3:AE38="R2",1,0))</f>
        <v>1</v>
      </c>
      <c r="AF41" s="11">
        <f t="array" ref="AF41">SUM(IF(AF3:AF38="R2",1,0))</f>
        <v>1</v>
      </c>
      <c r="AG41" s="11">
        <f t="array" ref="AG41">SUM(IF(AG3:AG38="R2",1,0))</f>
        <v>1</v>
      </c>
      <c r="AH41" s="11">
        <f t="array" ref="AH41">SUM(IF(AH3:AH38="R2",1,0))</f>
        <v>1</v>
      </c>
      <c r="AI41" s="11">
        <f t="array" ref="AI41">SUM(IF(AI3:AI38="R2",1,0))</f>
        <v>1</v>
      </c>
      <c r="AJ41" s="11">
        <f t="array" ref="AJ41">SUM(IF(AJ3:AJ38="R2",1,0))</f>
        <v>1</v>
      </c>
      <c r="AK41" s="11">
        <f t="array" ref="AK41">SUM(IF(AK3:AK38="R2",1,0))</f>
        <v>1</v>
      </c>
      <c r="AL41" s="11">
        <f t="array" ref="AL41">SUM(IF(AL3:AL38="R2",1,0))</f>
        <v>1</v>
      </c>
      <c r="AM41" s="11">
        <f t="array" ref="AM41">SUM(IF(AM3:AM38="R2",1,0))</f>
        <v>1</v>
      </c>
      <c r="AN41" s="11">
        <f t="array" ref="AN41">SUM(IF(AN3:AN38="R2",1,0))</f>
        <v>1</v>
      </c>
      <c r="AO41" s="11">
        <f t="array" ref="AO41">SUM(IF(AO3:AO38="R2",1,0))</f>
        <v>1</v>
      </c>
      <c r="AP41" s="11">
        <f t="array" ref="AP41">SUM(IF(AP3:AP38="R2",1,0))</f>
        <v>1</v>
      </c>
      <c r="AQ41" s="11">
        <f t="array" ref="AQ41">SUM(IF(AQ3:AQ38="R2",1,0))</f>
        <v>1</v>
      </c>
      <c r="AR41" s="11">
        <f t="array" ref="AR41">SUM(IF(AR3:AR38="R2",1,0))</f>
        <v>1</v>
      </c>
      <c r="AS41" s="11">
        <f t="array" ref="AS41">SUM(IF(AS3:AS38="R2",1,0))</f>
        <v>1</v>
      </c>
      <c r="AT41" s="11">
        <f t="array" ref="AT41">SUM(IF(J4:J37="R2",1,0))</f>
        <v>1</v>
      </c>
      <c r="AU41" s="11">
        <f t="array" ref="AU41">SUM(IF(L4:L37="R2",1,0))</f>
        <v>1</v>
      </c>
      <c r="AV41" s="11">
        <f t="array" ref="AV41">SUM(IF(O4:O37="R2",1,0))</f>
        <v>1</v>
      </c>
      <c r="AW41" s="11" t="str">
        <f t="array" ref="AW41">SUM(IF(#REF!="R2",1,0))</f>
        <v>#REF!</v>
      </c>
      <c r="AX41" s="11">
        <f t="array" ref="AX41">SUM(IF(N4:N37="R2",1,0))</f>
        <v>1</v>
      </c>
    </row>
    <row r="42">
      <c r="E42" s="46" t="s">
        <v>71</v>
      </c>
      <c r="F42" s="29" t="str">
        <f t="shared" ref="F42:AQ42" si="8">IFERROR(INDEX($A$3:$A$38, MATCH(1, INDEX($F$3:$AQ$38, 0, MATCH(F2, $F$2:$AV$2, 0)), 0)), INDEX($A$3:$A$38, MATCH(1, INDEX($F$3:$AQ$38, 0, MATCH(F2&amp;" AM", $F$2:$AV$2, 0)), 0)))</f>
        <v>PTE HUANG JIANHAO </v>
      </c>
      <c r="G42" s="29" t="str">
        <f t="shared" si="8"/>
        <v>PTE SHAVIN VALEN </v>
      </c>
      <c r="H42" s="29" t="str">
        <f t="shared" si="8"/>
        <v>PTE WANG XINHANG</v>
      </c>
      <c r="I42" s="29" t="str">
        <f t="shared" si="8"/>
        <v>PTE OH EE BING</v>
      </c>
      <c r="J42" s="29" t="str">
        <f t="shared" si="8"/>
        <v>PTE GUO JUNQI LEO</v>
      </c>
      <c r="K42" s="29" t="str">
        <f t="shared" si="8"/>
        <v>LCP IMRAN</v>
      </c>
      <c r="L42" s="29" t="str">
        <f t="shared" si="8"/>
        <v>REC MUHAMAD RIFQY AQIL BIN MUHAMAD SHAH </v>
      </c>
      <c r="M42" s="29" t="str">
        <f t="shared" si="8"/>
        <v>PTE EBRAHIM HAKEEM BIN AMEEHAR </v>
      </c>
      <c r="N42" s="29" t="str">
        <f t="shared" si="8"/>
        <v>CPL ISAAC LOH KA LOK</v>
      </c>
      <c r="O42" s="29" t="str">
        <f t="shared" si="8"/>
        <v>PTE CHEONG JUN KAI, HARRY</v>
      </c>
      <c r="P42" s="29" t="str">
        <f t="shared" si="8"/>
        <v>CPL JERRYL TAN MING JIE </v>
      </c>
      <c r="Q42" s="29" t="str">
        <f t="shared" si="8"/>
        <v>PTE SONG HAOYAN</v>
      </c>
      <c r="R42" s="29" t="str">
        <f t="shared" si="8"/>
        <v>CPL AUSTIN MAXIMILLIAN KOLBE LIM KIM</v>
      </c>
      <c r="S42" s="29" t="str">
        <f t="shared" si="8"/>
        <v>PTE FATHUL HAKIM BIN MUHAMMAD FAUZI </v>
      </c>
      <c r="T42" s="29" t="str">
        <f t="shared" si="8"/>
        <v>PTE MUHAMMAD HILAL IZDIHAR BIN MOHAMAD IZZUL SHAH</v>
      </c>
      <c r="U42" s="29" t="str">
        <f t="shared" si="8"/>
        <v>PTE EBRAHIM HAKEEM BIN AMEEHAR </v>
      </c>
      <c r="V42" s="29" t="str">
        <f t="shared" si="8"/>
        <v>LCP DYLAN TAN</v>
      </c>
      <c r="W42" s="29" t="str">
        <f t="shared" si="8"/>
        <v>PTE HUANG JIANHAO </v>
      </c>
      <c r="X42" s="29" t="str">
        <f t="shared" si="8"/>
        <v>CPL ISAAC LOH KA LOK</v>
      </c>
      <c r="Y42" s="29" t="str">
        <f t="shared" si="8"/>
        <v>PTE RYAN TAY RUI YANG</v>
      </c>
      <c r="Z42" s="29" t="str">
        <f t="shared" si="8"/>
        <v>PTE WANG XINHANG</v>
      </c>
      <c r="AA42" s="29" t="str">
        <f t="shared" si="8"/>
        <v>PTE DARYL SEOW  SHI YU</v>
      </c>
      <c r="AB42" s="29" t="str">
        <f t="shared" si="8"/>
        <v>PTE HUANG JIANHAO </v>
      </c>
      <c r="AC42" s="29" t="str">
        <f t="shared" si="8"/>
        <v>PTE MUHAMMAD NORSYAFIQ BIN SELAMAT</v>
      </c>
      <c r="AD42" s="29" t="str">
        <f t="shared" si="8"/>
        <v>REC MUHAMAD RIFQY AQIL BIN MUHAMAD SHAH </v>
      </c>
      <c r="AE42" s="29" t="str">
        <f t="shared" si="8"/>
        <v>CPL JERRYL TAN MING JIE </v>
      </c>
      <c r="AF42" s="29" t="str">
        <f t="shared" si="8"/>
        <v>CPL SURIAPRAKASH THRIUVALAKU</v>
      </c>
      <c r="AG42" s="29" t="str">
        <f t="shared" si="8"/>
        <v>PTE CHONG SIANG NATHAN</v>
      </c>
      <c r="AH42" s="29" t="str">
        <f t="shared" si="8"/>
        <v>PTE RYAN TAY RUI YANG</v>
      </c>
      <c r="AI42" s="29" t="str">
        <f t="shared" si="8"/>
        <v>PTE OH EE BING</v>
      </c>
      <c r="AJ42" s="29" t="str">
        <f t="shared" si="8"/>
        <v>CPL MITCHELL LIM </v>
      </c>
      <c r="AK42" s="29" t="str">
        <f t="shared" si="8"/>
        <v>PTE HUANG JIANHAO </v>
      </c>
      <c r="AL42" s="29" t="str">
        <f t="shared" si="8"/>
        <v>PTE MUHAMMAD HILAL IZDIHAR BIN MOHAMAD IZZUL SHAH</v>
      </c>
      <c r="AM42" s="29" t="str">
        <f t="shared" si="8"/>
        <v>PTE CHEONG KAI JIE</v>
      </c>
      <c r="AN42" s="29" t="str">
        <f t="shared" si="8"/>
        <v>PTE BRYAN MARC MEHAR</v>
      </c>
      <c r="AO42" s="29" t="str">
        <f t="shared" si="8"/>
        <v>PTE JEREMIAH FOO JI SHUAN</v>
      </c>
      <c r="AP42" s="29" t="str">
        <f t="shared" si="8"/>
        <v>CPL ISAAC LOH KA LOK</v>
      </c>
      <c r="AQ42" s="29" t="str">
        <f t="shared" si="8"/>
        <v>LCP DYLAN TAN</v>
      </c>
      <c r="AR42" s="29" t="str">
        <f t="array" ref="AR42">IFERROR(INDEX($A$3:$A$38, MATCH(1, INDEX($F$3:$AR$38, 0, MATCH(AR2, $F$2:$AV$2, 0)), 0)), INDEX($A$3:$A$38, MATCH(1, INDEX($F$3:$AQ$38, 0, MATCH(AR2&amp;" AM", $F$2:$AV$2, 0)), 0)))</f>
        <v>3SG ANISH VINAAYAK SIVASANKAR</v>
      </c>
      <c r="AS42" s="29" t="str">
        <f t="array" ref="AS42">IFERROR(INDEX($A$3:$A$38, MATCH(1, INDEX($F$3:$AS$38, 0, MATCH(AS2, $F$2:$AV$2, 0)), 0)), INDEX($A$3:$A$38, MATCH(1, INDEX($F$3:$AQ$38, 0, MATCH(AS2&amp;" AM", $F$2:$AV$2, 0)), 0)))</f>
        <v>PTE MUHAMMAD NORSYAFIQ BIN SELAMAT</v>
      </c>
      <c r="AT42" s="29" t="str">
        <f t="array" ref="AT42">IFERROR(INDEX($A$3:$A$38, MATCH(1, INDEX($F$3:$AQ$38, 0, MATCH(AT2, $F$2:$AV$2, 0)), 0)), INDEX($A$3:$A$38, MATCH(1, INDEX($F$3:$AQ$38, 0, MATCH(AT2&amp;" AM", $F$2:$AV$2, 0)), 0)))</f>
        <v>CPL MITCHELL LIM </v>
      </c>
      <c r="AU42" s="29" t="str">
        <f t="array" ref="AU42">IFERROR(INDEX($A$3:$A$37, MATCH(1, INDEX($F$3:$AQ$37, 0, MATCH(L3, $F$2:$AV$2, 0)), 0)), INDEX($A$3:$A$37, MATCH(1, INDEX($F$3:$AQ$37, 0, MATCH(L3&amp;" AM", $F$2:$AV$2, 0)), 0)))</f>
        <v>#N/A</v>
      </c>
      <c r="AV42" s="29" t="str">
        <f t="array" ref="AV42">IFERROR(INDEX($A$3:$A$37, MATCH(1, INDEX($F$3:$AQ$37, 0, MATCH(O3, $F$2:$AV$2, 0)), 0)), INDEX($A$3:$A$37, MATCH(1, INDEX($F$3:$AQ$37, 0, MATCH(O3&amp;" AM", $F$2:$AV$2, 0)), 0)))</f>
        <v>#N/A</v>
      </c>
      <c r="AW42" s="29" t="str">
        <f t="array" ref="AW42">IFERROR(INDEX($A$3:$A$37, MATCH(1, INDEX($F$3:$AQ$37, 0, MATCH(#REF!, $F$2:$AV$2, 0)), 0)), INDEX($A$3:$A$37, MATCH(1, INDEX($F$3:$AQ$37, 0, MATCH(#REF!&amp;" AM", $F$2:$AV$2, 0)), 0)))</f>
        <v>#REF!</v>
      </c>
      <c r="AX42" s="29" t="str">
        <f t="array" ref="AX42">IFERROR(INDEX($A$3:$A$37, MATCH(1, INDEX($F$3:$AQ$37, 0, MATCH(N3, $F$2:$AV$2, 0)), 0)), INDEX($A$3:$A$37, MATCH(1, INDEX($F$3:$AQ$37, 0, MATCH(N3&amp;" AM", $F$2:$AV$2, 0)), 0)))</f>
        <v>#N/A</v>
      </c>
    </row>
    <row r="43">
      <c r="E43" s="46" t="s">
        <v>72</v>
      </c>
      <c r="F43" s="28" t="str">
        <f t="shared" ref="F43:AQ43" si="9">INDEX($A$3:$A$38, MATCH("R", INDEX($F$3:$AQ$38, 0, MATCH(F2, $F$2:$AV$2, 0)), 0))</f>
        <v>PTE CHONG SIANG NATHAN</v>
      </c>
      <c r="G43" s="28" t="str">
        <f t="shared" si="9"/>
        <v>PTE RYAN TAY RUI YANG</v>
      </c>
      <c r="H43" s="28" t="str">
        <f t="shared" si="9"/>
        <v>PTE HUANG JIANHAO </v>
      </c>
      <c r="I43" s="28" t="str">
        <f t="shared" si="9"/>
        <v>PTE DARYL SEOW  SHI YU</v>
      </c>
      <c r="J43" s="28" t="str">
        <f t="shared" si="9"/>
        <v>PTE BRYAN MARC MEHAR</v>
      </c>
      <c r="K43" s="28" t="str">
        <f t="shared" si="9"/>
        <v>PTE OH EE BING</v>
      </c>
      <c r="L43" s="28" t="str">
        <f t="shared" si="9"/>
        <v>PTE SONG HAOYAN</v>
      </c>
      <c r="M43" s="28" t="str">
        <f t="shared" si="9"/>
        <v>CPL MITCHELL LIM </v>
      </c>
      <c r="N43" s="28" t="str">
        <f t="shared" si="9"/>
        <v>PTE EBRAHIM HAKEEM BIN AMEEHAR </v>
      </c>
      <c r="O43" s="28" t="str">
        <f t="shared" si="9"/>
        <v>CPL ISAAC LOH KA LOK</v>
      </c>
      <c r="P43" s="28" t="str">
        <f t="shared" si="9"/>
        <v>PTE CHEONG KAI JIE</v>
      </c>
      <c r="Q43" s="28" t="str">
        <f t="shared" si="9"/>
        <v>PTE DARYL SEOW  SHI YU</v>
      </c>
      <c r="R43" s="28" t="str">
        <f t="shared" si="9"/>
        <v>3SG ANISH VINAAYAK SIVASANKAR</v>
      </c>
      <c r="S43" s="28" t="str">
        <f t="shared" si="9"/>
        <v>PTE CLARENCE ONG JUN YI </v>
      </c>
      <c r="T43" s="28" t="str">
        <f t="shared" si="9"/>
        <v>LCP IMRAN</v>
      </c>
      <c r="U43" s="28" t="str">
        <f t="shared" si="9"/>
        <v>PTE GUO JUNQI LEO</v>
      </c>
      <c r="V43" s="28" t="str">
        <f t="shared" si="9"/>
        <v>PTE CHEONG KAI JIE</v>
      </c>
      <c r="W43" s="28" t="str">
        <f t="shared" si="9"/>
        <v>CPL SURIAPRAKASH THRIUVALAKU</v>
      </c>
      <c r="X43" s="28" t="str">
        <f t="shared" si="9"/>
        <v>PTE FATHUL HAKIM BIN MUHAMMAD FAUZI </v>
      </c>
      <c r="Y43" s="28" t="str">
        <f t="shared" si="9"/>
        <v>PTE SHAVIN VALEN </v>
      </c>
      <c r="Z43" s="28" t="str">
        <f t="shared" si="9"/>
        <v>REC MUHAMAD RIFQY AQIL BIN MUHAMAD SHAH </v>
      </c>
      <c r="AA43" s="28" t="str">
        <f t="shared" si="9"/>
        <v>PTE RYAN TAY RUI YANG</v>
      </c>
      <c r="AB43" s="28" t="str">
        <f t="shared" si="9"/>
        <v>CPL AUSTIN MAXIMILLIAN KOLBE LIM KIM</v>
      </c>
      <c r="AC43" s="28" t="str">
        <f t="shared" si="9"/>
        <v>PTE BRYAN MARC MEHAR</v>
      </c>
      <c r="AD43" s="28" t="str">
        <f t="shared" si="9"/>
        <v>LCP IMRAN</v>
      </c>
      <c r="AE43" s="28" t="str">
        <f t="shared" si="9"/>
        <v>CPL ISAAC LOH KA LOK</v>
      </c>
      <c r="AF43" s="28" t="str">
        <f t="shared" si="9"/>
        <v>LCP DYLAN TAN</v>
      </c>
      <c r="AG43" s="28" t="str">
        <f t="shared" si="9"/>
        <v>PTE RYAN TAY RUI YANG</v>
      </c>
      <c r="AH43" s="28" t="str">
        <f t="shared" si="9"/>
        <v>PTE MUHAMMAD NORSYAFIQ BIN SELAMAT</v>
      </c>
      <c r="AI43" s="28" t="str">
        <f t="shared" si="9"/>
        <v>PTE BRYAN MARC MEHAR</v>
      </c>
      <c r="AJ43" s="28" t="str">
        <f t="shared" si="9"/>
        <v>PTE CHEONG JUN KAI, HARRY</v>
      </c>
      <c r="AK43" s="28" t="str">
        <f t="shared" si="9"/>
        <v>CPL JERRYL TAN MING JIE </v>
      </c>
      <c r="AL43" s="28" t="str">
        <f t="shared" si="9"/>
        <v>PTE SHAVIN VALEN </v>
      </c>
      <c r="AM43" s="28" t="str">
        <f t="shared" si="9"/>
        <v>3SG ANISH VINAAYAK SIVASANKAR</v>
      </c>
      <c r="AN43" s="28" t="str">
        <f t="shared" si="9"/>
        <v>PTE CHONG SIANG NATHAN</v>
      </c>
      <c r="AO43" s="28" t="str">
        <f t="shared" si="9"/>
        <v>PTE GUO JUNQI LEO</v>
      </c>
      <c r="AP43" s="28" t="str">
        <f t="shared" si="9"/>
        <v>PTE JEREMIAH FOO JI SHUAN</v>
      </c>
      <c r="AQ43" s="28" t="str">
        <f t="shared" si="9"/>
        <v>PTE FATHUL HAKIM BIN MUHAMMAD FAUZI </v>
      </c>
      <c r="AR43" s="28" t="str">
        <f t="array" ref="AR43">INDEX($A$3:$A$38, MATCH("R", INDEX($F$3:$AR$38, 0, MATCH(AR2, $F$2:$AV$2, 0)), 0))</f>
        <v>PTE MUHAMMAD HILAL IZDIHAR BIN MOHAMAD IZZUL SHAH</v>
      </c>
      <c r="AS43" s="28" t="str">
        <f t="array" ref="AS43">INDEX($A$3:$A$38, MATCH("R", INDEX($F$3:$AS$38, 0, MATCH(AS2, $F$2:$AV$2, 0)), 0))</f>
        <v>PTE WANG XINHANG</v>
      </c>
      <c r="AT43" s="28" t="str">
        <f t="array" ref="AT43">INDEX($A$3:$A$38, MATCH("R", INDEX($F$3:$AQ$38, 0, MATCH(AT2, $F$2:$AV$2, 0)), 0))</f>
        <v>PTE CHEONG JUN KAI, HARRY</v>
      </c>
      <c r="AU43" s="28" t="str">
        <f t="array" ref="AU43">INDEX($A$3:$A$37, MATCH("R", INDEX($F$3:$AQ$37, 0, MATCH(L3, $F$2:$AV$2, 0)), 0))</f>
        <v>#N/A</v>
      </c>
      <c r="AV43" s="28" t="str">
        <f t="array" ref="AV43">INDEX($A$3:$A$37, MATCH("R", INDEX($F$3:$AQ$37, 0, MATCH(O3, $F$2:$AV$2, 0)), 0))</f>
        <v>#N/A</v>
      </c>
      <c r="AW43" s="28" t="str">
        <f t="array" ref="AW43">INDEX($A$3:$A$37, MATCH("R", INDEX($F$3:$AQ$37, 0, MATCH(#REF!, $F$2:$AV$2, 0)), 0))</f>
        <v>#REF!</v>
      </c>
      <c r="AX43" s="28" t="str">
        <f t="array" ref="AX43">INDEX($A$3:$A$37, MATCH("R", INDEX($F$3:$AQ$37, 0, MATCH(N3, $F$2:$AV$2, 0)), 0))</f>
        <v>#N/A</v>
      </c>
    </row>
    <row r="44">
      <c r="A44" s="17" t="s">
        <v>232</v>
      </c>
      <c r="C44" s="49">
        <f>COUNTA($F$1:$AS1)</f>
        <v>40</v>
      </c>
      <c r="E44" s="46" t="s">
        <v>70</v>
      </c>
      <c r="F44" s="30" t="str">
        <f t="shared" ref="F44:AQ44" si="10">INDEX($A$3:$A$38, MATCH("R2", INDEX($F$3:$AQ$38, 0, MATCH(F2, $F$2:$AV$2, 0)), 0))</f>
        <v>PTE JEREMIAH FOO JI SHUAN</v>
      </c>
      <c r="G44" s="30" t="str">
        <f t="shared" si="10"/>
        <v>CPL JERRYL TAN MING JIE </v>
      </c>
      <c r="H44" s="30" t="str">
        <f t="shared" si="10"/>
        <v>3SG ANISH VINAAYAK SIVASANKAR</v>
      </c>
      <c r="I44" s="30" t="str">
        <f t="shared" si="10"/>
        <v>PTE CLARENCE ONG JUN YI </v>
      </c>
      <c r="J44" s="30" t="str">
        <f t="shared" si="10"/>
        <v>PTE HUANG JIANHAO </v>
      </c>
      <c r="K44" s="30" t="str">
        <f t="shared" si="10"/>
        <v>PTE SHYEIKH SALEH HUSSAIN BIN MOHAMMED SULAIMAN</v>
      </c>
      <c r="L44" s="30" t="str">
        <f t="shared" si="10"/>
        <v>PTE MUHAMMAD NORSYAFIQ BIN SELAMAT</v>
      </c>
      <c r="M44" s="30" t="str">
        <f t="shared" si="10"/>
        <v>PTE DARYL SEOW  SHI YU</v>
      </c>
      <c r="N44" s="30" t="str">
        <f t="shared" si="10"/>
        <v>PTE RYAN TAY RUI YANG</v>
      </c>
      <c r="O44" s="30" t="str">
        <f t="shared" si="10"/>
        <v>PTE CLARENCE ONG JUN YI </v>
      </c>
      <c r="P44" s="30" t="str">
        <f t="shared" si="10"/>
        <v>PTE SHYEIKH SALEH HUSSAIN BIN MOHAMMED SULAIMAN</v>
      </c>
      <c r="Q44" s="30" t="str">
        <f t="shared" si="10"/>
        <v>PTE RYAN TAY RUI YANG</v>
      </c>
      <c r="R44" s="30" t="str">
        <f t="shared" si="10"/>
        <v>PTE WANG XINHANG</v>
      </c>
      <c r="S44" s="30" t="str">
        <f t="shared" si="10"/>
        <v>CPL MITCHELL LIM </v>
      </c>
      <c r="T44" s="30" t="str">
        <f t="shared" si="10"/>
        <v>PTE RYAN TAY RUI YANG</v>
      </c>
      <c r="U44" s="30" t="str">
        <f t="shared" si="10"/>
        <v>PTE OH EE BING</v>
      </c>
      <c r="V44" s="30" t="str">
        <f t="shared" si="10"/>
        <v>PTE SONG HAOYAN</v>
      </c>
      <c r="W44" s="30" t="str">
        <f t="shared" si="10"/>
        <v>PTE JEREMIAH FOO JI SHUAN</v>
      </c>
      <c r="X44" s="30" t="str">
        <f t="shared" si="10"/>
        <v>PTE RYAN TAY RUI YANG</v>
      </c>
      <c r="Y44" s="30" t="str">
        <f t="shared" si="10"/>
        <v>PTE EBRAHIM HAKEEM BIN AMEEHAR </v>
      </c>
      <c r="Z44" s="30" t="str">
        <f t="shared" si="10"/>
        <v>PTE GUO JUNQI LEO</v>
      </c>
      <c r="AA44" s="30" t="str">
        <f t="shared" si="10"/>
        <v>PTE CHEONG JUN KAI, HARRY</v>
      </c>
      <c r="AB44" s="30" t="str">
        <f t="shared" si="10"/>
        <v>PTE MUHAMMAD HILAL IZDIHAR BIN MOHAMAD IZZUL SHAH</v>
      </c>
      <c r="AC44" s="30" t="str">
        <f t="shared" si="10"/>
        <v>PTE CHONG SIANG NATHAN</v>
      </c>
      <c r="AD44" s="30" t="str">
        <f t="shared" si="10"/>
        <v>PTE CHEONG KAI JIE</v>
      </c>
      <c r="AE44" s="30" t="str">
        <f t="shared" si="10"/>
        <v>CPL SURIAPRAKASH THRIUVALAKU</v>
      </c>
      <c r="AF44" s="30" t="str">
        <f t="shared" si="10"/>
        <v>PTE DARYL SEOW  SHI YU</v>
      </c>
      <c r="AG44" s="30" t="str">
        <f t="shared" si="10"/>
        <v>PTE FATHUL HAKIM BIN MUHAMMAD FAUZI </v>
      </c>
      <c r="AH44" s="30" t="str">
        <f t="shared" si="10"/>
        <v>PTE SHAVIN VALEN </v>
      </c>
      <c r="AI44" s="30" t="str">
        <f t="shared" si="10"/>
        <v>REC MUHAMAD RIFQY AQIL BIN MUHAMAD SHAH </v>
      </c>
      <c r="AJ44" s="30" t="str">
        <f t="shared" si="10"/>
        <v>CPL AUSTIN MAXIMILLIAN KOLBE LIM KIM</v>
      </c>
      <c r="AK44" s="30" t="str">
        <f t="shared" si="10"/>
        <v>CPL SURIAPRAKASH THRIUVALAKU</v>
      </c>
      <c r="AL44" s="30" t="str">
        <f t="shared" si="10"/>
        <v>LCP DYLAN TAN</v>
      </c>
      <c r="AM44" s="30" t="str">
        <f t="shared" si="10"/>
        <v>PTE MUHAMMAD NORSYAFIQ BIN SELAMAT</v>
      </c>
      <c r="AN44" s="30" t="str">
        <f t="shared" si="10"/>
        <v>PTE SONG HAOYAN</v>
      </c>
      <c r="AO44" s="30" t="str">
        <f t="shared" si="10"/>
        <v>CPL ISAAC LOH KA LOK</v>
      </c>
      <c r="AP44" s="30" t="str">
        <f t="shared" si="10"/>
        <v>LCP IMRAN</v>
      </c>
      <c r="AQ44" s="30" t="str">
        <f t="shared" si="10"/>
        <v>CPL MITCHELL LIM </v>
      </c>
      <c r="AR44" s="30" t="str">
        <f t="array" ref="AR44">INDEX($A$3:$A$38, MATCH("R2", INDEX($F$3:$AR$38, 0, MATCH(AR2, $F$2:$AV$2, 0)), 0))</f>
        <v>PTE CHEONG JUN KAI, HARRY</v>
      </c>
      <c r="AS44" s="30" t="str">
        <f t="array" ref="AS44">INDEX($A$3:$A$38, MATCH("R2", INDEX($F$3:$AS$38, 0, MATCH(AS2, $F$2:$AV$2, 0)), 0))</f>
        <v>CPL AUSTIN MAXIMILLIAN KOLBE LIM KIM</v>
      </c>
      <c r="AT44" s="30" t="str">
        <f t="array" ref="AT44">INDEX($A$3:$A$38, MATCH("R2", INDEX($F$3:$AQ$38, 0, MATCH(AT2, $F$2:$AV$2, 0)), 0))</f>
        <v>CPL AUSTIN MAXIMILLIAN KOLBE LIM KIM</v>
      </c>
      <c r="AU44" s="30" t="str">
        <f t="array" ref="AU44">INDEX($A$3:$A$37, MATCH("R2", INDEX($F$3:$AQ$37, 0, MATCH(L3, $F$2:$AV$2, 0)), 0))</f>
        <v>#N/A</v>
      </c>
      <c r="AV44" s="30" t="str">
        <f t="array" ref="AV44">INDEX($A$3:$A$37, MATCH("R2", INDEX($F$3:$AQ$37, 0, MATCH(O3, $F$2:$AV$2, 0)), 0))</f>
        <v>#N/A</v>
      </c>
      <c r="AW44" s="30" t="str">
        <f t="array" ref="AW44">INDEX($A$3:$A$37, MATCH("R2", INDEX($F$3:$AQ$37, 0, MATCH(#REF!, $F$2:$AV$2, 0)), 0))</f>
        <v>#REF!</v>
      </c>
      <c r="AX44" s="30" t="str">
        <f t="array" ref="AX44">INDEX($A$3:$A$37, MATCH("R2", INDEX($F$3:$AQ$37, 0, MATCH(N3, $F$2:$AV$2, 0)), 0))</f>
        <v>#N/A</v>
      </c>
    </row>
    <row r="45">
      <c r="A45" s="17" t="s">
        <v>154</v>
      </c>
      <c r="C45" s="50">
        <f>SUBTOTAL(103, $A$3:$A$38)
</f>
        <v>31</v>
      </c>
      <c r="M45" s="31"/>
      <c r="N45" s="31"/>
    </row>
    <row r="46">
      <c r="I46" s="17"/>
      <c r="M46" s="31"/>
      <c r="N46" s="31"/>
    </row>
    <row r="47">
      <c r="M47" s="17" t="s">
        <v>726</v>
      </c>
      <c r="N47" s="31"/>
    </row>
    <row r="48">
      <c r="A48" s="26" t="s">
        <v>118</v>
      </c>
      <c r="G48" s="17" t="s">
        <v>727</v>
      </c>
      <c r="H48" s="162"/>
      <c r="M48" s="47" t="s">
        <v>728</v>
      </c>
      <c r="N48" s="31"/>
      <c r="O48" s="17" t="s">
        <v>729</v>
      </c>
    </row>
    <row r="49">
      <c r="A49" s="25" t="s">
        <v>119</v>
      </c>
      <c r="G49" s="17" t="s">
        <v>730</v>
      </c>
      <c r="J49" s="162"/>
      <c r="K49" s="17"/>
      <c r="M49" s="47" t="s">
        <v>731</v>
      </c>
      <c r="N49" s="31"/>
    </row>
    <row r="50">
      <c r="A50" s="22" t="s">
        <v>120</v>
      </c>
      <c r="G50" s="17" t="s">
        <v>732</v>
      </c>
      <c r="M50" s="47" t="s">
        <v>733</v>
      </c>
      <c r="N50" s="31"/>
    </row>
    <row r="51">
      <c r="A51" s="20" t="s">
        <v>121</v>
      </c>
      <c r="G51" s="17" t="s">
        <v>734</v>
      </c>
      <c r="L51" s="47"/>
      <c r="M51" s="47" t="s">
        <v>735</v>
      </c>
      <c r="N51" s="31"/>
    </row>
    <row r="52">
      <c r="A52" s="23" t="s">
        <v>122</v>
      </c>
      <c r="G52" s="17" t="s">
        <v>736</v>
      </c>
      <c r="L52" s="47"/>
      <c r="M52" s="47" t="s">
        <v>737</v>
      </c>
      <c r="N52" s="31"/>
    </row>
    <row r="53">
      <c r="A53" s="14" t="s">
        <v>123</v>
      </c>
      <c r="G53" s="17" t="s">
        <v>738</v>
      </c>
      <c r="L53" s="47"/>
      <c r="M53" s="47" t="s">
        <v>650</v>
      </c>
    </row>
    <row r="54">
      <c r="A54" s="9" t="s">
        <v>125</v>
      </c>
      <c r="G54" s="17" t="s">
        <v>739</v>
      </c>
      <c r="M54" s="47" t="s">
        <v>591</v>
      </c>
    </row>
    <row r="55">
      <c r="A55" s="44" t="s">
        <v>126</v>
      </c>
      <c r="C55" s="31"/>
      <c r="M55" s="17" t="s">
        <v>740</v>
      </c>
    </row>
    <row r="56">
      <c r="A56" s="62" t="s">
        <v>741</v>
      </c>
      <c r="M56" s="47" t="s">
        <v>742</v>
      </c>
      <c r="N56" s="31"/>
    </row>
    <row r="57">
      <c r="A57" s="70" t="s">
        <v>233</v>
      </c>
      <c r="M57" s="47" t="s">
        <v>743</v>
      </c>
      <c r="N57" s="47"/>
    </row>
    <row r="58">
      <c r="A58" s="69" t="s">
        <v>234</v>
      </c>
      <c r="M58" s="47" t="s">
        <v>744</v>
      </c>
      <c r="N58" s="47"/>
    </row>
    <row r="59">
      <c r="A59" s="27" t="s">
        <v>124</v>
      </c>
      <c r="M59" s="47" t="s">
        <v>745</v>
      </c>
    </row>
    <row r="60">
      <c r="A60" s="24" t="s">
        <v>528</v>
      </c>
      <c r="M60" s="31"/>
      <c r="N60" s="31"/>
    </row>
    <row r="61">
      <c r="M61" s="31"/>
      <c r="N61" s="31"/>
    </row>
    <row r="62">
      <c r="M62" s="31"/>
      <c r="N62" s="31"/>
    </row>
    <row r="63">
      <c r="M63" s="31"/>
      <c r="N63" s="31"/>
    </row>
    <row r="64">
      <c r="M64" s="31"/>
      <c r="N64" s="31"/>
    </row>
    <row r="65">
      <c r="M65" s="31"/>
      <c r="N65" s="31"/>
    </row>
    <row r="66">
      <c r="M66" s="31"/>
      <c r="N66" s="31"/>
    </row>
    <row r="67">
      <c r="M67" s="31"/>
      <c r="N67" s="31"/>
    </row>
    <row r="68">
      <c r="M68" s="31"/>
      <c r="N68" s="31"/>
    </row>
    <row r="69">
      <c r="M69" s="31"/>
      <c r="N69" s="31"/>
    </row>
    <row r="70">
      <c r="M70" s="31"/>
      <c r="N70" s="31"/>
    </row>
    <row r="71">
      <c r="M71" s="31"/>
      <c r="N71" s="31"/>
    </row>
    <row r="72">
      <c r="M72" s="31"/>
      <c r="N72" s="31"/>
    </row>
    <row r="73">
      <c r="M73" s="31"/>
      <c r="N73" s="31"/>
    </row>
    <row r="74">
      <c r="M74" s="31"/>
      <c r="N74" s="31"/>
    </row>
    <row r="75">
      <c r="M75" s="31"/>
      <c r="N75" s="31"/>
    </row>
    <row r="76">
      <c r="M76" s="31"/>
      <c r="N76" s="31"/>
    </row>
    <row r="77">
      <c r="M77" s="31"/>
      <c r="N77" s="31"/>
    </row>
    <row r="78">
      <c r="M78" s="31"/>
      <c r="N78" s="31"/>
    </row>
    <row r="79">
      <c r="M79" s="31"/>
      <c r="N79" s="31"/>
    </row>
    <row r="80">
      <c r="M80" s="31"/>
      <c r="N80" s="31"/>
    </row>
    <row r="81">
      <c r="M81" s="31"/>
      <c r="N81" s="31"/>
    </row>
    <row r="82">
      <c r="M82" s="31"/>
      <c r="N82" s="31"/>
    </row>
    <row r="83">
      <c r="M83" s="31"/>
      <c r="N83" s="31"/>
    </row>
    <row r="84">
      <c r="M84" s="31"/>
      <c r="N84" s="31"/>
    </row>
    <row r="85">
      <c r="M85" s="31"/>
      <c r="N85" s="31"/>
    </row>
    <row r="86">
      <c r="M86" s="31"/>
      <c r="N86" s="31"/>
    </row>
    <row r="87">
      <c r="M87" s="31"/>
      <c r="N87" s="31"/>
    </row>
    <row r="88">
      <c r="M88" s="31"/>
      <c r="N88" s="31"/>
    </row>
    <row r="89">
      <c r="M89" s="31"/>
      <c r="N89" s="31"/>
    </row>
    <row r="90">
      <c r="M90" s="31"/>
      <c r="N90" s="31"/>
    </row>
    <row r="91">
      <c r="M91" s="31"/>
      <c r="N91" s="31"/>
    </row>
    <row r="92">
      <c r="M92" s="31"/>
      <c r="N92" s="31"/>
    </row>
    <row r="93">
      <c r="M93" s="31"/>
      <c r="N93" s="31"/>
    </row>
    <row r="94">
      <c r="M94" s="31"/>
      <c r="N94" s="31"/>
    </row>
    <row r="95">
      <c r="M95" s="31"/>
      <c r="N95" s="31"/>
    </row>
    <row r="96">
      <c r="M96" s="31"/>
      <c r="N96" s="31"/>
    </row>
    <row r="97">
      <c r="M97" s="31"/>
      <c r="N97" s="31"/>
    </row>
    <row r="98">
      <c r="M98" s="31"/>
      <c r="N98" s="31"/>
    </row>
    <row r="99">
      <c r="M99" s="31"/>
      <c r="N99" s="31"/>
    </row>
    <row r="100">
      <c r="M100" s="31"/>
      <c r="N100" s="31"/>
    </row>
    <row r="101">
      <c r="M101" s="31"/>
      <c r="N101" s="31"/>
    </row>
    <row r="102">
      <c r="M102" s="31"/>
      <c r="N102" s="31"/>
    </row>
    <row r="103">
      <c r="M103" s="31"/>
      <c r="N103" s="31"/>
    </row>
    <row r="104">
      <c r="M104" s="31"/>
      <c r="N104" s="31"/>
    </row>
    <row r="105">
      <c r="M105" s="31"/>
      <c r="N105" s="31"/>
    </row>
    <row r="106">
      <c r="M106" s="31"/>
      <c r="N106" s="31"/>
    </row>
    <row r="107">
      <c r="M107" s="31"/>
      <c r="N107" s="31"/>
    </row>
    <row r="108">
      <c r="M108" s="31"/>
      <c r="N108" s="31"/>
    </row>
    <row r="109">
      <c r="M109" s="31"/>
      <c r="N109" s="31"/>
    </row>
    <row r="110">
      <c r="M110" s="31"/>
      <c r="N110" s="31"/>
    </row>
    <row r="111">
      <c r="M111" s="31"/>
      <c r="N111" s="31"/>
    </row>
    <row r="112">
      <c r="M112" s="31"/>
      <c r="N112" s="31"/>
    </row>
    <row r="113">
      <c r="M113" s="31"/>
      <c r="N113" s="31"/>
    </row>
    <row r="114">
      <c r="M114" s="31"/>
      <c r="N114" s="31"/>
    </row>
    <row r="115">
      <c r="M115" s="31"/>
      <c r="N115" s="31"/>
    </row>
    <row r="116">
      <c r="M116" s="31"/>
      <c r="N116" s="31"/>
    </row>
    <row r="117">
      <c r="M117" s="31"/>
      <c r="N117" s="31"/>
    </row>
    <row r="118">
      <c r="M118" s="31"/>
      <c r="N118" s="31"/>
    </row>
    <row r="119">
      <c r="M119" s="31"/>
      <c r="N119" s="31"/>
    </row>
    <row r="120">
      <c r="M120" s="31"/>
      <c r="N120" s="31"/>
    </row>
    <row r="121">
      <c r="M121" s="31"/>
      <c r="N121" s="31"/>
    </row>
    <row r="122">
      <c r="M122" s="31"/>
      <c r="N122" s="31"/>
    </row>
    <row r="123">
      <c r="M123" s="31"/>
      <c r="N123" s="31"/>
    </row>
    <row r="124">
      <c r="M124" s="31"/>
      <c r="N124" s="31"/>
    </row>
    <row r="125">
      <c r="M125" s="31"/>
      <c r="N125" s="31"/>
    </row>
    <row r="126">
      <c r="M126" s="31"/>
      <c r="N126" s="31"/>
    </row>
    <row r="127">
      <c r="M127" s="31"/>
      <c r="N127" s="31"/>
    </row>
    <row r="128">
      <c r="M128" s="31"/>
      <c r="N128" s="31"/>
    </row>
    <row r="129">
      <c r="M129" s="31"/>
      <c r="N129" s="31"/>
    </row>
    <row r="130">
      <c r="M130" s="31"/>
      <c r="N130" s="31"/>
    </row>
    <row r="131">
      <c r="M131" s="31"/>
      <c r="N131" s="31"/>
    </row>
    <row r="132">
      <c r="M132" s="31"/>
      <c r="N132" s="31"/>
    </row>
    <row r="133">
      <c r="M133" s="31"/>
      <c r="N133" s="31"/>
    </row>
    <row r="134">
      <c r="M134" s="31"/>
      <c r="N134" s="31"/>
    </row>
    <row r="135">
      <c r="M135" s="31"/>
      <c r="N135" s="31"/>
    </row>
    <row r="136">
      <c r="M136" s="31"/>
      <c r="N136" s="31"/>
    </row>
    <row r="137">
      <c r="M137" s="31"/>
      <c r="N137" s="31"/>
    </row>
    <row r="138">
      <c r="M138" s="31"/>
      <c r="N138" s="31"/>
    </row>
    <row r="139">
      <c r="M139" s="31"/>
      <c r="N139" s="31"/>
    </row>
    <row r="140">
      <c r="M140" s="31"/>
      <c r="N140" s="31"/>
    </row>
    <row r="141">
      <c r="M141" s="31"/>
      <c r="N141" s="31"/>
    </row>
    <row r="142">
      <c r="M142" s="31"/>
      <c r="N142" s="31"/>
    </row>
    <row r="143">
      <c r="M143" s="31"/>
      <c r="N143" s="31"/>
    </row>
    <row r="144">
      <c r="M144" s="31"/>
      <c r="N144" s="31"/>
    </row>
    <row r="145">
      <c r="M145" s="31"/>
      <c r="N145" s="31"/>
    </row>
    <row r="146">
      <c r="M146" s="31"/>
      <c r="N146" s="31"/>
    </row>
    <row r="147">
      <c r="M147" s="31"/>
      <c r="N147" s="31"/>
    </row>
    <row r="148">
      <c r="M148" s="31"/>
      <c r="N148" s="31"/>
    </row>
    <row r="149">
      <c r="M149" s="31"/>
      <c r="N149" s="31"/>
    </row>
    <row r="150">
      <c r="M150" s="31"/>
      <c r="N150" s="31"/>
    </row>
    <row r="151">
      <c r="M151" s="31"/>
      <c r="N151" s="31"/>
    </row>
    <row r="152">
      <c r="M152" s="31"/>
      <c r="N152" s="31"/>
    </row>
    <row r="153">
      <c r="M153" s="31"/>
      <c r="N153" s="31"/>
    </row>
    <row r="154">
      <c r="M154" s="31"/>
      <c r="N154" s="31"/>
    </row>
    <row r="155">
      <c r="M155" s="31"/>
      <c r="N155" s="31"/>
    </row>
    <row r="156">
      <c r="M156" s="31"/>
      <c r="N156" s="31"/>
    </row>
    <row r="157">
      <c r="M157" s="31"/>
      <c r="N157" s="31"/>
    </row>
    <row r="158">
      <c r="M158" s="31"/>
      <c r="N158" s="31"/>
    </row>
    <row r="159">
      <c r="M159" s="31"/>
      <c r="N159" s="31"/>
    </row>
    <row r="160">
      <c r="M160" s="31"/>
      <c r="N160" s="31"/>
    </row>
    <row r="161">
      <c r="M161" s="31"/>
      <c r="N161" s="31"/>
    </row>
    <row r="162">
      <c r="M162" s="31"/>
      <c r="N162" s="31"/>
    </row>
    <row r="163">
      <c r="M163" s="31"/>
      <c r="N163" s="31"/>
    </row>
    <row r="164">
      <c r="M164" s="31"/>
      <c r="N164" s="31"/>
    </row>
    <row r="165">
      <c r="M165" s="31"/>
      <c r="N165" s="31"/>
    </row>
    <row r="166">
      <c r="M166" s="31"/>
      <c r="N166" s="31"/>
    </row>
    <row r="167">
      <c r="M167" s="31"/>
      <c r="N167" s="31"/>
    </row>
    <row r="168">
      <c r="M168" s="31"/>
      <c r="N168" s="31"/>
    </row>
    <row r="169">
      <c r="M169" s="31"/>
      <c r="N169" s="31"/>
    </row>
    <row r="170">
      <c r="M170" s="31"/>
      <c r="N170" s="31"/>
    </row>
    <row r="171">
      <c r="M171" s="31"/>
      <c r="N171" s="31"/>
    </row>
    <row r="172">
      <c r="M172" s="31"/>
      <c r="N172" s="31"/>
    </row>
    <row r="173">
      <c r="M173" s="31"/>
      <c r="N173" s="31"/>
    </row>
    <row r="174">
      <c r="M174" s="31"/>
      <c r="N174" s="31"/>
    </row>
    <row r="175">
      <c r="M175" s="31"/>
      <c r="N175" s="31"/>
    </row>
    <row r="176">
      <c r="M176" s="31"/>
      <c r="N176" s="31"/>
    </row>
    <row r="177">
      <c r="M177" s="31"/>
      <c r="N177" s="31"/>
    </row>
    <row r="178">
      <c r="M178" s="31"/>
      <c r="N178" s="31"/>
    </row>
    <row r="179">
      <c r="M179" s="31"/>
      <c r="N179" s="31"/>
    </row>
    <row r="180">
      <c r="M180" s="31"/>
      <c r="N180" s="31"/>
    </row>
    <row r="181">
      <c r="M181" s="31"/>
      <c r="N181" s="31"/>
    </row>
    <row r="182">
      <c r="M182" s="31"/>
      <c r="N182" s="31"/>
    </row>
    <row r="183">
      <c r="M183" s="31"/>
      <c r="N183" s="31"/>
    </row>
    <row r="184">
      <c r="M184" s="31"/>
      <c r="N184" s="31"/>
    </row>
    <row r="185">
      <c r="M185" s="31"/>
      <c r="N185" s="31"/>
    </row>
    <row r="186">
      <c r="M186" s="31"/>
      <c r="N186" s="31"/>
    </row>
    <row r="187">
      <c r="M187" s="31"/>
      <c r="N187" s="31"/>
    </row>
    <row r="188">
      <c r="M188" s="31"/>
      <c r="N188" s="31"/>
    </row>
    <row r="189">
      <c r="M189" s="31"/>
      <c r="N189" s="31"/>
    </row>
    <row r="190">
      <c r="M190" s="31"/>
      <c r="N190" s="31"/>
    </row>
    <row r="191">
      <c r="M191" s="31"/>
      <c r="N191" s="31"/>
    </row>
    <row r="192">
      <c r="M192" s="31"/>
      <c r="N192" s="31"/>
    </row>
    <row r="193">
      <c r="M193" s="31"/>
      <c r="N193" s="31"/>
    </row>
    <row r="194">
      <c r="M194" s="31"/>
      <c r="N194" s="31"/>
    </row>
    <row r="195">
      <c r="M195" s="31"/>
      <c r="N195" s="31"/>
    </row>
    <row r="196">
      <c r="M196" s="31"/>
      <c r="N196" s="31"/>
    </row>
    <row r="197">
      <c r="M197" s="31"/>
      <c r="N197" s="31"/>
    </row>
    <row r="198">
      <c r="M198" s="31"/>
      <c r="N198" s="31"/>
    </row>
    <row r="199">
      <c r="M199" s="31"/>
      <c r="N199" s="31"/>
    </row>
    <row r="200">
      <c r="M200" s="31"/>
      <c r="N200" s="31"/>
    </row>
    <row r="201">
      <c r="M201" s="31"/>
      <c r="N201" s="31"/>
    </row>
    <row r="202">
      <c r="M202" s="31"/>
      <c r="N202" s="31"/>
    </row>
    <row r="203">
      <c r="M203" s="31"/>
      <c r="N203" s="31"/>
    </row>
    <row r="204">
      <c r="M204" s="31"/>
      <c r="N204" s="31"/>
    </row>
    <row r="205">
      <c r="M205" s="31"/>
      <c r="N205" s="31"/>
    </row>
    <row r="206">
      <c r="M206" s="31"/>
      <c r="N206" s="31"/>
    </row>
    <row r="207">
      <c r="M207" s="31"/>
      <c r="N207" s="31"/>
    </row>
    <row r="208">
      <c r="M208" s="31"/>
      <c r="N208" s="31"/>
    </row>
    <row r="209">
      <c r="M209" s="31"/>
      <c r="N209" s="31"/>
    </row>
    <row r="210">
      <c r="M210" s="31"/>
      <c r="N210" s="31"/>
    </row>
    <row r="211">
      <c r="M211" s="31"/>
      <c r="N211" s="31"/>
    </row>
    <row r="212">
      <c r="M212" s="31"/>
      <c r="N212" s="31"/>
    </row>
    <row r="213">
      <c r="M213" s="31"/>
      <c r="N213" s="31"/>
    </row>
    <row r="214">
      <c r="M214" s="31"/>
      <c r="N214" s="31"/>
    </row>
    <row r="215">
      <c r="M215" s="31"/>
      <c r="N215" s="31"/>
    </row>
    <row r="216">
      <c r="M216" s="31"/>
      <c r="N216" s="31"/>
    </row>
    <row r="217">
      <c r="M217" s="31"/>
      <c r="N217" s="31"/>
    </row>
    <row r="218">
      <c r="M218" s="31"/>
      <c r="N218" s="31"/>
    </row>
    <row r="219">
      <c r="M219" s="31"/>
      <c r="N219" s="31"/>
    </row>
    <row r="220">
      <c r="M220" s="31"/>
      <c r="N220" s="31"/>
    </row>
    <row r="221">
      <c r="M221" s="31"/>
      <c r="N221" s="31"/>
    </row>
    <row r="222">
      <c r="M222" s="31"/>
      <c r="N222" s="31"/>
    </row>
    <row r="223">
      <c r="M223" s="31"/>
      <c r="N223" s="31"/>
    </row>
    <row r="224">
      <c r="M224" s="31"/>
      <c r="N224" s="31"/>
    </row>
    <row r="225">
      <c r="M225" s="31"/>
      <c r="N225" s="31"/>
    </row>
    <row r="226">
      <c r="M226" s="31"/>
      <c r="N226" s="31"/>
    </row>
    <row r="227">
      <c r="M227" s="31"/>
      <c r="N227" s="31"/>
    </row>
    <row r="228">
      <c r="M228" s="31"/>
      <c r="N228" s="31"/>
    </row>
    <row r="229">
      <c r="M229" s="31"/>
      <c r="N229" s="31"/>
    </row>
    <row r="230">
      <c r="M230" s="31"/>
      <c r="N230" s="31"/>
    </row>
    <row r="231">
      <c r="M231" s="31"/>
      <c r="N231" s="31"/>
    </row>
    <row r="232">
      <c r="M232" s="31"/>
      <c r="N232" s="31"/>
    </row>
    <row r="233">
      <c r="M233" s="31"/>
      <c r="N233" s="31"/>
    </row>
    <row r="234">
      <c r="M234" s="31"/>
      <c r="N234" s="31"/>
    </row>
    <row r="235">
      <c r="M235" s="31"/>
      <c r="N235" s="31"/>
    </row>
    <row r="236">
      <c r="M236" s="31"/>
      <c r="N236" s="31"/>
    </row>
    <row r="237">
      <c r="M237" s="31"/>
      <c r="N237" s="31"/>
    </row>
    <row r="238">
      <c r="M238" s="31"/>
      <c r="N238" s="31"/>
    </row>
    <row r="239">
      <c r="M239" s="31"/>
      <c r="N239" s="31"/>
    </row>
    <row r="240">
      <c r="M240" s="31"/>
      <c r="N240" s="31"/>
    </row>
    <row r="241">
      <c r="M241" s="31"/>
      <c r="N241" s="31"/>
    </row>
    <row r="242">
      <c r="M242" s="31"/>
      <c r="N242" s="31"/>
    </row>
    <row r="243">
      <c r="M243" s="31"/>
      <c r="N243" s="31"/>
    </row>
    <row r="244">
      <c r="M244" s="31"/>
      <c r="N244" s="31"/>
    </row>
    <row r="245">
      <c r="M245" s="31"/>
      <c r="N245" s="31"/>
    </row>
    <row r="246">
      <c r="M246" s="31"/>
      <c r="N246" s="31"/>
    </row>
    <row r="247">
      <c r="M247" s="31"/>
      <c r="N247" s="31"/>
    </row>
    <row r="248">
      <c r="M248" s="31"/>
      <c r="N248" s="31"/>
    </row>
    <row r="249">
      <c r="M249" s="31"/>
      <c r="N249" s="31"/>
    </row>
    <row r="250">
      <c r="M250" s="31"/>
      <c r="N250" s="31"/>
    </row>
    <row r="251">
      <c r="M251" s="31"/>
      <c r="N251" s="31"/>
    </row>
    <row r="252">
      <c r="M252" s="31"/>
      <c r="N252" s="31"/>
    </row>
    <row r="253">
      <c r="M253" s="31"/>
      <c r="N253" s="31"/>
    </row>
    <row r="254">
      <c r="M254" s="31"/>
      <c r="N254" s="31"/>
    </row>
    <row r="255">
      <c r="M255" s="31"/>
      <c r="N255" s="31"/>
    </row>
    <row r="256">
      <c r="M256" s="31"/>
      <c r="N256" s="31"/>
    </row>
    <row r="257">
      <c r="M257" s="31"/>
      <c r="N257" s="31"/>
    </row>
    <row r="258">
      <c r="M258" s="31"/>
      <c r="N258" s="31"/>
    </row>
    <row r="259">
      <c r="M259" s="31"/>
      <c r="N259" s="31"/>
    </row>
    <row r="260">
      <c r="M260" s="31"/>
      <c r="N260" s="31"/>
    </row>
    <row r="261">
      <c r="M261" s="31"/>
      <c r="N261" s="31"/>
    </row>
    <row r="262">
      <c r="M262" s="31"/>
      <c r="N262" s="31"/>
    </row>
    <row r="263">
      <c r="M263" s="31"/>
      <c r="N263" s="31"/>
    </row>
    <row r="264">
      <c r="M264" s="31"/>
      <c r="N264" s="31"/>
    </row>
    <row r="265">
      <c r="M265" s="31"/>
      <c r="N265" s="31"/>
    </row>
    <row r="266">
      <c r="M266" s="31"/>
      <c r="N266" s="31"/>
    </row>
    <row r="267">
      <c r="M267" s="31"/>
      <c r="N267" s="31"/>
    </row>
    <row r="268">
      <c r="M268" s="31"/>
      <c r="N268" s="31"/>
    </row>
    <row r="269">
      <c r="M269" s="31"/>
      <c r="N269" s="31"/>
    </row>
    <row r="270">
      <c r="M270" s="31"/>
      <c r="N270" s="31"/>
    </row>
    <row r="271">
      <c r="M271" s="31"/>
      <c r="N271" s="31"/>
    </row>
    <row r="272">
      <c r="M272" s="31"/>
      <c r="N272" s="31"/>
    </row>
    <row r="273">
      <c r="M273" s="31"/>
      <c r="N273" s="31"/>
    </row>
    <row r="274">
      <c r="M274" s="31"/>
      <c r="N274" s="31"/>
    </row>
    <row r="275">
      <c r="M275" s="31"/>
      <c r="N275" s="31"/>
    </row>
    <row r="276">
      <c r="M276" s="31"/>
      <c r="N276" s="31"/>
    </row>
    <row r="277">
      <c r="M277" s="31"/>
      <c r="N277" s="31"/>
    </row>
    <row r="278">
      <c r="M278" s="31"/>
      <c r="N278" s="31"/>
    </row>
    <row r="279">
      <c r="M279" s="31"/>
      <c r="N279" s="31"/>
    </row>
    <row r="280">
      <c r="M280" s="31"/>
      <c r="N280" s="31"/>
    </row>
    <row r="281">
      <c r="M281" s="31"/>
      <c r="N281" s="31"/>
    </row>
    <row r="282">
      <c r="M282" s="31"/>
      <c r="N282" s="31"/>
    </row>
    <row r="283">
      <c r="M283" s="31"/>
      <c r="N283" s="31"/>
    </row>
    <row r="284">
      <c r="M284" s="31"/>
      <c r="N284" s="31"/>
    </row>
    <row r="285">
      <c r="M285" s="31"/>
      <c r="N285" s="31"/>
    </row>
    <row r="286">
      <c r="M286" s="31"/>
      <c r="N286" s="31"/>
    </row>
    <row r="287">
      <c r="M287" s="31"/>
      <c r="N287" s="31"/>
    </row>
    <row r="288">
      <c r="M288" s="31"/>
      <c r="N288" s="31"/>
    </row>
    <row r="289">
      <c r="M289" s="31"/>
      <c r="N289" s="31"/>
    </row>
    <row r="290">
      <c r="M290" s="31"/>
      <c r="N290" s="31"/>
    </row>
    <row r="291">
      <c r="M291" s="31"/>
      <c r="N291" s="31"/>
    </row>
    <row r="292">
      <c r="M292" s="31"/>
      <c r="N292" s="31"/>
    </row>
    <row r="293">
      <c r="M293" s="31"/>
      <c r="N293" s="31"/>
    </row>
    <row r="294">
      <c r="M294" s="31"/>
      <c r="N294" s="31"/>
    </row>
    <row r="295">
      <c r="M295" s="31"/>
      <c r="N295" s="31"/>
    </row>
    <row r="296">
      <c r="M296" s="31"/>
      <c r="N296" s="31"/>
    </row>
    <row r="297">
      <c r="M297" s="31"/>
      <c r="N297" s="31"/>
    </row>
    <row r="298">
      <c r="M298" s="31"/>
      <c r="N298" s="31"/>
    </row>
    <row r="299">
      <c r="M299" s="31"/>
      <c r="N299" s="31"/>
    </row>
    <row r="300">
      <c r="M300" s="31"/>
      <c r="N300" s="31"/>
    </row>
    <row r="301">
      <c r="M301" s="31"/>
      <c r="N301" s="31"/>
    </row>
    <row r="302">
      <c r="M302" s="31"/>
      <c r="N302" s="31"/>
    </row>
    <row r="303">
      <c r="M303" s="31"/>
      <c r="N303" s="31"/>
    </row>
    <row r="304">
      <c r="M304" s="31"/>
      <c r="N304" s="31"/>
    </row>
    <row r="305">
      <c r="M305" s="31"/>
      <c r="N305" s="31"/>
    </row>
    <row r="306">
      <c r="M306" s="31"/>
      <c r="N306" s="31"/>
    </row>
    <row r="307">
      <c r="M307" s="31"/>
      <c r="N307" s="31"/>
    </row>
    <row r="308">
      <c r="M308" s="31"/>
      <c r="N308" s="31"/>
    </row>
    <row r="309">
      <c r="M309" s="31"/>
      <c r="N309" s="31"/>
    </row>
    <row r="310">
      <c r="M310" s="31"/>
      <c r="N310" s="31"/>
    </row>
    <row r="311">
      <c r="M311" s="31"/>
      <c r="N311" s="31"/>
    </row>
    <row r="312">
      <c r="M312" s="31"/>
      <c r="N312" s="31"/>
    </row>
    <row r="313">
      <c r="M313" s="31"/>
      <c r="N313" s="31"/>
    </row>
    <row r="314">
      <c r="M314" s="31"/>
      <c r="N314" s="31"/>
    </row>
    <row r="315">
      <c r="M315" s="31"/>
      <c r="N315" s="31"/>
    </row>
    <row r="316">
      <c r="M316" s="31"/>
      <c r="N316" s="31"/>
    </row>
    <row r="317">
      <c r="M317" s="31"/>
      <c r="N317" s="31"/>
    </row>
    <row r="318">
      <c r="M318" s="31"/>
      <c r="N318" s="31"/>
    </row>
    <row r="319">
      <c r="M319" s="31"/>
      <c r="N319" s="31"/>
    </row>
    <row r="320">
      <c r="M320" s="31"/>
      <c r="N320" s="31"/>
    </row>
    <row r="321">
      <c r="M321" s="31"/>
      <c r="N321" s="31"/>
    </row>
    <row r="322">
      <c r="M322" s="31"/>
      <c r="N322" s="31"/>
    </row>
    <row r="323">
      <c r="M323" s="31"/>
      <c r="N323" s="31"/>
    </row>
    <row r="324">
      <c r="M324" s="31"/>
      <c r="N324" s="31"/>
    </row>
    <row r="325">
      <c r="M325" s="31"/>
      <c r="N325" s="31"/>
    </row>
    <row r="326">
      <c r="M326" s="31"/>
      <c r="N326" s="31"/>
    </row>
    <row r="327">
      <c r="M327" s="31"/>
      <c r="N327" s="31"/>
    </row>
    <row r="328">
      <c r="M328" s="31"/>
      <c r="N328" s="31"/>
    </row>
    <row r="329">
      <c r="M329" s="31"/>
      <c r="N329" s="31"/>
    </row>
    <row r="330">
      <c r="M330" s="31"/>
      <c r="N330" s="31"/>
    </row>
    <row r="331">
      <c r="M331" s="31"/>
      <c r="N331" s="31"/>
    </row>
    <row r="332">
      <c r="M332" s="31"/>
      <c r="N332" s="31"/>
    </row>
    <row r="333">
      <c r="M333" s="31"/>
      <c r="N333" s="31"/>
    </row>
    <row r="334">
      <c r="M334" s="31"/>
      <c r="N334" s="31"/>
    </row>
    <row r="335">
      <c r="M335" s="31"/>
      <c r="N335" s="31"/>
    </row>
    <row r="336">
      <c r="M336" s="31"/>
      <c r="N336" s="31"/>
    </row>
    <row r="337">
      <c r="M337" s="31"/>
      <c r="N337" s="31"/>
    </row>
    <row r="338">
      <c r="M338" s="31"/>
      <c r="N338" s="31"/>
    </row>
    <row r="339">
      <c r="M339" s="31"/>
      <c r="N339" s="31"/>
    </row>
    <row r="340">
      <c r="M340" s="31"/>
      <c r="N340" s="31"/>
    </row>
    <row r="341">
      <c r="M341" s="31"/>
      <c r="N341" s="31"/>
    </row>
    <row r="342">
      <c r="M342" s="31"/>
      <c r="N342" s="31"/>
    </row>
    <row r="343">
      <c r="M343" s="31"/>
      <c r="N343" s="31"/>
    </row>
    <row r="344">
      <c r="M344" s="31"/>
      <c r="N344" s="31"/>
    </row>
    <row r="345">
      <c r="M345" s="31"/>
      <c r="N345" s="31"/>
    </row>
    <row r="346">
      <c r="M346" s="31"/>
      <c r="N346" s="31"/>
    </row>
    <row r="347">
      <c r="M347" s="31"/>
      <c r="N347" s="31"/>
    </row>
    <row r="348">
      <c r="M348" s="31"/>
      <c r="N348" s="31"/>
    </row>
    <row r="349">
      <c r="M349" s="31"/>
      <c r="N349" s="31"/>
    </row>
    <row r="350">
      <c r="M350" s="31"/>
      <c r="N350" s="31"/>
    </row>
    <row r="351">
      <c r="M351" s="31"/>
      <c r="N351" s="31"/>
    </row>
    <row r="352">
      <c r="M352" s="31"/>
      <c r="N352" s="31"/>
    </row>
    <row r="353">
      <c r="M353" s="31"/>
      <c r="N353" s="31"/>
    </row>
    <row r="354">
      <c r="M354" s="31"/>
      <c r="N354" s="31"/>
    </row>
    <row r="355">
      <c r="M355" s="31"/>
      <c r="N355" s="31"/>
    </row>
    <row r="356">
      <c r="M356" s="31"/>
      <c r="N356" s="31"/>
    </row>
    <row r="357">
      <c r="M357" s="31"/>
      <c r="N357" s="31"/>
    </row>
    <row r="358">
      <c r="M358" s="31"/>
      <c r="N358" s="31"/>
    </row>
    <row r="359">
      <c r="M359" s="31"/>
      <c r="N359" s="31"/>
    </row>
    <row r="360">
      <c r="M360" s="31"/>
      <c r="N360" s="31"/>
    </row>
    <row r="361">
      <c r="M361" s="31"/>
      <c r="N361" s="31"/>
    </row>
    <row r="362">
      <c r="M362" s="31"/>
      <c r="N362" s="31"/>
    </row>
    <row r="363">
      <c r="M363" s="31"/>
      <c r="N363" s="31"/>
    </row>
    <row r="364">
      <c r="M364" s="31"/>
      <c r="N364" s="31"/>
    </row>
    <row r="365">
      <c r="M365" s="31"/>
      <c r="N365" s="31"/>
    </row>
    <row r="366">
      <c r="M366" s="31"/>
      <c r="N366" s="31"/>
    </row>
    <row r="367">
      <c r="M367" s="31"/>
      <c r="N367" s="31"/>
    </row>
    <row r="368">
      <c r="M368" s="31"/>
      <c r="N368" s="31"/>
    </row>
    <row r="369">
      <c r="M369" s="31"/>
      <c r="N369" s="31"/>
    </row>
    <row r="370">
      <c r="M370" s="31"/>
      <c r="N370" s="31"/>
    </row>
    <row r="371">
      <c r="M371" s="31"/>
      <c r="N371" s="31"/>
    </row>
    <row r="372">
      <c r="M372" s="31"/>
      <c r="N372" s="31"/>
    </row>
    <row r="373">
      <c r="M373" s="31"/>
      <c r="N373" s="31"/>
    </row>
    <row r="374">
      <c r="M374" s="31"/>
      <c r="N374" s="31"/>
    </row>
    <row r="375">
      <c r="M375" s="31"/>
      <c r="N375" s="31"/>
    </row>
    <row r="376">
      <c r="M376" s="31"/>
      <c r="N376" s="31"/>
    </row>
    <row r="377">
      <c r="M377" s="31"/>
      <c r="N377" s="31"/>
    </row>
    <row r="378">
      <c r="M378" s="31"/>
      <c r="N378" s="31"/>
    </row>
    <row r="379">
      <c r="M379" s="31"/>
      <c r="N379" s="31"/>
    </row>
    <row r="380">
      <c r="M380" s="31"/>
      <c r="N380" s="31"/>
    </row>
    <row r="381">
      <c r="M381" s="31"/>
      <c r="N381" s="31"/>
    </row>
    <row r="382">
      <c r="M382" s="31"/>
      <c r="N382" s="31"/>
    </row>
    <row r="383">
      <c r="M383" s="31"/>
      <c r="N383" s="31"/>
    </row>
    <row r="384">
      <c r="M384" s="31"/>
      <c r="N384" s="31"/>
    </row>
    <row r="385">
      <c r="M385" s="31"/>
      <c r="N385" s="31"/>
    </row>
    <row r="386">
      <c r="M386" s="31"/>
      <c r="N386" s="31"/>
    </row>
    <row r="387">
      <c r="M387" s="31"/>
      <c r="N387" s="31"/>
    </row>
    <row r="388">
      <c r="M388" s="31"/>
      <c r="N388" s="31"/>
    </row>
    <row r="389">
      <c r="M389" s="31"/>
      <c r="N389" s="31"/>
    </row>
    <row r="390">
      <c r="M390" s="31"/>
      <c r="N390" s="31"/>
    </row>
    <row r="391">
      <c r="M391" s="31"/>
      <c r="N391" s="31"/>
    </row>
    <row r="392">
      <c r="M392" s="31"/>
      <c r="N392" s="31"/>
    </row>
    <row r="393">
      <c r="M393" s="31"/>
      <c r="N393" s="31"/>
    </row>
    <row r="394">
      <c r="M394" s="31"/>
      <c r="N394" s="31"/>
    </row>
    <row r="395">
      <c r="M395" s="31"/>
      <c r="N395" s="31"/>
    </row>
    <row r="396">
      <c r="M396" s="31"/>
      <c r="N396" s="31"/>
    </row>
    <row r="397">
      <c r="M397" s="31"/>
      <c r="N397" s="31"/>
    </row>
    <row r="398">
      <c r="M398" s="31"/>
      <c r="N398" s="31"/>
    </row>
    <row r="399">
      <c r="M399" s="31"/>
      <c r="N399" s="31"/>
    </row>
    <row r="400">
      <c r="M400" s="31"/>
      <c r="N400" s="31"/>
    </row>
    <row r="401">
      <c r="M401" s="31"/>
      <c r="N401" s="31"/>
    </row>
    <row r="402">
      <c r="M402" s="31"/>
      <c r="N402" s="31"/>
    </row>
    <row r="403">
      <c r="M403" s="31"/>
      <c r="N403" s="31"/>
    </row>
    <row r="404">
      <c r="M404" s="31"/>
      <c r="N404" s="31"/>
    </row>
    <row r="405">
      <c r="M405" s="31"/>
      <c r="N405" s="31"/>
    </row>
    <row r="406">
      <c r="M406" s="31"/>
      <c r="N406" s="31"/>
    </row>
    <row r="407">
      <c r="M407" s="31"/>
      <c r="N407" s="31"/>
    </row>
    <row r="408">
      <c r="M408" s="31"/>
      <c r="N408" s="31"/>
    </row>
    <row r="409">
      <c r="M409" s="31"/>
      <c r="N409" s="31"/>
    </row>
    <row r="410">
      <c r="M410" s="31"/>
      <c r="N410" s="31"/>
    </row>
    <row r="411">
      <c r="M411" s="31"/>
      <c r="N411" s="31"/>
    </row>
    <row r="412">
      <c r="M412" s="31"/>
      <c r="N412" s="31"/>
    </row>
    <row r="413">
      <c r="M413" s="31"/>
      <c r="N413" s="31"/>
    </row>
    <row r="414">
      <c r="M414" s="31"/>
      <c r="N414" s="31"/>
    </row>
    <row r="415">
      <c r="M415" s="31"/>
      <c r="N415" s="31"/>
    </row>
    <row r="416">
      <c r="M416" s="31"/>
      <c r="N416" s="31"/>
    </row>
    <row r="417">
      <c r="M417" s="31"/>
      <c r="N417" s="31"/>
    </row>
    <row r="418">
      <c r="M418" s="31"/>
      <c r="N418" s="31"/>
    </row>
    <row r="419">
      <c r="M419" s="31"/>
      <c r="N419" s="31"/>
    </row>
    <row r="420">
      <c r="M420" s="31"/>
      <c r="N420" s="31"/>
    </row>
    <row r="421">
      <c r="M421" s="31"/>
      <c r="N421" s="31"/>
    </row>
    <row r="422">
      <c r="M422" s="31"/>
      <c r="N422" s="31"/>
    </row>
    <row r="423">
      <c r="M423" s="31"/>
      <c r="N423" s="31"/>
    </row>
    <row r="424">
      <c r="M424" s="31"/>
      <c r="N424" s="31"/>
    </row>
    <row r="425">
      <c r="M425" s="31"/>
      <c r="N425" s="31"/>
    </row>
    <row r="426">
      <c r="M426" s="31"/>
      <c r="N426" s="31"/>
    </row>
    <row r="427">
      <c r="M427" s="31"/>
      <c r="N427" s="31"/>
    </row>
    <row r="428">
      <c r="M428" s="31"/>
      <c r="N428" s="31"/>
    </row>
    <row r="429">
      <c r="M429" s="31"/>
      <c r="N429" s="31"/>
    </row>
    <row r="430">
      <c r="M430" s="31"/>
      <c r="N430" s="31"/>
    </row>
    <row r="431">
      <c r="M431" s="31"/>
      <c r="N431" s="31"/>
    </row>
    <row r="432">
      <c r="M432" s="31"/>
      <c r="N432" s="31"/>
    </row>
    <row r="433">
      <c r="M433" s="31"/>
      <c r="N433" s="31"/>
    </row>
    <row r="434">
      <c r="M434" s="31"/>
      <c r="N434" s="31"/>
    </row>
    <row r="435">
      <c r="M435" s="31"/>
      <c r="N435" s="31"/>
    </row>
    <row r="436">
      <c r="M436" s="31"/>
      <c r="N436" s="31"/>
    </row>
    <row r="437">
      <c r="M437" s="31"/>
      <c r="N437" s="31"/>
    </row>
    <row r="438">
      <c r="M438" s="31"/>
      <c r="N438" s="31"/>
    </row>
    <row r="439">
      <c r="M439" s="31"/>
      <c r="N439" s="31"/>
    </row>
    <row r="440">
      <c r="M440" s="31"/>
      <c r="N440" s="31"/>
    </row>
    <row r="441">
      <c r="M441" s="31"/>
      <c r="N441" s="31"/>
    </row>
    <row r="442">
      <c r="M442" s="31"/>
      <c r="N442" s="31"/>
    </row>
    <row r="443">
      <c r="M443" s="31"/>
      <c r="N443" s="31"/>
    </row>
    <row r="444">
      <c r="M444" s="31"/>
      <c r="N444" s="31"/>
    </row>
    <row r="445">
      <c r="M445" s="31"/>
      <c r="N445" s="31"/>
    </row>
    <row r="446">
      <c r="M446" s="31"/>
      <c r="N446" s="31"/>
    </row>
    <row r="447">
      <c r="M447" s="31"/>
      <c r="N447" s="31"/>
    </row>
    <row r="448">
      <c r="M448" s="31"/>
      <c r="N448" s="31"/>
    </row>
    <row r="449">
      <c r="M449" s="31"/>
      <c r="N449" s="31"/>
    </row>
    <row r="450">
      <c r="M450" s="31"/>
      <c r="N450" s="31"/>
    </row>
    <row r="451">
      <c r="M451" s="31"/>
      <c r="N451" s="31"/>
    </row>
    <row r="452">
      <c r="M452" s="31"/>
      <c r="N452" s="31"/>
    </row>
    <row r="453">
      <c r="M453" s="31"/>
      <c r="N453" s="31"/>
    </row>
    <row r="454">
      <c r="M454" s="31"/>
      <c r="N454" s="31"/>
    </row>
    <row r="455">
      <c r="M455" s="31"/>
      <c r="N455" s="31"/>
    </row>
    <row r="456">
      <c r="M456" s="31"/>
      <c r="N456" s="31"/>
    </row>
    <row r="457">
      <c r="M457" s="31"/>
      <c r="N457" s="31"/>
    </row>
    <row r="458">
      <c r="M458" s="31"/>
      <c r="N458" s="31"/>
    </row>
    <row r="459">
      <c r="M459" s="31"/>
      <c r="N459" s="31"/>
    </row>
    <row r="460">
      <c r="M460" s="31"/>
      <c r="N460" s="31"/>
    </row>
    <row r="461">
      <c r="M461" s="31"/>
      <c r="N461" s="31"/>
    </row>
    <row r="462">
      <c r="M462" s="31"/>
      <c r="N462" s="31"/>
    </row>
    <row r="463">
      <c r="M463" s="31"/>
      <c r="N463" s="31"/>
    </row>
    <row r="464">
      <c r="M464" s="31"/>
      <c r="N464" s="31"/>
    </row>
    <row r="465">
      <c r="M465" s="31"/>
      <c r="N465" s="31"/>
    </row>
    <row r="466">
      <c r="M466" s="31"/>
      <c r="N466" s="31"/>
    </row>
    <row r="467">
      <c r="M467" s="31"/>
      <c r="N467" s="31"/>
    </row>
    <row r="468">
      <c r="M468" s="31"/>
      <c r="N468" s="31"/>
    </row>
    <row r="469">
      <c r="M469" s="31"/>
      <c r="N469" s="31"/>
    </row>
    <row r="470">
      <c r="M470" s="31"/>
      <c r="N470" s="31"/>
    </row>
    <row r="471">
      <c r="M471" s="31"/>
      <c r="N471" s="31"/>
    </row>
    <row r="472">
      <c r="M472" s="31"/>
      <c r="N472" s="31"/>
    </row>
    <row r="473">
      <c r="M473" s="31"/>
      <c r="N473" s="31"/>
    </row>
    <row r="474">
      <c r="M474" s="31"/>
      <c r="N474" s="31"/>
    </row>
    <row r="475">
      <c r="M475" s="31"/>
      <c r="N475" s="31"/>
    </row>
    <row r="476">
      <c r="M476" s="31"/>
      <c r="N476" s="31"/>
    </row>
    <row r="477">
      <c r="M477" s="31"/>
      <c r="N477" s="31"/>
    </row>
    <row r="478">
      <c r="M478" s="31"/>
      <c r="N478" s="31"/>
    </row>
    <row r="479">
      <c r="M479" s="31"/>
      <c r="N479" s="31"/>
    </row>
    <row r="480">
      <c r="M480" s="31"/>
      <c r="N480" s="31"/>
    </row>
    <row r="481">
      <c r="M481" s="31"/>
      <c r="N481" s="31"/>
    </row>
    <row r="482">
      <c r="M482" s="31"/>
      <c r="N482" s="31"/>
    </row>
    <row r="483">
      <c r="M483" s="31"/>
      <c r="N483" s="31"/>
    </row>
    <row r="484">
      <c r="M484" s="31"/>
      <c r="N484" s="31"/>
    </row>
    <row r="485">
      <c r="M485" s="31"/>
      <c r="N485" s="31"/>
    </row>
    <row r="486">
      <c r="M486" s="31"/>
      <c r="N486" s="31"/>
    </row>
    <row r="487">
      <c r="M487" s="31"/>
      <c r="N487" s="31"/>
    </row>
    <row r="488">
      <c r="M488" s="31"/>
      <c r="N488" s="31"/>
    </row>
    <row r="489">
      <c r="M489" s="31"/>
      <c r="N489" s="31"/>
    </row>
    <row r="490">
      <c r="M490" s="31"/>
      <c r="N490" s="31"/>
    </row>
    <row r="491">
      <c r="M491" s="31"/>
      <c r="N491" s="31"/>
    </row>
    <row r="492">
      <c r="M492" s="31"/>
      <c r="N492" s="31"/>
    </row>
    <row r="493">
      <c r="M493" s="31"/>
      <c r="N493" s="31"/>
    </row>
    <row r="494">
      <c r="M494" s="31"/>
      <c r="N494" s="31"/>
    </row>
    <row r="495">
      <c r="M495" s="31"/>
      <c r="N495" s="31"/>
    </row>
    <row r="496">
      <c r="M496" s="31"/>
      <c r="N496" s="31"/>
    </row>
    <row r="497">
      <c r="M497" s="31"/>
      <c r="N497" s="31"/>
    </row>
    <row r="498">
      <c r="M498" s="31"/>
      <c r="N498" s="31"/>
    </row>
    <row r="499">
      <c r="M499" s="31"/>
      <c r="N499" s="31"/>
    </row>
    <row r="500">
      <c r="M500" s="31"/>
      <c r="N500" s="31"/>
    </row>
    <row r="501">
      <c r="M501" s="31"/>
      <c r="N501" s="31"/>
    </row>
    <row r="502">
      <c r="M502" s="31"/>
      <c r="N502" s="31"/>
    </row>
    <row r="503">
      <c r="M503" s="31"/>
      <c r="N503" s="31"/>
    </row>
    <row r="504">
      <c r="M504" s="31"/>
      <c r="N504" s="31"/>
    </row>
    <row r="505">
      <c r="M505" s="31"/>
      <c r="N505" s="31"/>
    </row>
    <row r="506">
      <c r="M506" s="31"/>
      <c r="N506" s="31"/>
    </row>
    <row r="507">
      <c r="M507" s="31"/>
      <c r="N507" s="31"/>
    </row>
    <row r="508">
      <c r="M508" s="31"/>
      <c r="N508" s="31"/>
    </row>
    <row r="509">
      <c r="M509" s="31"/>
      <c r="N509" s="31"/>
    </row>
    <row r="510">
      <c r="M510" s="31"/>
      <c r="N510" s="31"/>
    </row>
    <row r="511">
      <c r="M511" s="31"/>
      <c r="N511" s="31"/>
    </row>
    <row r="512">
      <c r="M512" s="31"/>
      <c r="N512" s="31"/>
    </row>
    <row r="513">
      <c r="M513" s="31"/>
      <c r="N513" s="31"/>
    </row>
    <row r="514">
      <c r="M514" s="31"/>
      <c r="N514" s="31"/>
    </row>
    <row r="515">
      <c r="M515" s="31"/>
      <c r="N515" s="31"/>
    </row>
    <row r="516">
      <c r="M516" s="31"/>
      <c r="N516" s="31"/>
    </row>
    <row r="517">
      <c r="M517" s="31"/>
      <c r="N517" s="31"/>
    </row>
    <row r="518">
      <c r="M518" s="31"/>
      <c r="N518" s="31"/>
    </row>
    <row r="519">
      <c r="M519" s="31"/>
      <c r="N519" s="31"/>
    </row>
    <row r="520">
      <c r="M520" s="31"/>
      <c r="N520" s="31"/>
    </row>
    <row r="521">
      <c r="M521" s="31"/>
      <c r="N521" s="31"/>
    </row>
    <row r="522">
      <c r="M522" s="31"/>
      <c r="N522" s="31"/>
    </row>
    <row r="523">
      <c r="M523" s="31"/>
      <c r="N523" s="31"/>
    </row>
    <row r="524">
      <c r="M524" s="31"/>
      <c r="N524" s="31"/>
    </row>
    <row r="525">
      <c r="M525" s="31"/>
      <c r="N525" s="31"/>
    </row>
    <row r="526">
      <c r="M526" s="31"/>
      <c r="N526" s="31"/>
    </row>
    <row r="527">
      <c r="M527" s="31"/>
      <c r="N527" s="31"/>
    </row>
    <row r="528">
      <c r="M528" s="31"/>
      <c r="N528" s="31"/>
    </row>
    <row r="529">
      <c r="M529" s="31"/>
      <c r="N529" s="31"/>
    </row>
    <row r="530">
      <c r="M530" s="31"/>
      <c r="N530" s="31"/>
    </row>
    <row r="531">
      <c r="M531" s="31"/>
      <c r="N531" s="31"/>
    </row>
    <row r="532">
      <c r="M532" s="31"/>
      <c r="N532" s="31"/>
    </row>
    <row r="533">
      <c r="M533" s="31"/>
      <c r="N533" s="31"/>
    </row>
    <row r="534">
      <c r="M534" s="31"/>
      <c r="N534" s="31"/>
    </row>
    <row r="535">
      <c r="M535" s="31"/>
      <c r="N535" s="31"/>
    </row>
    <row r="536">
      <c r="M536" s="31"/>
      <c r="N536" s="31"/>
    </row>
    <row r="537">
      <c r="M537" s="31"/>
      <c r="N537" s="31"/>
    </row>
    <row r="538">
      <c r="M538" s="31"/>
      <c r="N538" s="31"/>
    </row>
    <row r="539">
      <c r="M539" s="31"/>
      <c r="N539" s="31"/>
    </row>
    <row r="540">
      <c r="M540" s="31"/>
      <c r="N540" s="31"/>
    </row>
    <row r="541">
      <c r="M541" s="31"/>
      <c r="N541" s="31"/>
    </row>
    <row r="542">
      <c r="M542" s="31"/>
      <c r="N542" s="31"/>
    </row>
    <row r="543">
      <c r="M543" s="31"/>
      <c r="N543" s="31"/>
    </row>
    <row r="544">
      <c r="M544" s="31"/>
      <c r="N544" s="31"/>
    </row>
    <row r="545">
      <c r="M545" s="31"/>
      <c r="N545" s="31"/>
    </row>
    <row r="546">
      <c r="M546" s="31"/>
      <c r="N546" s="31"/>
    </row>
    <row r="547">
      <c r="M547" s="31"/>
      <c r="N547" s="31"/>
    </row>
    <row r="548">
      <c r="M548" s="31"/>
      <c r="N548" s="31"/>
    </row>
    <row r="549">
      <c r="M549" s="31"/>
      <c r="N549" s="31"/>
    </row>
    <row r="550">
      <c r="M550" s="31"/>
      <c r="N550" s="31"/>
    </row>
    <row r="551">
      <c r="M551" s="31"/>
      <c r="N551" s="31"/>
    </row>
    <row r="552">
      <c r="M552" s="31"/>
      <c r="N552" s="31"/>
    </row>
    <row r="553">
      <c r="M553" s="31"/>
      <c r="N553" s="31"/>
    </row>
    <row r="554">
      <c r="M554" s="31"/>
      <c r="N554" s="31"/>
    </row>
    <row r="555">
      <c r="M555" s="31"/>
      <c r="N555" s="31"/>
    </row>
    <row r="556">
      <c r="M556" s="31"/>
      <c r="N556" s="31"/>
    </row>
    <row r="557">
      <c r="M557" s="31"/>
      <c r="N557" s="31"/>
    </row>
    <row r="558">
      <c r="M558" s="31"/>
      <c r="N558" s="31"/>
    </row>
    <row r="559">
      <c r="M559" s="31"/>
      <c r="N559" s="31"/>
    </row>
    <row r="560">
      <c r="M560" s="31"/>
      <c r="N560" s="31"/>
    </row>
    <row r="561">
      <c r="M561" s="31"/>
      <c r="N561" s="31"/>
    </row>
    <row r="562">
      <c r="M562" s="31"/>
      <c r="N562" s="31"/>
    </row>
    <row r="563">
      <c r="M563" s="31"/>
      <c r="N563" s="31"/>
    </row>
    <row r="564">
      <c r="M564" s="31"/>
      <c r="N564" s="31"/>
    </row>
    <row r="565">
      <c r="M565" s="31"/>
      <c r="N565" s="31"/>
    </row>
    <row r="566">
      <c r="M566" s="31"/>
      <c r="N566" s="31"/>
    </row>
    <row r="567">
      <c r="M567" s="31"/>
      <c r="N567" s="31"/>
    </row>
    <row r="568">
      <c r="M568" s="31"/>
      <c r="N568" s="31"/>
    </row>
    <row r="569">
      <c r="M569" s="31"/>
      <c r="N569" s="31"/>
    </row>
    <row r="570">
      <c r="M570" s="31"/>
      <c r="N570" s="31"/>
    </row>
    <row r="571">
      <c r="M571" s="31"/>
      <c r="N571" s="31"/>
    </row>
    <row r="572">
      <c r="M572" s="31"/>
      <c r="N572" s="31"/>
    </row>
    <row r="573">
      <c r="M573" s="31"/>
      <c r="N573" s="31"/>
    </row>
    <row r="574">
      <c r="M574" s="31"/>
      <c r="N574" s="31"/>
    </row>
    <row r="575">
      <c r="M575" s="31"/>
      <c r="N575" s="31"/>
    </row>
    <row r="576">
      <c r="M576" s="31"/>
      <c r="N576" s="31"/>
    </row>
    <row r="577">
      <c r="M577" s="31"/>
      <c r="N577" s="31"/>
    </row>
    <row r="578">
      <c r="M578" s="31"/>
      <c r="N578" s="31"/>
    </row>
    <row r="579">
      <c r="M579" s="31"/>
      <c r="N579" s="31"/>
    </row>
    <row r="580">
      <c r="M580" s="31"/>
      <c r="N580" s="31"/>
    </row>
    <row r="581">
      <c r="M581" s="31"/>
      <c r="N581" s="31"/>
    </row>
    <row r="582">
      <c r="M582" s="31"/>
      <c r="N582" s="31"/>
    </row>
    <row r="583">
      <c r="M583" s="31"/>
      <c r="N583" s="31"/>
    </row>
    <row r="584">
      <c r="M584" s="31"/>
      <c r="N584" s="31"/>
    </row>
    <row r="585">
      <c r="M585" s="31"/>
      <c r="N585" s="31"/>
    </row>
    <row r="586">
      <c r="M586" s="31"/>
      <c r="N586" s="31"/>
    </row>
    <row r="587">
      <c r="M587" s="31"/>
      <c r="N587" s="31"/>
    </row>
    <row r="588">
      <c r="M588" s="31"/>
      <c r="N588" s="31"/>
    </row>
    <row r="589">
      <c r="M589" s="31"/>
      <c r="N589" s="31"/>
    </row>
    <row r="590">
      <c r="M590" s="31"/>
      <c r="N590" s="31"/>
    </row>
    <row r="591">
      <c r="M591" s="31"/>
      <c r="N591" s="31"/>
    </row>
    <row r="592">
      <c r="M592" s="31"/>
      <c r="N592" s="31"/>
    </row>
    <row r="593">
      <c r="M593" s="31"/>
      <c r="N593" s="31"/>
    </row>
    <row r="594">
      <c r="M594" s="31"/>
      <c r="N594" s="31"/>
    </row>
    <row r="595">
      <c r="M595" s="31"/>
      <c r="N595" s="31"/>
    </row>
    <row r="596">
      <c r="M596" s="31"/>
      <c r="N596" s="31"/>
    </row>
    <row r="597">
      <c r="M597" s="31"/>
      <c r="N597" s="31"/>
    </row>
    <row r="598">
      <c r="M598" s="31"/>
      <c r="N598" s="31"/>
    </row>
    <row r="599">
      <c r="M599" s="31"/>
      <c r="N599" s="31"/>
    </row>
    <row r="600">
      <c r="M600" s="31"/>
      <c r="N600" s="31"/>
    </row>
    <row r="601">
      <c r="M601" s="31"/>
      <c r="N601" s="31"/>
    </row>
    <row r="602">
      <c r="M602" s="31"/>
      <c r="N602" s="31"/>
    </row>
    <row r="603">
      <c r="M603" s="31"/>
      <c r="N603" s="31"/>
    </row>
    <row r="604">
      <c r="M604" s="31"/>
      <c r="N604" s="31"/>
    </row>
    <row r="605">
      <c r="M605" s="31"/>
      <c r="N605" s="31"/>
    </row>
    <row r="606">
      <c r="M606" s="31"/>
      <c r="N606" s="31"/>
    </row>
    <row r="607">
      <c r="M607" s="31"/>
      <c r="N607" s="31"/>
    </row>
    <row r="608">
      <c r="M608" s="31"/>
      <c r="N608" s="31"/>
    </row>
    <row r="609">
      <c r="M609" s="31"/>
      <c r="N609" s="31"/>
    </row>
    <row r="610">
      <c r="M610" s="31"/>
      <c r="N610" s="31"/>
    </row>
    <row r="611">
      <c r="M611" s="31"/>
      <c r="N611" s="31"/>
    </row>
    <row r="612">
      <c r="M612" s="31"/>
      <c r="N612" s="31"/>
    </row>
    <row r="613">
      <c r="M613" s="31"/>
      <c r="N613" s="31"/>
    </row>
    <row r="614">
      <c r="M614" s="31"/>
      <c r="N614" s="31"/>
    </row>
    <row r="615">
      <c r="M615" s="31"/>
      <c r="N615" s="31"/>
    </row>
    <row r="616">
      <c r="M616" s="31"/>
      <c r="N616" s="31"/>
    </row>
    <row r="617">
      <c r="M617" s="31"/>
      <c r="N617" s="31"/>
    </row>
    <row r="618">
      <c r="M618" s="31"/>
      <c r="N618" s="31"/>
    </row>
    <row r="619">
      <c r="M619" s="31"/>
      <c r="N619" s="31"/>
    </row>
    <row r="620">
      <c r="M620" s="31"/>
      <c r="N620" s="31"/>
    </row>
    <row r="621">
      <c r="M621" s="31"/>
      <c r="N621" s="31"/>
    </row>
    <row r="622">
      <c r="M622" s="31"/>
      <c r="N622" s="31"/>
    </row>
    <row r="623">
      <c r="M623" s="31"/>
      <c r="N623" s="31"/>
    </row>
    <row r="624">
      <c r="M624" s="31"/>
      <c r="N624" s="31"/>
    </row>
    <row r="625">
      <c r="M625" s="31"/>
      <c r="N625" s="31"/>
    </row>
    <row r="626">
      <c r="M626" s="31"/>
      <c r="N626" s="31"/>
    </row>
    <row r="627">
      <c r="M627" s="31"/>
      <c r="N627" s="31"/>
    </row>
    <row r="628">
      <c r="M628" s="31"/>
      <c r="N628" s="31"/>
    </row>
    <row r="629">
      <c r="M629" s="31"/>
      <c r="N629" s="31"/>
    </row>
    <row r="630">
      <c r="M630" s="31"/>
      <c r="N630" s="31"/>
    </row>
    <row r="631">
      <c r="M631" s="31"/>
      <c r="N631" s="31"/>
    </row>
    <row r="632">
      <c r="M632" s="31"/>
      <c r="N632" s="31"/>
    </row>
    <row r="633">
      <c r="M633" s="31"/>
      <c r="N633" s="31"/>
    </row>
    <row r="634">
      <c r="M634" s="31"/>
      <c r="N634" s="31"/>
    </row>
    <row r="635">
      <c r="M635" s="31"/>
      <c r="N635" s="31"/>
    </row>
    <row r="636">
      <c r="M636" s="31"/>
      <c r="N636" s="31"/>
    </row>
    <row r="637">
      <c r="M637" s="31"/>
      <c r="N637" s="31"/>
    </row>
    <row r="638">
      <c r="M638" s="31"/>
      <c r="N638" s="31"/>
    </row>
    <row r="639">
      <c r="M639" s="31"/>
      <c r="N639" s="31"/>
    </row>
    <row r="640">
      <c r="M640" s="31"/>
      <c r="N640" s="31"/>
    </row>
    <row r="641">
      <c r="M641" s="31"/>
      <c r="N641" s="31"/>
    </row>
    <row r="642">
      <c r="M642" s="31"/>
      <c r="N642" s="31"/>
    </row>
    <row r="643">
      <c r="M643" s="31"/>
      <c r="N643" s="31"/>
    </row>
    <row r="644">
      <c r="M644" s="31"/>
      <c r="N644" s="31"/>
    </row>
    <row r="645">
      <c r="M645" s="31"/>
      <c r="N645" s="31"/>
    </row>
    <row r="646">
      <c r="M646" s="31"/>
      <c r="N646" s="31"/>
    </row>
    <row r="647">
      <c r="M647" s="31"/>
      <c r="N647" s="31"/>
    </row>
    <row r="648">
      <c r="M648" s="31"/>
      <c r="N648" s="31"/>
    </row>
    <row r="649">
      <c r="M649" s="31"/>
      <c r="N649" s="31"/>
    </row>
    <row r="650">
      <c r="M650" s="31"/>
      <c r="N650" s="31"/>
    </row>
    <row r="651">
      <c r="M651" s="31"/>
      <c r="N651" s="31"/>
    </row>
    <row r="652">
      <c r="M652" s="31"/>
      <c r="N652" s="31"/>
    </row>
    <row r="653">
      <c r="M653" s="31"/>
      <c r="N653" s="31"/>
    </row>
    <row r="654">
      <c r="M654" s="31"/>
      <c r="N654" s="31"/>
    </row>
    <row r="655">
      <c r="M655" s="31"/>
      <c r="N655" s="31"/>
    </row>
    <row r="656">
      <c r="M656" s="31"/>
      <c r="N656" s="31"/>
    </row>
    <row r="657">
      <c r="M657" s="31"/>
      <c r="N657" s="31"/>
    </row>
    <row r="658">
      <c r="M658" s="31"/>
      <c r="N658" s="31"/>
    </row>
    <row r="659">
      <c r="M659" s="31"/>
      <c r="N659" s="31"/>
    </row>
    <row r="660">
      <c r="M660" s="31"/>
      <c r="N660" s="31"/>
    </row>
    <row r="661">
      <c r="M661" s="31"/>
      <c r="N661" s="31"/>
    </row>
    <row r="662">
      <c r="M662" s="31"/>
      <c r="N662" s="31"/>
    </row>
    <row r="663">
      <c r="M663" s="31"/>
      <c r="N663" s="31"/>
    </row>
    <row r="664">
      <c r="M664" s="31"/>
      <c r="N664" s="31"/>
    </row>
    <row r="665">
      <c r="M665" s="31"/>
      <c r="N665" s="31"/>
    </row>
    <row r="666">
      <c r="M666" s="31"/>
      <c r="N666" s="31"/>
    </row>
    <row r="667">
      <c r="M667" s="31"/>
      <c r="N667" s="31"/>
    </row>
    <row r="668">
      <c r="M668" s="31"/>
      <c r="N668" s="31"/>
    </row>
    <row r="669">
      <c r="M669" s="31"/>
      <c r="N669" s="31"/>
    </row>
    <row r="670">
      <c r="M670" s="31"/>
      <c r="N670" s="31"/>
    </row>
    <row r="671">
      <c r="M671" s="31"/>
      <c r="N671" s="31"/>
    </row>
    <row r="672">
      <c r="M672" s="31"/>
      <c r="N672" s="31"/>
    </row>
    <row r="673">
      <c r="M673" s="31"/>
      <c r="N673" s="31"/>
    </row>
    <row r="674">
      <c r="M674" s="31"/>
      <c r="N674" s="31"/>
    </row>
    <row r="675">
      <c r="M675" s="31"/>
      <c r="N675" s="31"/>
    </row>
    <row r="676">
      <c r="M676" s="31"/>
      <c r="N676" s="31"/>
    </row>
    <row r="677">
      <c r="M677" s="31"/>
      <c r="N677" s="31"/>
    </row>
    <row r="678">
      <c r="M678" s="31"/>
      <c r="N678" s="31"/>
    </row>
    <row r="679">
      <c r="M679" s="31"/>
      <c r="N679" s="31"/>
    </row>
    <row r="680">
      <c r="M680" s="31"/>
      <c r="N680" s="31"/>
    </row>
    <row r="681">
      <c r="M681" s="31"/>
      <c r="N681" s="31"/>
    </row>
    <row r="682">
      <c r="M682" s="31"/>
      <c r="N682" s="31"/>
    </row>
    <row r="683">
      <c r="M683" s="31"/>
      <c r="N683" s="31"/>
    </row>
    <row r="684">
      <c r="M684" s="31"/>
      <c r="N684" s="31"/>
    </row>
    <row r="685">
      <c r="M685" s="31"/>
      <c r="N685" s="31"/>
    </row>
    <row r="686">
      <c r="M686" s="31"/>
      <c r="N686" s="31"/>
    </row>
    <row r="687">
      <c r="M687" s="31"/>
      <c r="N687" s="31"/>
    </row>
    <row r="688">
      <c r="M688" s="31"/>
      <c r="N688" s="31"/>
    </row>
    <row r="689">
      <c r="M689" s="31"/>
      <c r="N689" s="31"/>
    </row>
    <row r="690">
      <c r="M690" s="31"/>
      <c r="N690" s="31"/>
    </row>
    <row r="691">
      <c r="M691" s="31"/>
      <c r="N691" s="31"/>
    </row>
    <row r="692">
      <c r="M692" s="31"/>
      <c r="N692" s="31"/>
    </row>
    <row r="693">
      <c r="M693" s="31"/>
      <c r="N693" s="31"/>
    </row>
    <row r="694">
      <c r="M694" s="31"/>
      <c r="N694" s="31"/>
    </row>
    <row r="695">
      <c r="M695" s="31"/>
      <c r="N695" s="31"/>
    </row>
    <row r="696">
      <c r="M696" s="31"/>
      <c r="N696" s="31"/>
    </row>
    <row r="697">
      <c r="M697" s="31"/>
      <c r="N697" s="31"/>
    </row>
    <row r="698">
      <c r="M698" s="31"/>
      <c r="N698" s="31"/>
    </row>
    <row r="699">
      <c r="M699" s="31"/>
      <c r="N699" s="31"/>
    </row>
    <row r="700">
      <c r="M700" s="31"/>
      <c r="N700" s="31"/>
    </row>
    <row r="701">
      <c r="M701" s="31"/>
      <c r="N701" s="31"/>
    </row>
    <row r="702">
      <c r="M702" s="31"/>
      <c r="N702" s="31"/>
    </row>
    <row r="703">
      <c r="M703" s="31"/>
      <c r="N703" s="31"/>
    </row>
    <row r="704">
      <c r="M704" s="31"/>
      <c r="N704" s="31"/>
    </row>
    <row r="705">
      <c r="M705" s="31"/>
      <c r="N705" s="31"/>
    </row>
    <row r="706">
      <c r="M706" s="31"/>
      <c r="N706" s="31"/>
    </row>
    <row r="707">
      <c r="M707" s="31"/>
      <c r="N707" s="31"/>
    </row>
    <row r="708">
      <c r="M708" s="31"/>
      <c r="N708" s="31"/>
    </row>
    <row r="709">
      <c r="M709" s="31"/>
      <c r="N709" s="31"/>
    </row>
    <row r="710">
      <c r="M710" s="31"/>
      <c r="N710" s="31"/>
    </row>
    <row r="711">
      <c r="M711" s="31"/>
      <c r="N711" s="31"/>
    </row>
    <row r="712">
      <c r="M712" s="31"/>
      <c r="N712" s="31"/>
    </row>
    <row r="713">
      <c r="M713" s="31"/>
      <c r="N713" s="31"/>
    </row>
    <row r="714">
      <c r="M714" s="31"/>
      <c r="N714" s="31"/>
    </row>
    <row r="715">
      <c r="M715" s="31"/>
      <c r="N715" s="31"/>
    </row>
    <row r="716">
      <c r="M716" s="31"/>
      <c r="N716" s="31"/>
    </row>
    <row r="717">
      <c r="M717" s="31"/>
      <c r="N717" s="31"/>
    </row>
    <row r="718">
      <c r="M718" s="31"/>
      <c r="N718" s="31"/>
    </row>
    <row r="719">
      <c r="M719" s="31"/>
      <c r="N719" s="31"/>
    </row>
    <row r="720">
      <c r="M720" s="31"/>
      <c r="N720" s="31"/>
    </row>
    <row r="721">
      <c r="M721" s="31"/>
      <c r="N721" s="31"/>
    </row>
    <row r="722">
      <c r="M722" s="31"/>
      <c r="N722" s="31"/>
    </row>
    <row r="723">
      <c r="M723" s="31"/>
      <c r="N723" s="31"/>
    </row>
    <row r="724">
      <c r="M724" s="31"/>
      <c r="N724" s="31"/>
    </row>
    <row r="725">
      <c r="M725" s="31"/>
      <c r="N725" s="31"/>
    </row>
    <row r="726">
      <c r="M726" s="31"/>
      <c r="N726" s="31"/>
    </row>
    <row r="727">
      <c r="M727" s="31"/>
      <c r="N727" s="31"/>
    </row>
    <row r="728">
      <c r="M728" s="31"/>
      <c r="N728" s="31"/>
    </row>
    <row r="729">
      <c r="M729" s="31"/>
      <c r="N729" s="31"/>
    </row>
    <row r="730">
      <c r="M730" s="31"/>
      <c r="N730" s="31"/>
    </row>
    <row r="731">
      <c r="M731" s="31"/>
      <c r="N731" s="31"/>
    </row>
    <row r="732">
      <c r="M732" s="31"/>
      <c r="N732" s="31"/>
    </row>
    <row r="733">
      <c r="M733" s="31"/>
      <c r="N733" s="31"/>
    </row>
    <row r="734">
      <c r="M734" s="31"/>
      <c r="N734" s="31"/>
    </row>
    <row r="735">
      <c r="M735" s="31"/>
      <c r="N735" s="31"/>
    </row>
    <row r="736">
      <c r="M736" s="31"/>
      <c r="N736" s="31"/>
    </row>
    <row r="737">
      <c r="M737" s="31"/>
      <c r="N737" s="31"/>
    </row>
    <row r="738">
      <c r="M738" s="31"/>
      <c r="N738" s="31"/>
    </row>
    <row r="739">
      <c r="M739" s="31"/>
      <c r="N739" s="31"/>
    </row>
    <row r="740">
      <c r="M740" s="31"/>
      <c r="N740" s="31"/>
    </row>
    <row r="741">
      <c r="M741" s="31"/>
      <c r="N741" s="31"/>
    </row>
    <row r="742">
      <c r="M742" s="31"/>
      <c r="N742" s="31"/>
    </row>
    <row r="743">
      <c r="M743" s="31"/>
      <c r="N743" s="31"/>
    </row>
    <row r="744">
      <c r="M744" s="31"/>
      <c r="N744" s="31"/>
    </row>
    <row r="745">
      <c r="M745" s="31"/>
      <c r="N745" s="31"/>
    </row>
    <row r="746">
      <c r="M746" s="31"/>
      <c r="N746" s="31"/>
    </row>
    <row r="747">
      <c r="M747" s="31"/>
      <c r="N747" s="31"/>
    </row>
    <row r="748">
      <c r="M748" s="31"/>
      <c r="N748" s="31"/>
    </row>
    <row r="749">
      <c r="M749" s="31"/>
      <c r="N749" s="31"/>
    </row>
    <row r="750">
      <c r="M750" s="31"/>
      <c r="N750" s="31"/>
    </row>
    <row r="751">
      <c r="M751" s="31"/>
      <c r="N751" s="31"/>
    </row>
    <row r="752">
      <c r="M752" s="31"/>
      <c r="N752" s="31"/>
    </row>
    <row r="753">
      <c r="M753" s="31"/>
      <c r="N753" s="31"/>
    </row>
    <row r="754">
      <c r="M754" s="31"/>
      <c r="N754" s="31"/>
    </row>
    <row r="755">
      <c r="M755" s="31"/>
      <c r="N755" s="31"/>
    </row>
    <row r="756">
      <c r="M756" s="31"/>
      <c r="N756" s="31"/>
    </row>
    <row r="757">
      <c r="M757" s="31"/>
      <c r="N757" s="31"/>
    </row>
    <row r="758">
      <c r="M758" s="31"/>
      <c r="N758" s="31"/>
    </row>
    <row r="759">
      <c r="M759" s="31"/>
      <c r="N759" s="31"/>
    </row>
    <row r="760">
      <c r="M760" s="31"/>
      <c r="N760" s="31"/>
    </row>
    <row r="761">
      <c r="M761" s="31"/>
      <c r="N761" s="31"/>
    </row>
    <row r="762">
      <c r="M762" s="31"/>
      <c r="N762" s="31"/>
    </row>
    <row r="763">
      <c r="M763" s="31"/>
      <c r="N763" s="31"/>
    </row>
    <row r="764">
      <c r="M764" s="31"/>
      <c r="N764" s="31"/>
    </row>
    <row r="765">
      <c r="M765" s="31"/>
      <c r="N765" s="31"/>
    </row>
    <row r="766">
      <c r="M766" s="31"/>
      <c r="N766" s="31"/>
    </row>
    <row r="767">
      <c r="M767" s="31"/>
      <c r="N767" s="31"/>
    </row>
    <row r="768">
      <c r="M768" s="31"/>
      <c r="N768" s="31"/>
    </row>
    <row r="769">
      <c r="M769" s="31"/>
      <c r="N769" s="31"/>
    </row>
    <row r="770">
      <c r="M770" s="31"/>
      <c r="N770" s="31"/>
    </row>
    <row r="771">
      <c r="M771" s="31"/>
      <c r="N771" s="31"/>
    </row>
    <row r="772">
      <c r="M772" s="31"/>
      <c r="N772" s="31"/>
    </row>
    <row r="773">
      <c r="M773" s="31"/>
      <c r="N773" s="31"/>
    </row>
    <row r="774">
      <c r="M774" s="31"/>
      <c r="N774" s="31"/>
    </row>
    <row r="775">
      <c r="M775" s="31"/>
      <c r="N775" s="31"/>
    </row>
    <row r="776">
      <c r="M776" s="31"/>
      <c r="N776" s="31"/>
    </row>
    <row r="777">
      <c r="M777" s="31"/>
      <c r="N777" s="31"/>
    </row>
    <row r="778">
      <c r="M778" s="31"/>
      <c r="N778" s="31"/>
    </row>
    <row r="779">
      <c r="M779" s="31"/>
      <c r="N779" s="31"/>
    </row>
    <row r="780">
      <c r="M780" s="31"/>
      <c r="N780" s="31"/>
    </row>
    <row r="781">
      <c r="M781" s="31"/>
      <c r="N781" s="31"/>
    </row>
    <row r="782">
      <c r="M782" s="31"/>
      <c r="N782" s="31"/>
    </row>
    <row r="783">
      <c r="M783" s="31"/>
      <c r="N783" s="31"/>
    </row>
    <row r="784">
      <c r="M784" s="31"/>
      <c r="N784" s="31"/>
    </row>
    <row r="785">
      <c r="M785" s="31"/>
      <c r="N785" s="31"/>
    </row>
    <row r="786">
      <c r="M786" s="31"/>
      <c r="N786" s="31"/>
    </row>
    <row r="787">
      <c r="M787" s="31"/>
      <c r="N787" s="31"/>
    </row>
    <row r="788">
      <c r="M788" s="31"/>
      <c r="N788" s="31"/>
    </row>
    <row r="789">
      <c r="M789" s="31"/>
      <c r="N789" s="31"/>
    </row>
    <row r="790">
      <c r="M790" s="31"/>
      <c r="N790" s="31"/>
    </row>
    <row r="791">
      <c r="M791" s="31"/>
      <c r="N791" s="31"/>
    </row>
    <row r="792">
      <c r="M792" s="31"/>
      <c r="N792" s="31"/>
    </row>
    <row r="793">
      <c r="M793" s="31"/>
      <c r="N793" s="31"/>
    </row>
    <row r="794">
      <c r="M794" s="31"/>
      <c r="N794" s="31"/>
    </row>
    <row r="795">
      <c r="M795" s="31"/>
      <c r="N795" s="31"/>
    </row>
    <row r="796">
      <c r="M796" s="31"/>
      <c r="N796" s="31"/>
    </row>
    <row r="797">
      <c r="M797" s="31"/>
      <c r="N797" s="31"/>
    </row>
    <row r="798">
      <c r="M798" s="31"/>
      <c r="N798" s="31"/>
    </row>
    <row r="799">
      <c r="M799" s="31"/>
      <c r="N799" s="31"/>
    </row>
    <row r="800">
      <c r="M800" s="31"/>
      <c r="N800" s="31"/>
    </row>
    <row r="801">
      <c r="M801" s="31"/>
      <c r="N801" s="31"/>
    </row>
    <row r="802">
      <c r="M802" s="31"/>
      <c r="N802" s="31"/>
    </row>
    <row r="803">
      <c r="M803" s="31"/>
      <c r="N803" s="31"/>
    </row>
    <row r="804">
      <c r="M804" s="31"/>
      <c r="N804" s="31"/>
    </row>
    <row r="805">
      <c r="M805" s="31"/>
      <c r="N805" s="31"/>
    </row>
    <row r="806">
      <c r="M806" s="31"/>
      <c r="N806" s="31"/>
    </row>
    <row r="807">
      <c r="M807" s="31"/>
      <c r="N807" s="31"/>
    </row>
    <row r="808">
      <c r="M808" s="31"/>
      <c r="N808" s="31"/>
    </row>
    <row r="809">
      <c r="M809" s="31"/>
      <c r="N809" s="31"/>
    </row>
    <row r="810">
      <c r="M810" s="31"/>
      <c r="N810" s="31"/>
    </row>
    <row r="811">
      <c r="M811" s="31"/>
      <c r="N811" s="31"/>
    </row>
    <row r="812">
      <c r="M812" s="31"/>
      <c r="N812" s="31"/>
    </row>
    <row r="813">
      <c r="M813" s="31"/>
      <c r="N813" s="31"/>
    </row>
    <row r="814">
      <c r="M814" s="31"/>
      <c r="N814" s="31"/>
    </row>
    <row r="815">
      <c r="M815" s="31"/>
      <c r="N815" s="31"/>
    </row>
    <row r="816">
      <c r="M816" s="31"/>
      <c r="N816" s="31"/>
    </row>
    <row r="817">
      <c r="M817" s="31"/>
      <c r="N817" s="31"/>
    </row>
    <row r="818">
      <c r="M818" s="31"/>
      <c r="N818" s="31"/>
    </row>
    <row r="819">
      <c r="M819" s="31"/>
      <c r="N819" s="31"/>
    </row>
    <row r="820">
      <c r="M820" s="31"/>
      <c r="N820" s="31"/>
    </row>
    <row r="821">
      <c r="M821" s="31"/>
      <c r="N821" s="31"/>
    </row>
    <row r="822">
      <c r="M822" s="31"/>
      <c r="N822" s="31"/>
    </row>
    <row r="823">
      <c r="M823" s="31"/>
      <c r="N823" s="31"/>
    </row>
    <row r="824">
      <c r="M824" s="31"/>
      <c r="N824" s="31"/>
    </row>
    <row r="825">
      <c r="M825" s="31"/>
      <c r="N825" s="31"/>
    </row>
    <row r="826">
      <c r="M826" s="31"/>
      <c r="N826" s="31"/>
    </row>
    <row r="827">
      <c r="M827" s="31"/>
      <c r="N827" s="31"/>
    </row>
    <row r="828">
      <c r="M828" s="31"/>
      <c r="N828" s="31"/>
    </row>
    <row r="829">
      <c r="M829" s="31"/>
      <c r="N829" s="31"/>
    </row>
    <row r="830">
      <c r="M830" s="31"/>
      <c r="N830" s="31"/>
    </row>
    <row r="831">
      <c r="M831" s="31"/>
      <c r="N831" s="31"/>
    </row>
    <row r="832">
      <c r="M832" s="31"/>
      <c r="N832" s="31"/>
    </row>
    <row r="833">
      <c r="M833" s="31"/>
      <c r="N833" s="31"/>
    </row>
    <row r="834">
      <c r="M834" s="31"/>
      <c r="N834" s="31"/>
    </row>
    <row r="835">
      <c r="M835" s="31"/>
      <c r="N835" s="31"/>
    </row>
    <row r="836">
      <c r="M836" s="31"/>
      <c r="N836" s="31"/>
    </row>
    <row r="837">
      <c r="M837" s="31"/>
      <c r="N837" s="31"/>
    </row>
    <row r="838">
      <c r="M838" s="31"/>
      <c r="N838" s="31"/>
    </row>
    <row r="839">
      <c r="M839" s="31"/>
      <c r="N839" s="31"/>
    </row>
    <row r="840">
      <c r="M840" s="31"/>
      <c r="N840" s="31"/>
    </row>
    <row r="841">
      <c r="M841" s="31"/>
      <c r="N841" s="31"/>
    </row>
    <row r="842">
      <c r="M842" s="31"/>
      <c r="N842" s="31"/>
    </row>
    <row r="843">
      <c r="M843" s="31"/>
      <c r="N843" s="31"/>
    </row>
    <row r="844">
      <c r="M844" s="31"/>
      <c r="N844" s="31"/>
    </row>
    <row r="845">
      <c r="M845" s="31"/>
      <c r="N845" s="31"/>
    </row>
    <row r="846">
      <c r="M846" s="31"/>
      <c r="N846" s="31"/>
    </row>
    <row r="847">
      <c r="M847" s="31"/>
      <c r="N847" s="31"/>
    </row>
    <row r="848">
      <c r="M848" s="31"/>
      <c r="N848" s="31"/>
    </row>
    <row r="849">
      <c r="M849" s="31"/>
      <c r="N849" s="31"/>
    </row>
    <row r="850">
      <c r="M850" s="31"/>
      <c r="N850" s="31"/>
    </row>
    <row r="851">
      <c r="M851" s="31"/>
      <c r="N851" s="31"/>
    </row>
    <row r="852">
      <c r="M852" s="31"/>
      <c r="N852" s="31"/>
    </row>
    <row r="853">
      <c r="M853" s="31"/>
      <c r="N853" s="31"/>
    </row>
    <row r="854">
      <c r="M854" s="31"/>
      <c r="N854" s="31"/>
    </row>
    <row r="855">
      <c r="M855" s="31"/>
      <c r="N855" s="31"/>
    </row>
    <row r="856">
      <c r="M856" s="31"/>
      <c r="N856" s="31"/>
    </row>
    <row r="857">
      <c r="M857" s="31"/>
      <c r="N857" s="31"/>
    </row>
    <row r="858">
      <c r="M858" s="31"/>
      <c r="N858" s="31"/>
    </row>
    <row r="859">
      <c r="M859" s="31"/>
      <c r="N859" s="31"/>
    </row>
    <row r="860">
      <c r="M860" s="31"/>
      <c r="N860" s="31"/>
    </row>
    <row r="861">
      <c r="M861" s="31"/>
      <c r="N861" s="31"/>
    </row>
    <row r="862">
      <c r="M862" s="31"/>
      <c r="N862" s="31"/>
    </row>
    <row r="863">
      <c r="M863" s="31"/>
      <c r="N863" s="31"/>
    </row>
    <row r="864">
      <c r="M864" s="31"/>
      <c r="N864" s="31"/>
    </row>
    <row r="865">
      <c r="M865" s="31"/>
      <c r="N865" s="31"/>
    </row>
    <row r="866">
      <c r="M866" s="31"/>
      <c r="N866" s="31"/>
    </row>
    <row r="867">
      <c r="M867" s="31"/>
      <c r="N867" s="31"/>
    </row>
    <row r="868">
      <c r="M868" s="31"/>
      <c r="N868" s="31"/>
    </row>
    <row r="869">
      <c r="M869" s="31"/>
      <c r="N869" s="31"/>
    </row>
    <row r="870">
      <c r="M870" s="31"/>
      <c r="N870" s="31"/>
    </row>
    <row r="871">
      <c r="M871" s="31"/>
      <c r="N871" s="31"/>
    </row>
    <row r="872">
      <c r="M872" s="31"/>
      <c r="N872" s="31"/>
    </row>
    <row r="873">
      <c r="M873" s="31"/>
      <c r="N873" s="31"/>
    </row>
    <row r="874">
      <c r="M874" s="31"/>
      <c r="N874" s="31"/>
    </row>
    <row r="875">
      <c r="M875" s="31"/>
      <c r="N875" s="31"/>
    </row>
    <row r="876">
      <c r="M876" s="31"/>
      <c r="N876" s="31"/>
    </row>
    <row r="877">
      <c r="M877" s="31"/>
      <c r="N877" s="31"/>
    </row>
    <row r="878">
      <c r="M878" s="31"/>
      <c r="N878" s="31"/>
    </row>
    <row r="879">
      <c r="M879" s="31"/>
      <c r="N879" s="31"/>
    </row>
    <row r="880">
      <c r="M880" s="31"/>
      <c r="N880" s="31"/>
    </row>
    <row r="881">
      <c r="M881" s="31"/>
      <c r="N881" s="31"/>
    </row>
    <row r="882">
      <c r="M882" s="31"/>
      <c r="N882" s="31"/>
    </row>
    <row r="883">
      <c r="M883" s="31"/>
      <c r="N883" s="31"/>
    </row>
    <row r="884">
      <c r="M884" s="31"/>
      <c r="N884" s="31"/>
    </row>
    <row r="885">
      <c r="M885" s="31"/>
      <c r="N885" s="31"/>
    </row>
    <row r="886">
      <c r="M886" s="31"/>
      <c r="N886" s="31"/>
    </row>
    <row r="887">
      <c r="M887" s="31"/>
      <c r="N887" s="31"/>
    </row>
    <row r="888">
      <c r="M888" s="31"/>
      <c r="N888" s="31"/>
    </row>
    <row r="889">
      <c r="M889" s="31"/>
      <c r="N889" s="31"/>
    </row>
    <row r="890">
      <c r="M890" s="31"/>
      <c r="N890" s="31"/>
    </row>
    <row r="891">
      <c r="M891" s="31"/>
      <c r="N891" s="31"/>
    </row>
    <row r="892">
      <c r="M892" s="31"/>
      <c r="N892" s="31"/>
    </row>
    <row r="893">
      <c r="M893" s="31"/>
      <c r="N893" s="31"/>
    </row>
    <row r="894">
      <c r="M894" s="31"/>
      <c r="N894" s="31"/>
    </row>
    <row r="895">
      <c r="M895" s="31"/>
      <c r="N895" s="31"/>
    </row>
    <row r="896">
      <c r="M896" s="31"/>
      <c r="N896" s="31"/>
    </row>
    <row r="897">
      <c r="M897" s="31"/>
      <c r="N897" s="31"/>
    </row>
    <row r="898">
      <c r="M898" s="31"/>
      <c r="N898" s="31"/>
    </row>
    <row r="899">
      <c r="M899" s="31"/>
      <c r="N899" s="31"/>
    </row>
    <row r="900">
      <c r="M900" s="31"/>
      <c r="N900" s="31"/>
    </row>
    <row r="901">
      <c r="M901" s="31"/>
      <c r="N901" s="31"/>
    </row>
    <row r="902">
      <c r="M902" s="31"/>
      <c r="N902" s="31"/>
    </row>
    <row r="903">
      <c r="M903" s="31"/>
      <c r="N903" s="31"/>
    </row>
    <row r="904">
      <c r="M904" s="31"/>
      <c r="N904" s="31"/>
    </row>
    <row r="905">
      <c r="M905" s="31"/>
      <c r="N905" s="31"/>
    </row>
    <row r="906">
      <c r="M906" s="31"/>
      <c r="N906" s="31"/>
    </row>
    <row r="907">
      <c r="M907" s="31"/>
      <c r="N907" s="31"/>
    </row>
    <row r="908">
      <c r="M908" s="31"/>
      <c r="N908" s="31"/>
    </row>
    <row r="909">
      <c r="M909" s="31"/>
      <c r="N909" s="31"/>
    </row>
    <row r="910">
      <c r="M910" s="31"/>
      <c r="N910" s="31"/>
    </row>
    <row r="911">
      <c r="M911" s="31"/>
      <c r="N911" s="31"/>
    </row>
    <row r="912">
      <c r="M912" s="31"/>
      <c r="N912" s="31"/>
    </row>
    <row r="913">
      <c r="M913" s="31"/>
      <c r="N913" s="31"/>
    </row>
    <row r="914">
      <c r="M914" s="31"/>
      <c r="N914" s="31"/>
    </row>
    <row r="915">
      <c r="M915" s="31"/>
      <c r="N915" s="31"/>
    </row>
    <row r="916">
      <c r="M916" s="31"/>
      <c r="N916" s="31"/>
    </row>
    <row r="917">
      <c r="M917" s="31"/>
      <c r="N917" s="31"/>
    </row>
    <row r="918">
      <c r="M918" s="31"/>
      <c r="N918" s="31"/>
    </row>
    <row r="919">
      <c r="M919" s="31"/>
      <c r="N919" s="31"/>
    </row>
    <row r="920">
      <c r="M920" s="31"/>
      <c r="N920" s="31"/>
    </row>
    <row r="921">
      <c r="M921" s="31"/>
      <c r="N921" s="31"/>
    </row>
    <row r="922">
      <c r="M922" s="31"/>
      <c r="N922" s="31"/>
    </row>
    <row r="923">
      <c r="M923" s="31"/>
      <c r="N923" s="31"/>
    </row>
    <row r="924">
      <c r="M924" s="31"/>
      <c r="N924" s="31"/>
    </row>
    <row r="925">
      <c r="M925" s="31"/>
      <c r="N925" s="31"/>
    </row>
    <row r="926">
      <c r="M926" s="31"/>
      <c r="N926" s="31"/>
    </row>
    <row r="927">
      <c r="M927" s="31"/>
      <c r="N927" s="31"/>
    </row>
    <row r="928">
      <c r="M928" s="31"/>
      <c r="N928" s="31"/>
    </row>
    <row r="929">
      <c r="M929" s="31"/>
      <c r="N929" s="31"/>
    </row>
    <row r="930">
      <c r="M930" s="31"/>
      <c r="N930" s="31"/>
    </row>
    <row r="931">
      <c r="M931" s="31"/>
      <c r="N931" s="31"/>
    </row>
    <row r="932">
      <c r="M932" s="31"/>
      <c r="N932" s="31"/>
    </row>
    <row r="933">
      <c r="M933" s="31"/>
      <c r="N933" s="31"/>
    </row>
    <row r="934">
      <c r="M934" s="31"/>
      <c r="N934" s="31"/>
    </row>
    <row r="935">
      <c r="M935" s="31"/>
      <c r="N935" s="31"/>
    </row>
    <row r="936">
      <c r="M936" s="31"/>
      <c r="N936" s="31"/>
    </row>
    <row r="937">
      <c r="M937" s="31"/>
      <c r="N937" s="31"/>
    </row>
    <row r="938">
      <c r="M938" s="31"/>
      <c r="N938" s="31"/>
    </row>
    <row r="939">
      <c r="M939" s="31"/>
      <c r="N939" s="31"/>
    </row>
    <row r="940">
      <c r="M940" s="31"/>
      <c r="N940" s="31"/>
    </row>
    <row r="941">
      <c r="M941" s="31"/>
      <c r="N941" s="31"/>
    </row>
    <row r="942">
      <c r="M942" s="31"/>
      <c r="N942" s="31"/>
    </row>
    <row r="943">
      <c r="M943" s="31"/>
      <c r="N943" s="31"/>
    </row>
    <row r="944">
      <c r="M944" s="31"/>
      <c r="N944" s="31"/>
    </row>
    <row r="945">
      <c r="M945" s="31"/>
      <c r="N945" s="31"/>
    </row>
    <row r="946">
      <c r="M946" s="31"/>
      <c r="N946" s="31"/>
    </row>
    <row r="947">
      <c r="M947" s="31"/>
      <c r="N947" s="31"/>
    </row>
    <row r="948">
      <c r="M948" s="31"/>
      <c r="N948" s="31"/>
    </row>
    <row r="949">
      <c r="M949" s="31"/>
      <c r="N949" s="31"/>
    </row>
    <row r="950">
      <c r="M950" s="31"/>
      <c r="N950" s="31"/>
    </row>
    <row r="951">
      <c r="M951" s="31"/>
      <c r="N951" s="31"/>
    </row>
    <row r="952">
      <c r="M952" s="31"/>
      <c r="N952" s="31"/>
    </row>
    <row r="953">
      <c r="M953" s="31"/>
      <c r="N953" s="31"/>
    </row>
    <row r="954">
      <c r="M954" s="31"/>
      <c r="N954" s="31"/>
    </row>
    <row r="955">
      <c r="M955" s="31"/>
      <c r="N955" s="31"/>
    </row>
    <row r="956">
      <c r="M956" s="31"/>
      <c r="N956" s="31"/>
    </row>
    <row r="957">
      <c r="M957" s="31"/>
      <c r="N957" s="31"/>
    </row>
    <row r="958">
      <c r="M958" s="31"/>
      <c r="N958" s="31"/>
    </row>
    <row r="959">
      <c r="M959" s="31"/>
      <c r="N959" s="31"/>
    </row>
    <row r="960">
      <c r="M960" s="31"/>
      <c r="N960" s="31"/>
    </row>
    <row r="961">
      <c r="M961" s="31"/>
      <c r="N961" s="31"/>
    </row>
    <row r="962">
      <c r="M962" s="31"/>
      <c r="N962" s="31"/>
    </row>
    <row r="963">
      <c r="M963" s="31"/>
      <c r="N963" s="31"/>
    </row>
    <row r="964">
      <c r="M964" s="31"/>
      <c r="N964" s="31"/>
    </row>
    <row r="965">
      <c r="M965" s="31"/>
      <c r="N965" s="31"/>
    </row>
    <row r="966">
      <c r="M966" s="31"/>
      <c r="N966" s="31"/>
    </row>
    <row r="967">
      <c r="M967" s="31"/>
      <c r="N967" s="31"/>
    </row>
    <row r="968">
      <c r="M968" s="31"/>
      <c r="N968" s="31"/>
    </row>
    <row r="969">
      <c r="M969" s="31"/>
      <c r="N969" s="31"/>
    </row>
    <row r="970">
      <c r="M970" s="31"/>
      <c r="N970" s="31"/>
    </row>
    <row r="971">
      <c r="M971" s="31"/>
      <c r="N971" s="31"/>
    </row>
    <row r="972">
      <c r="M972" s="31"/>
      <c r="N972" s="31"/>
    </row>
    <row r="973">
      <c r="M973" s="31"/>
      <c r="N973" s="31"/>
    </row>
    <row r="974">
      <c r="M974" s="31"/>
      <c r="N974" s="31"/>
    </row>
    <row r="975">
      <c r="M975" s="31"/>
      <c r="N975" s="31"/>
    </row>
    <row r="976">
      <c r="M976" s="31"/>
      <c r="N976" s="31"/>
    </row>
    <row r="977">
      <c r="M977" s="31"/>
      <c r="N977" s="31"/>
    </row>
    <row r="978">
      <c r="M978" s="31"/>
      <c r="N978" s="31"/>
    </row>
    <row r="979">
      <c r="M979" s="31"/>
      <c r="N979" s="31"/>
    </row>
    <row r="980">
      <c r="M980" s="31"/>
      <c r="N980" s="31"/>
    </row>
    <row r="981">
      <c r="M981" s="31"/>
      <c r="N981" s="31"/>
    </row>
    <row r="982">
      <c r="M982" s="31"/>
      <c r="N982" s="31"/>
    </row>
    <row r="983">
      <c r="M983" s="31"/>
      <c r="N983" s="31"/>
    </row>
    <row r="984">
      <c r="M984" s="31"/>
      <c r="N984" s="31"/>
    </row>
    <row r="985">
      <c r="M985" s="31"/>
      <c r="N985" s="31"/>
    </row>
    <row r="986">
      <c r="M986" s="31"/>
      <c r="N986" s="31"/>
    </row>
    <row r="987">
      <c r="M987" s="31"/>
      <c r="N987" s="31"/>
    </row>
    <row r="988">
      <c r="M988" s="31"/>
      <c r="N988" s="31"/>
    </row>
    <row r="989">
      <c r="M989" s="31"/>
      <c r="N989" s="31"/>
    </row>
    <row r="990">
      <c r="M990" s="31"/>
      <c r="N990" s="31"/>
    </row>
    <row r="991">
      <c r="M991" s="31"/>
      <c r="N991" s="31"/>
    </row>
    <row r="992">
      <c r="M992" s="31"/>
      <c r="N992" s="31"/>
    </row>
    <row r="993">
      <c r="M993" s="31"/>
      <c r="N993" s="31"/>
    </row>
    <row r="994">
      <c r="M994" s="31"/>
      <c r="N994" s="31"/>
    </row>
    <row r="995">
      <c r="M995" s="31"/>
      <c r="N995" s="31"/>
    </row>
    <row r="996">
      <c r="M996" s="31"/>
      <c r="N996" s="31"/>
    </row>
    <row r="997">
      <c r="M997" s="31"/>
      <c r="N997" s="31"/>
    </row>
    <row r="998">
      <c r="M998" s="31"/>
      <c r="N998" s="31"/>
    </row>
    <row r="999">
      <c r="M999" s="31"/>
      <c r="N999" s="31"/>
    </row>
  </sheetData>
  <mergeCells count="5">
    <mergeCell ref="A1:A2"/>
    <mergeCell ref="B1:B2"/>
    <mergeCell ref="C1:C2"/>
    <mergeCell ref="D1:D2"/>
    <mergeCell ref="E1:E2"/>
  </mergeCells>
  <conditionalFormatting sqref="F3:G37 H3:AT38 AU3:AX31 AU35 AX35 G39">
    <cfRule type="cellIs" dxfId="3" priority="1" operator="equal">
      <formula>1</formula>
    </cfRule>
  </conditionalFormatting>
  <conditionalFormatting sqref="F3:G37 H3:AT38 AU8 AX8 AW25:AX25 AU35 AX35 AU37:AX37 G39">
    <cfRule type="cellIs" dxfId="4" priority="2" operator="equal">
      <formula>"R"</formula>
    </cfRule>
  </conditionalFormatting>
  <conditionalFormatting sqref="B3:B31 C3:C38 B37">
    <cfRule type="cellIs" dxfId="5" priority="3" operator="greaterThanOrEqual">
      <formula>3</formula>
    </cfRule>
  </conditionalFormatting>
  <conditionalFormatting sqref="B3:B24 B26:B31 B37">
    <cfRule type="cellIs" dxfId="6" priority="4" operator="lessThan">
      <formula>1</formula>
    </cfRule>
  </conditionalFormatting>
  <conditionalFormatting sqref="B3:B32 C3:C41 B37">
    <cfRule type="cellIs" dxfId="7" priority="5" operator="equal">
      <formula>0</formula>
    </cfRule>
  </conditionalFormatting>
  <conditionalFormatting sqref="B3:B31 C3:C38 B37">
    <cfRule type="cellIs" dxfId="8" priority="6" operator="lessThan">
      <formula>2</formula>
    </cfRule>
  </conditionalFormatting>
  <conditionalFormatting sqref="B3:B31 C3:C38 B37">
    <cfRule type="cellIs" dxfId="9" priority="7" operator="lessThan">
      <formula>3</formula>
    </cfRule>
  </conditionalFormatting>
  <conditionalFormatting sqref="B3:B32 C3:C41 B37">
    <cfRule type="containsBlanks" dxfId="6" priority="8">
      <formula>LEN(TRIM(B3))=0</formula>
    </cfRule>
  </conditionalFormatting>
  <conditionalFormatting sqref="F3:G37 H3:AT38 AU8 AX8 AW25:AX25 AU35 AX35 AU37:AX37 G39">
    <cfRule type="cellIs" dxfId="10" priority="9" operator="equal">
      <formula>"R2"</formula>
    </cfRule>
  </conditionalFormatting>
  <conditionalFormatting sqref="F38:F41 G39:AX41">
    <cfRule type="cellIs" dxfId="7" priority="10" operator="lessThan">
      <formula>1</formula>
    </cfRule>
  </conditionalFormatting>
  <conditionalFormatting sqref="F39 G39:G40 H39:AX39">
    <cfRule type="cellIs" dxfId="3" priority="11" operator="equal">
      <formula>1</formula>
    </cfRule>
  </conditionalFormatting>
  <conditionalFormatting sqref="F38:F41 G39:AX41">
    <cfRule type="cellIs" dxfId="11" priority="12" operator="greaterThan">
      <formula>1</formula>
    </cfRule>
  </conditionalFormatting>
  <conditionalFormatting sqref="D3:E41">
    <cfRule type="cellIs" dxfId="9" priority="13" operator="equal">
      <formula>1</formula>
    </cfRule>
  </conditionalFormatting>
  <conditionalFormatting sqref="F4:AQ5 F25:O25 AH25:AX25 AF31:AF36 AI31 F33:AE36 AG33:AH36 AI33:AI34 AJ33:AX36 F38:AX41">
    <cfRule type="cellIs" dxfId="7" priority="14" operator="lessThan">
      <formula>1</formula>
    </cfRule>
  </conditionalFormatting>
  <conditionalFormatting sqref="F4:AQ5 F25:O25 AH25:AX25 AF31:AF36 AI31 F33:AE36 AG33:AH36 AI33:AI34 AJ33:AX36 F38:AX41">
    <cfRule type="cellIs" dxfId="12" priority="15" operator="equal">
      <formula>1</formula>
    </cfRule>
  </conditionalFormatting>
  <conditionalFormatting sqref="F4:AQ5 F25:O25 AH25:AX25 AF31:AF36 AI31 F33:AE36 AG33:AH36 AI33:AI34 AJ33:AX36 F38:AX41">
    <cfRule type="cellIs" dxfId="11" priority="16" operator="greaterThan">
      <formula>1</formula>
    </cfRule>
  </conditionalFormatting>
  <conditionalFormatting sqref="D3:D41 E3:E38">
    <cfRule type="cellIs" dxfId="7" priority="17" operator="equal">
      <formula>0</formula>
    </cfRule>
  </conditionalFormatting>
  <conditionalFormatting sqref="D3:D41 E3:E38">
    <cfRule type="cellIs" dxfId="4" priority="18" operator="equal">
      <formula>2</formula>
    </cfRule>
  </conditionalFormatting>
  <conditionalFormatting sqref="E3:E41">
    <cfRule type="cellIs" dxfId="7" priority="19" operator="equal">
      <formula>0</formula>
    </cfRule>
  </conditionalFormatting>
  <conditionalFormatting sqref="E3:E41">
    <cfRule type="cellIs" dxfId="4" priority="20" operator="greaterThanOrEqual">
      <formula>2</formula>
    </cfRule>
  </conditionalFormatting>
  <conditionalFormatting sqref="C44">
    <cfRule type="notContainsBlanks" dxfId="3" priority="21">
      <formula>LEN(TRIM(C44))&gt;0</formula>
    </cfRule>
  </conditionalFormatting>
  <conditionalFormatting sqref="AR2:AX2">
    <cfRule type="containsText" dxfId="13" priority="22" operator="containsText" text="(PAM)">
      <formula>NOT(ISERROR(SEARCH(("(PAM)"),(AR2))))</formula>
    </cfRule>
  </conditionalFormatting>
  <conditionalFormatting sqref="AR2:AX2">
    <cfRule type="containsText" dxfId="13" priority="23" operator="containsText" text="(PPM)">
      <formula>NOT(ISERROR(SEARCH(("(PPM)"),(AR2))))</formula>
    </cfRule>
  </conditionalFormatting>
  <conditionalFormatting sqref="F2:AX2">
    <cfRule type="containsText" dxfId="13" priority="24" operator="containsText" text="PAM">
      <formula>NOT(ISERROR(SEARCH(("PAM"),(F2))))</formula>
    </cfRule>
  </conditionalFormatting>
  <conditionalFormatting sqref="F2:AX2">
    <cfRule type="containsText" dxfId="13" priority="25" operator="containsText" text="PPM">
      <formula>NOT(ISERROR(SEARCH(("PPM"),(F2))))</formula>
    </cfRule>
  </conditionalFormatting>
  <conditionalFormatting sqref="F2:AX2">
    <cfRule type="containsText" dxfId="11" priority="26" operator="containsText" text="(AM)">
      <formula>NOT(ISERROR(SEARCH(("(AM)"),(F2))))</formula>
    </cfRule>
  </conditionalFormatting>
  <conditionalFormatting sqref="F2:AX2">
    <cfRule type="containsText" dxfId="7" priority="27" operator="containsText" text="(PM)">
      <formula>NOT(ISERROR(SEARCH(("(PM)"),(F2))))</formula>
    </cfRule>
  </conditionalFormatting>
  <conditionalFormatting sqref="F2:AX2">
    <cfRule type="notContainsText" dxfId="15" priority="28" operator="notContains" text="(AM)">
      <formula>ISERROR(SEARCH(("(AM)"),(F2)))</formula>
    </cfRule>
  </conditionalFormatting>
  <conditionalFormatting sqref="F2:AX2">
    <cfRule type="notContainsText" dxfId="15" priority="29" operator="notContains" text="(PM)">
      <formula>ISERROR(SEARCH(("(PM)"),(F2)))</formula>
    </cfRule>
  </conditionalFormatting>
  <conditionalFormatting sqref="F2:AX2">
    <cfRule type="notContainsText" dxfId="15" priority="30" operator="notContains" text="(PM)">
      <formula>ISERROR(SEARCH(("(PM)"),(F2)))</formula>
    </cfRule>
  </conditionalFormatting>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49.5"/>
    <col customWidth="1" hidden="1" min="2" max="2" width="11.38"/>
    <col customWidth="1" min="3" max="3" width="7.38"/>
    <col customWidth="1" min="4" max="4" width="3.13"/>
    <col customWidth="1" min="5" max="5" width="5.13"/>
    <col customWidth="1" min="6" max="15" width="8.63"/>
    <col customWidth="1" min="16" max="16" width="8.25"/>
    <col customWidth="1" min="17" max="43" width="8.63"/>
    <col customWidth="1" min="44" max="45" width="9.5"/>
    <col customWidth="1" hidden="1" min="46" max="50" width="9.5"/>
  </cols>
  <sheetData>
    <row r="1" ht="25.5" customHeight="1">
      <c r="A1" s="1" t="s">
        <v>0</v>
      </c>
      <c r="B1" s="1" t="s">
        <v>1</v>
      </c>
      <c r="C1" s="1" t="s">
        <v>682</v>
      </c>
      <c r="D1" s="1" t="s">
        <v>683</v>
      </c>
      <c r="E1" s="1" t="s">
        <v>62</v>
      </c>
      <c r="F1" s="2" t="s">
        <v>426</v>
      </c>
      <c r="G1" s="2" t="s">
        <v>427</v>
      </c>
      <c r="H1" s="2" t="s">
        <v>420</v>
      </c>
      <c r="I1" s="2" t="s">
        <v>420</v>
      </c>
      <c r="J1" s="2" t="s">
        <v>422</v>
      </c>
      <c r="K1" s="2" t="s">
        <v>422</v>
      </c>
      <c r="L1" s="2" t="s">
        <v>423</v>
      </c>
      <c r="M1" s="2" t="s">
        <v>423</v>
      </c>
      <c r="N1" s="2" t="s">
        <v>424</v>
      </c>
      <c r="O1" s="2" t="s">
        <v>425</v>
      </c>
      <c r="P1" s="2" t="s">
        <v>426</v>
      </c>
      <c r="Q1" s="2" t="s">
        <v>427</v>
      </c>
      <c r="R1" s="2" t="s">
        <v>420</v>
      </c>
      <c r="S1" s="2" t="s">
        <v>420</v>
      </c>
      <c r="T1" s="2" t="s">
        <v>422</v>
      </c>
      <c r="U1" s="2" t="s">
        <v>422</v>
      </c>
      <c r="V1" s="2" t="s">
        <v>423</v>
      </c>
      <c r="W1" s="2" t="s">
        <v>423</v>
      </c>
      <c r="X1" s="2" t="s">
        <v>424</v>
      </c>
      <c r="Y1" s="2" t="s">
        <v>425</v>
      </c>
      <c r="Z1" s="2" t="s">
        <v>426</v>
      </c>
      <c r="AA1" s="2" t="s">
        <v>427</v>
      </c>
      <c r="AB1" s="2" t="s">
        <v>420</v>
      </c>
      <c r="AC1" s="2" t="s">
        <v>422</v>
      </c>
      <c r="AD1" s="2" t="s">
        <v>422</v>
      </c>
      <c r="AE1" s="2" t="s">
        <v>423</v>
      </c>
      <c r="AF1" s="2" t="s">
        <v>423</v>
      </c>
      <c r="AG1" s="2" t="s">
        <v>424</v>
      </c>
      <c r="AH1" s="2" t="s">
        <v>425</v>
      </c>
      <c r="AI1" s="2" t="s">
        <v>426</v>
      </c>
      <c r="AJ1" s="2" t="s">
        <v>427</v>
      </c>
      <c r="AK1" s="2" t="s">
        <v>420</v>
      </c>
      <c r="AL1" s="2" t="s">
        <v>422</v>
      </c>
      <c r="AM1" s="2" t="s">
        <v>422</v>
      </c>
      <c r="AN1" s="2" t="s">
        <v>423</v>
      </c>
      <c r="AO1" s="2" t="s">
        <v>423</v>
      </c>
      <c r="AP1" s="2" t="s">
        <v>424</v>
      </c>
      <c r="AQ1" s="2" t="s">
        <v>425</v>
      </c>
      <c r="AR1" s="2" t="s">
        <v>426</v>
      </c>
      <c r="AS1" s="2" t="s">
        <v>427</v>
      </c>
      <c r="AT1" s="2" t="s">
        <v>684</v>
      </c>
      <c r="AU1" s="54" t="s">
        <v>425</v>
      </c>
      <c r="AV1" s="55" t="s">
        <v>7</v>
      </c>
      <c r="AW1" s="55" t="s">
        <v>8</v>
      </c>
      <c r="AX1" s="55" t="s">
        <v>8</v>
      </c>
    </row>
    <row r="2" ht="25.5" customHeight="1">
      <c r="F2" s="166">
        <v>46113.0</v>
      </c>
      <c r="G2" s="166">
        <v>46114.0</v>
      </c>
      <c r="H2" s="88" t="s">
        <v>746</v>
      </c>
      <c r="I2" s="88" t="s">
        <v>747</v>
      </c>
      <c r="J2" s="88" t="s">
        <v>748</v>
      </c>
      <c r="K2" s="88" t="s">
        <v>749</v>
      </c>
      <c r="L2" s="88" t="s">
        <v>750</v>
      </c>
      <c r="M2" s="88" t="s">
        <v>751</v>
      </c>
      <c r="N2" s="153">
        <v>46118.0</v>
      </c>
      <c r="O2" s="153">
        <v>46119.0</v>
      </c>
      <c r="P2" s="153">
        <v>46120.0</v>
      </c>
      <c r="Q2" s="153">
        <v>46121.0</v>
      </c>
      <c r="R2" s="88" t="s">
        <v>752</v>
      </c>
      <c r="S2" s="88" t="s">
        <v>753</v>
      </c>
      <c r="T2" s="88" t="s">
        <v>754</v>
      </c>
      <c r="U2" s="88" t="s">
        <v>755</v>
      </c>
      <c r="V2" s="88" t="s">
        <v>756</v>
      </c>
      <c r="W2" s="88" t="s">
        <v>757</v>
      </c>
      <c r="X2" s="153">
        <v>46125.0</v>
      </c>
      <c r="Y2" s="153">
        <v>46126.0</v>
      </c>
      <c r="Z2" s="153">
        <v>46127.0</v>
      </c>
      <c r="AA2" s="153">
        <v>46128.0</v>
      </c>
      <c r="AB2" s="153">
        <v>46129.0</v>
      </c>
      <c r="AC2" s="88" t="s">
        <v>758</v>
      </c>
      <c r="AD2" s="88" t="s">
        <v>759</v>
      </c>
      <c r="AE2" s="88" t="s">
        <v>760</v>
      </c>
      <c r="AF2" s="88" t="s">
        <v>761</v>
      </c>
      <c r="AG2" s="153">
        <v>46132.0</v>
      </c>
      <c r="AH2" s="153">
        <v>46133.0</v>
      </c>
      <c r="AI2" s="153">
        <v>46134.0</v>
      </c>
      <c r="AJ2" s="153">
        <v>46135.0</v>
      </c>
      <c r="AK2" s="153">
        <v>46136.0</v>
      </c>
      <c r="AL2" s="88" t="s">
        <v>762</v>
      </c>
      <c r="AM2" s="88" t="s">
        <v>763</v>
      </c>
      <c r="AN2" s="88" t="s">
        <v>764</v>
      </c>
      <c r="AO2" s="88" t="s">
        <v>765</v>
      </c>
      <c r="AP2" s="153">
        <v>46139.0</v>
      </c>
      <c r="AQ2" s="153">
        <v>46140.0</v>
      </c>
      <c r="AR2" s="153">
        <v>46141.0</v>
      </c>
      <c r="AS2" s="153">
        <v>46142.0</v>
      </c>
      <c r="AT2" s="88" t="s">
        <v>715</v>
      </c>
      <c r="AU2" s="51" t="s">
        <v>252</v>
      </c>
      <c r="AV2" s="51" t="s">
        <v>252</v>
      </c>
      <c r="AW2" s="51" t="s">
        <v>253</v>
      </c>
      <c r="AX2" s="51" t="s">
        <v>253</v>
      </c>
    </row>
    <row r="3">
      <c r="A3" s="146" t="s">
        <v>626</v>
      </c>
      <c r="B3" s="40">
        <f t="shared" ref="B3:B8" si="1">SUM(C3:D3)</f>
        <v>3</v>
      </c>
      <c r="C3" s="10">
        <f t="shared" ref="C3:C41" si="2">SUM(F3:AS3)</f>
        <v>2</v>
      </c>
      <c r="D3" s="11">
        <f t="array" ref="D3">SUM(IF(F3:AS3="R",1,0))</f>
        <v>1</v>
      </c>
      <c r="E3" s="11">
        <f t="array" ref="E3">SUM(IF(F3:AS3="R2",1,0))</f>
        <v>1</v>
      </c>
      <c r="Q3" s="17">
        <v>1.0</v>
      </c>
      <c r="T3" s="17" t="s">
        <v>40</v>
      </c>
      <c r="X3" s="17">
        <v>1.0</v>
      </c>
      <c r="AK3" s="17" t="s">
        <v>39</v>
      </c>
      <c r="AQ3" s="167"/>
      <c r="AT3" s="28">
        <f t="shared" ref="AT3:AT38" si="3">sum(D3:E3)</f>
        <v>2</v>
      </c>
    </row>
    <row r="4">
      <c r="A4" s="25" t="s">
        <v>501</v>
      </c>
      <c r="B4" s="10">
        <f t="shared" si="1"/>
        <v>2</v>
      </c>
      <c r="C4" s="10">
        <f t="shared" si="2"/>
        <v>1</v>
      </c>
      <c r="D4" s="11">
        <f t="array" ref="D4">SUM(IF(F4:AS4="R",1,0))</f>
        <v>1</v>
      </c>
      <c r="E4" s="11">
        <f t="array" ref="E4">SUM(IF(F4:AS4="R2",1,0))</f>
        <v>2</v>
      </c>
      <c r="O4" s="17" t="s">
        <v>40</v>
      </c>
      <c r="P4" s="17" t="s">
        <v>39</v>
      </c>
      <c r="T4" s="17"/>
      <c r="X4" s="17" t="s">
        <v>40</v>
      </c>
      <c r="AJ4" s="17">
        <v>1.0</v>
      </c>
      <c r="AL4" s="17"/>
      <c r="AT4" s="28">
        <f t="shared" si="3"/>
        <v>3</v>
      </c>
    </row>
    <row r="5">
      <c r="A5" s="25" t="s">
        <v>502</v>
      </c>
      <c r="B5" s="10">
        <f t="shared" si="1"/>
        <v>1</v>
      </c>
      <c r="C5" s="10">
        <f t="shared" si="2"/>
        <v>0</v>
      </c>
      <c r="D5" s="11">
        <f t="array" ref="D5">SUM(IF(F5:AS5="R",1,0))</f>
        <v>1</v>
      </c>
      <c r="E5" s="11">
        <f t="array" ref="E5">SUM(IF(F5:AS5="R2",1,0))</f>
        <v>2</v>
      </c>
      <c r="F5" s="121"/>
      <c r="G5" s="24" t="s">
        <v>39</v>
      </c>
      <c r="H5" s="17"/>
      <c r="I5" s="17"/>
      <c r="J5" s="16"/>
      <c r="K5" s="16"/>
      <c r="L5" s="16"/>
      <c r="M5" s="16"/>
      <c r="N5" s="16"/>
      <c r="O5" s="16"/>
      <c r="P5" s="16"/>
      <c r="Q5" s="16"/>
      <c r="R5" s="21"/>
      <c r="S5" s="16"/>
      <c r="T5" s="16"/>
      <c r="U5" s="16"/>
      <c r="V5" s="16"/>
      <c r="W5" s="16"/>
      <c r="X5" s="24"/>
      <c r="Y5" s="121"/>
      <c r="Z5" s="121"/>
      <c r="AA5" s="121"/>
      <c r="AC5" s="16"/>
      <c r="AD5" s="16"/>
      <c r="AE5" s="16"/>
      <c r="AF5" s="16"/>
      <c r="AG5" s="24" t="s">
        <v>40</v>
      </c>
      <c r="AH5" s="121"/>
      <c r="AI5" s="21"/>
      <c r="AJ5" s="16"/>
      <c r="AK5" s="17"/>
      <c r="AL5" s="16"/>
      <c r="AM5" s="16"/>
      <c r="AN5" s="16"/>
      <c r="AO5" s="16"/>
      <c r="AP5" s="121"/>
      <c r="AQ5" s="121"/>
      <c r="AR5" s="24" t="s">
        <v>40</v>
      </c>
      <c r="AS5" s="121"/>
      <c r="AT5" s="28">
        <f t="shared" si="3"/>
        <v>3</v>
      </c>
    </row>
    <row r="6">
      <c r="A6" s="14" t="s">
        <v>503</v>
      </c>
      <c r="B6" s="10">
        <f t="shared" si="1"/>
        <v>2</v>
      </c>
      <c r="C6" s="10">
        <f t="shared" si="2"/>
        <v>1</v>
      </c>
      <c r="D6" s="11">
        <f t="array" ref="D6">SUM(IF(F6:AS6="R",1,0))</f>
        <v>1</v>
      </c>
      <c r="E6" s="11">
        <f t="array" ref="E6">SUM(IF(F6:AS6="R2",1,0))</f>
        <v>2</v>
      </c>
      <c r="F6" s="24" t="s">
        <v>40</v>
      </c>
      <c r="G6" s="16"/>
      <c r="H6" s="21"/>
      <c r="I6" s="21"/>
      <c r="J6" s="21"/>
      <c r="K6" s="16"/>
      <c r="L6" s="16"/>
      <c r="M6" s="16"/>
      <c r="N6" s="16"/>
      <c r="O6" s="21"/>
      <c r="P6" s="21"/>
      <c r="Q6" s="21"/>
      <c r="R6" s="16"/>
      <c r="S6" s="16"/>
      <c r="T6" s="16"/>
      <c r="U6" s="16"/>
      <c r="X6" s="121"/>
      <c r="Y6" s="121"/>
      <c r="Z6" s="121"/>
      <c r="AA6" s="24">
        <v>1.0</v>
      </c>
      <c r="AB6" s="16"/>
      <c r="AG6" s="121"/>
      <c r="AH6" s="24"/>
      <c r="AI6" s="24"/>
      <c r="AJ6" s="24" t="s">
        <v>39</v>
      </c>
      <c r="AK6" s="121"/>
      <c r="AN6" s="17" t="s">
        <v>40</v>
      </c>
      <c r="AP6" s="121"/>
      <c r="AQ6" s="121"/>
      <c r="AR6" s="121"/>
      <c r="AS6" s="121"/>
      <c r="AT6" s="28">
        <f t="shared" si="3"/>
        <v>3</v>
      </c>
    </row>
    <row r="7">
      <c r="A7" s="14" t="s">
        <v>504</v>
      </c>
      <c r="B7" s="10">
        <f t="shared" si="1"/>
        <v>1</v>
      </c>
      <c r="C7" s="10">
        <f t="shared" si="2"/>
        <v>1</v>
      </c>
      <c r="D7" s="11">
        <f t="array" ref="D7">SUM(IF(F7:AS7="R",1,0))</f>
        <v>0</v>
      </c>
      <c r="E7" s="11">
        <f t="array" ref="E7">SUM(IF(F7:AS7="R2",1,0))</f>
        <v>1</v>
      </c>
      <c r="F7" s="16"/>
      <c r="G7" s="16"/>
      <c r="H7" s="21"/>
      <c r="I7" s="21"/>
      <c r="J7" s="16"/>
      <c r="K7" s="16"/>
      <c r="L7" s="16"/>
      <c r="M7" s="16"/>
      <c r="N7" s="16"/>
      <c r="O7" s="16"/>
      <c r="P7" s="16"/>
      <c r="Q7" s="16"/>
      <c r="R7" s="16"/>
      <c r="S7" s="16"/>
      <c r="T7" s="16"/>
      <c r="U7" s="16"/>
      <c r="V7" s="16"/>
      <c r="W7" s="16"/>
      <c r="X7" s="121"/>
      <c r="Y7" s="24">
        <v>1.0</v>
      </c>
      <c r="Z7" s="121"/>
      <c r="AA7" s="24" t="s">
        <v>40</v>
      </c>
      <c r="AB7" s="16"/>
      <c r="AC7" s="16"/>
      <c r="AD7" s="16"/>
      <c r="AE7" s="16"/>
      <c r="AF7" s="16"/>
      <c r="AG7" s="16"/>
      <c r="AH7" s="16"/>
      <c r="AI7" s="16"/>
      <c r="AJ7" s="16"/>
      <c r="AK7" s="16"/>
      <c r="AL7" s="16"/>
      <c r="AM7" s="16"/>
      <c r="AN7" s="16"/>
      <c r="AO7" s="16"/>
      <c r="AP7" s="16"/>
      <c r="AQ7" s="16"/>
      <c r="AR7" s="16"/>
      <c r="AS7" s="16"/>
      <c r="AT7" s="28">
        <f t="shared" si="3"/>
        <v>1</v>
      </c>
    </row>
    <row r="8" hidden="1">
      <c r="A8" s="122" t="s">
        <v>505</v>
      </c>
      <c r="B8" s="10">
        <f t="shared" si="1"/>
        <v>0</v>
      </c>
      <c r="C8" s="10">
        <f t="shared" si="2"/>
        <v>0</v>
      </c>
      <c r="D8" s="11">
        <f t="array" ref="D8">SUM(IF(F8:AS8="R",1,0))</f>
        <v>0</v>
      </c>
      <c r="E8" s="11">
        <f t="array" ref="E8">SUM(IF(F8:AS8="R2",1,0))</f>
        <v>0</v>
      </c>
      <c r="AT8" s="28">
        <f t="shared" si="3"/>
        <v>0</v>
      </c>
    </row>
    <row r="9">
      <c r="A9" s="27" t="s">
        <v>672</v>
      </c>
      <c r="B9" s="10"/>
      <c r="C9" s="10">
        <f t="shared" si="2"/>
        <v>3</v>
      </c>
      <c r="D9" s="11">
        <f t="array" ref="D9">SUM(IF(F9:AS9="R",1,0))</f>
        <v>2</v>
      </c>
      <c r="E9" s="11">
        <f t="array" ref="E9">SUM(IF(F9:AS9="R2",1,0))</f>
        <v>1</v>
      </c>
      <c r="F9" s="121"/>
      <c r="G9" s="121"/>
      <c r="H9" s="20">
        <v>1.0</v>
      </c>
      <c r="I9" s="17">
        <v>1.0</v>
      </c>
      <c r="J9" s="16"/>
      <c r="K9" s="16"/>
      <c r="L9" s="16"/>
      <c r="M9" s="16"/>
      <c r="N9" s="21"/>
      <c r="O9" s="16"/>
      <c r="P9" s="16"/>
      <c r="Q9" s="16"/>
      <c r="R9" s="17"/>
      <c r="T9" s="16"/>
      <c r="U9" s="16"/>
      <c r="V9" s="16"/>
      <c r="W9" s="21">
        <v>1.0</v>
      </c>
      <c r="X9" s="121"/>
      <c r="Y9" s="121"/>
      <c r="Z9" s="168"/>
      <c r="AA9" s="121"/>
      <c r="AB9" s="16"/>
      <c r="AC9" s="16"/>
      <c r="AD9" s="16"/>
      <c r="AE9" s="16"/>
      <c r="AF9" s="16"/>
      <c r="AG9" s="20" t="s">
        <v>39</v>
      </c>
      <c r="AH9" s="121"/>
      <c r="AI9" s="24"/>
      <c r="AJ9" s="16"/>
      <c r="AL9" s="16"/>
      <c r="AM9" s="16"/>
      <c r="AN9" s="16"/>
      <c r="AO9" s="16"/>
      <c r="AP9" s="24"/>
      <c r="AQ9" s="24" t="s">
        <v>39</v>
      </c>
      <c r="AR9" s="121"/>
      <c r="AS9" s="24" t="s">
        <v>40</v>
      </c>
      <c r="AT9" s="28">
        <f t="shared" si="3"/>
        <v>3</v>
      </c>
    </row>
    <row r="10">
      <c r="A10" s="125" t="s">
        <v>586</v>
      </c>
      <c r="B10" s="10">
        <f>SUM(C10:D10)</f>
        <v>2</v>
      </c>
      <c r="C10" s="10">
        <f t="shared" si="2"/>
        <v>1</v>
      </c>
      <c r="D10" s="11">
        <f t="array" ref="D10">SUM(IF(F10:AS10="R",1,0))</f>
        <v>1</v>
      </c>
      <c r="E10" s="11">
        <f t="array" ref="E10">SUM(IF(F10:AS10="R2",1,0))</f>
        <v>1</v>
      </c>
      <c r="M10" s="17" t="s">
        <v>39</v>
      </c>
      <c r="O10" s="17">
        <v>1.0</v>
      </c>
      <c r="Q10" s="17" t="s">
        <v>40</v>
      </c>
      <c r="AT10" s="28">
        <f t="shared" si="3"/>
        <v>2</v>
      </c>
    </row>
    <row r="11">
      <c r="A11" s="141" t="s">
        <v>507</v>
      </c>
      <c r="B11" s="10"/>
      <c r="C11" s="10">
        <f t="shared" si="2"/>
        <v>2</v>
      </c>
      <c r="D11" s="11">
        <f t="array" ref="D11">SUM(IF(F11:AS11="R",1,0))</f>
        <v>2</v>
      </c>
      <c r="E11" s="11">
        <f t="array" ref="E11">SUM(IF(F11:AS11="R2",1,0))</f>
        <v>1</v>
      </c>
      <c r="F11" s="16"/>
      <c r="G11" s="16"/>
      <c r="I11" s="17" t="s">
        <v>39</v>
      </c>
      <c r="M11" s="17"/>
      <c r="N11" s="121"/>
      <c r="O11" s="121"/>
      <c r="X11" s="121"/>
      <c r="Y11" s="24"/>
      <c r="Z11" s="17" t="s">
        <v>39</v>
      </c>
      <c r="AA11" s="17"/>
      <c r="AB11" s="17">
        <v>1.0</v>
      </c>
      <c r="AG11" s="121"/>
      <c r="AH11" s="121"/>
      <c r="AJ11" s="17"/>
      <c r="AK11" s="17" t="s">
        <v>40</v>
      </c>
      <c r="AO11" s="17">
        <v>1.0</v>
      </c>
      <c r="AP11" s="121"/>
      <c r="AQ11" s="121"/>
      <c r="AT11" s="28">
        <f t="shared" si="3"/>
        <v>3</v>
      </c>
    </row>
    <row r="12">
      <c r="A12" s="126" t="s">
        <v>508</v>
      </c>
      <c r="B12" s="10"/>
      <c r="C12" s="10">
        <f t="shared" si="2"/>
        <v>1</v>
      </c>
      <c r="D12" s="11">
        <f t="array" ref="D12">SUM(IF(F12:AS12="R",1,0))</f>
        <v>2</v>
      </c>
      <c r="E12" s="11">
        <f t="array" ref="E12">SUM(IF(F12:AS12="R2",1,0))</f>
        <v>1</v>
      </c>
      <c r="H12" s="17" t="s">
        <v>40</v>
      </c>
      <c r="L12" s="16"/>
      <c r="M12" s="16"/>
      <c r="N12" s="21"/>
      <c r="O12" s="16"/>
      <c r="P12" s="16"/>
      <c r="Q12" s="16"/>
      <c r="R12" s="16"/>
      <c r="S12" s="16"/>
      <c r="T12" s="16"/>
      <c r="U12" s="16"/>
      <c r="V12" s="16"/>
      <c r="W12" s="16"/>
      <c r="AB12" s="17" t="s">
        <v>39</v>
      </c>
      <c r="AH12" s="17">
        <v>1.0</v>
      </c>
      <c r="AI12" s="16"/>
      <c r="AJ12" s="16"/>
      <c r="AL12" s="17" t="s">
        <v>39</v>
      </c>
      <c r="AT12" s="28">
        <f t="shared" si="3"/>
        <v>3</v>
      </c>
    </row>
    <row r="13">
      <c r="A13" s="126" t="s">
        <v>766</v>
      </c>
      <c r="B13" s="10"/>
      <c r="C13" s="10">
        <f t="shared" si="2"/>
        <v>1</v>
      </c>
      <c r="D13" s="11">
        <f t="array" ref="D13">SUM(IF(F13:AS13="R",1,0))</f>
        <v>1</v>
      </c>
      <c r="E13" s="11">
        <f t="array" ref="E13">SUM(IF(F13:AS13="R2",1,0))</f>
        <v>3</v>
      </c>
      <c r="L13" s="17" t="s">
        <v>40</v>
      </c>
      <c r="V13" s="17" t="s">
        <v>40</v>
      </c>
      <c r="AE13" s="17" t="s">
        <v>40</v>
      </c>
      <c r="AL13" s="17">
        <v>1.0</v>
      </c>
      <c r="AO13" s="17" t="s">
        <v>39</v>
      </c>
      <c r="AT13" s="28">
        <f t="shared" si="3"/>
        <v>4</v>
      </c>
    </row>
    <row r="14">
      <c r="A14" s="125" t="s">
        <v>725</v>
      </c>
      <c r="B14" s="10">
        <f>SUM(C14:D14)</f>
        <v>3</v>
      </c>
      <c r="C14" s="10">
        <f t="shared" si="2"/>
        <v>2</v>
      </c>
      <c r="D14" s="11">
        <f t="array" ref="D14">SUM(IF(F14:AS14="R",1,0))</f>
        <v>1</v>
      </c>
      <c r="E14" s="11">
        <f t="array" ref="E14">SUM(IF(F14:AS14="R2",1,0))</f>
        <v>1</v>
      </c>
      <c r="F14" s="17">
        <v>1.0</v>
      </c>
      <c r="K14" s="17" t="s">
        <v>39</v>
      </c>
      <c r="Y14" s="17" t="s">
        <v>40</v>
      </c>
      <c r="AE14" s="17">
        <v>1.0</v>
      </c>
      <c r="AT14" s="28">
        <f t="shared" si="3"/>
        <v>2</v>
      </c>
    </row>
    <row r="15" hidden="1">
      <c r="A15" s="20" t="s">
        <v>471</v>
      </c>
      <c r="B15" s="10"/>
      <c r="C15" s="10">
        <f t="shared" si="2"/>
        <v>0</v>
      </c>
      <c r="D15" s="11">
        <f t="array" ref="D15">SUM(IF(F15:AS15="R",1,0))</f>
        <v>0</v>
      </c>
      <c r="E15" s="11">
        <f t="array" ref="E15">SUM(IF(F15:AS15="R2",1,0))</f>
        <v>0</v>
      </c>
      <c r="K15" s="17"/>
      <c r="L15" s="17"/>
      <c r="R15" s="17"/>
      <c r="AM15" s="17"/>
      <c r="AT15" s="28">
        <f t="shared" si="3"/>
        <v>0</v>
      </c>
    </row>
    <row r="16" ht="15.0" customHeight="1">
      <c r="A16" s="26" t="s">
        <v>511</v>
      </c>
      <c r="B16" s="10">
        <f>SUM(C16:D16)</f>
        <v>4</v>
      </c>
      <c r="C16" s="10">
        <f t="shared" si="2"/>
        <v>1</v>
      </c>
      <c r="D16" s="11">
        <f t="array" ref="D16">SUM(IF(F16:AS16="R",1,0))</f>
        <v>3</v>
      </c>
      <c r="E16" s="11">
        <f t="array" ref="E16">SUM(IF(F16:AS16="R2",1,0))</f>
        <v>1</v>
      </c>
      <c r="F16" s="24" t="s">
        <v>39</v>
      </c>
      <c r="J16" s="16"/>
      <c r="K16" s="16"/>
      <c r="L16" s="16"/>
      <c r="M16" s="16"/>
      <c r="N16" s="121"/>
      <c r="O16" s="129"/>
      <c r="P16" s="121"/>
      <c r="Q16" s="129"/>
      <c r="R16" s="129" t="s">
        <v>39</v>
      </c>
      <c r="S16" s="129"/>
      <c r="T16" s="16"/>
      <c r="U16" s="16"/>
      <c r="V16" s="16"/>
      <c r="W16" s="16"/>
      <c r="X16" s="121"/>
      <c r="Y16" s="17" t="s">
        <v>39</v>
      </c>
      <c r="Z16" s="121"/>
      <c r="AB16" s="148"/>
      <c r="AC16" s="131"/>
      <c r="AD16" s="169"/>
      <c r="AE16" s="169"/>
      <c r="AF16" s="131"/>
      <c r="AG16" s="24">
        <v>1.0</v>
      </c>
      <c r="AH16" s="148"/>
      <c r="AI16" s="121"/>
      <c r="AL16" s="16"/>
      <c r="AM16" s="16"/>
      <c r="AN16" s="16"/>
      <c r="AO16" s="16"/>
      <c r="AP16" s="24" t="s">
        <v>40</v>
      </c>
      <c r="AR16" s="121"/>
      <c r="AT16" s="28">
        <f t="shared" si="3"/>
        <v>4</v>
      </c>
    </row>
    <row r="17">
      <c r="A17" s="163" t="s">
        <v>627</v>
      </c>
      <c r="B17" s="10"/>
      <c r="C17" s="10">
        <f t="shared" si="2"/>
        <v>2</v>
      </c>
      <c r="D17" s="11">
        <f t="array" ref="D17">SUM(IF(F17:AS17="R",1,0))</f>
        <v>0</v>
      </c>
      <c r="E17" s="11">
        <f t="array" ref="E17">SUM(IF(F17:AS17="R2",1,0))</f>
        <v>2</v>
      </c>
      <c r="F17" s="121"/>
      <c r="G17" s="121"/>
      <c r="H17" s="16"/>
      <c r="I17" s="16"/>
      <c r="J17" s="16"/>
      <c r="K17" s="16"/>
      <c r="L17" s="16"/>
      <c r="M17" s="16"/>
      <c r="N17" s="16"/>
      <c r="O17" s="170"/>
      <c r="P17" s="105"/>
      <c r="Q17" s="105"/>
      <c r="R17" s="129" t="s">
        <v>40</v>
      </c>
      <c r="S17" s="129" t="s">
        <v>40</v>
      </c>
      <c r="X17" s="121"/>
      <c r="Y17" s="121"/>
      <c r="Z17" s="121"/>
      <c r="AA17" s="121"/>
      <c r="AB17" s="131"/>
      <c r="AC17" s="148"/>
      <c r="AD17" s="149">
        <v>1.0</v>
      </c>
      <c r="AE17" s="148"/>
      <c r="AF17" s="148"/>
      <c r="AG17" s="151"/>
      <c r="AH17" s="151"/>
      <c r="AI17" s="121"/>
      <c r="AJ17" s="16"/>
      <c r="AK17" s="24">
        <v>1.0</v>
      </c>
      <c r="AL17" s="16"/>
      <c r="AM17" s="16"/>
      <c r="AN17" s="16"/>
      <c r="AO17" s="16"/>
      <c r="AP17" s="24"/>
      <c r="AQ17" s="121"/>
      <c r="AR17" s="121"/>
      <c r="AS17" s="121"/>
      <c r="AT17" s="28">
        <f t="shared" si="3"/>
        <v>2</v>
      </c>
    </row>
    <row r="18">
      <c r="A18" s="22" t="s">
        <v>550</v>
      </c>
      <c r="B18" s="10">
        <f t="shared" ref="B18:B20" si="4">SUM(C18:D18)</f>
        <v>3</v>
      </c>
      <c r="C18" s="10">
        <f t="shared" si="2"/>
        <v>1</v>
      </c>
      <c r="D18" s="11">
        <f t="array" ref="D18">SUM(IF(F18:AS18="R",1,0))</f>
        <v>2</v>
      </c>
      <c r="E18" s="11">
        <f t="array" ref="E18">SUM(IF(F18:AS18="R2",1,0))</f>
        <v>1</v>
      </c>
      <c r="H18" s="121"/>
      <c r="I18" s="121"/>
      <c r="K18" s="17" t="s">
        <v>40</v>
      </c>
      <c r="L18" s="17"/>
      <c r="M18" s="17"/>
      <c r="R18" s="121"/>
      <c r="S18" s="24">
        <v>1.0</v>
      </c>
      <c r="T18" s="17" t="s">
        <v>39</v>
      </c>
      <c r="Z18" s="17"/>
      <c r="AB18" s="24"/>
      <c r="AC18" s="17" t="s">
        <v>39</v>
      </c>
      <c r="AK18" s="121"/>
      <c r="AT18" s="28">
        <f t="shared" si="3"/>
        <v>3</v>
      </c>
    </row>
    <row r="19">
      <c r="A19" s="25" t="s">
        <v>551</v>
      </c>
      <c r="B19" s="10">
        <f t="shared" si="4"/>
        <v>3</v>
      </c>
      <c r="C19" s="10">
        <f t="shared" si="2"/>
        <v>1</v>
      </c>
      <c r="D19" s="11">
        <f t="array" ref="D19">SUM(IF(F19:AS19="R",1,0))</f>
        <v>2</v>
      </c>
      <c r="E19" s="11">
        <f t="array" ref="E19">SUM(IF(F19:AS19="R2",1,0))</f>
        <v>1</v>
      </c>
      <c r="F19" s="121"/>
      <c r="J19" s="17" t="s">
        <v>40</v>
      </c>
      <c r="N19" s="121"/>
      <c r="P19" s="24"/>
      <c r="X19" s="121"/>
      <c r="Z19" s="121"/>
      <c r="AG19" s="121"/>
      <c r="AI19" s="24">
        <v>1.0</v>
      </c>
      <c r="AN19" s="17" t="s">
        <v>39</v>
      </c>
      <c r="AP19" s="24" t="s">
        <v>39</v>
      </c>
      <c r="AR19" s="121"/>
      <c r="AT19" s="28">
        <f t="shared" si="3"/>
        <v>3</v>
      </c>
    </row>
    <row r="20" hidden="1">
      <c r="A20" s="44" t="s">
        <v>673</v>
      </c>
      <c r="B20" s="10">
        <f t="shared" si="4"/>
        <v>0</v>
      </c>
      <c r="C20" s="10">
        <f t="shared" si="2"/>
        <v>0</v>
      </c>
      <c r="D20" s="11">
        <f t="array" ref="D20">SUM(IF(F20:AS20="R",1,0))</f>
        <v>0</v>
      </c>
      <c r="E20" s="11">
        <f t="array" ref="E20">SUM(IF(F20:AS20="R2",1,0))</f>
        <v>0</v>
      </c>
      <c r="O20" s="129"/>
      <c r="P20" s="129"/>
      <c r="Q20" s="129"/>
      <c r="R20" s="147"/>
      <c r="S20" s="147"/>
      <c r="AB20" s="149"/>
      <c r="AC20" s="149"/>
      <c r="AD20" s="149"/>
      <c r="AE20" s="148"/>
      <c r="AF20" s="148"/>
      <c r="AG20" s="148"/>
      <c r="AH20" s="149"/>
      <c r="AM20" s="148"/>
      <c r="AN20" s="149"/>
      <c r="AT20" s="28">
        <f t="shared" si="3"/>
        <v>0</v>
      </c>
    </row>
    <row r="21" hidden="1">
      <c r="A21" s="26" t="s">
        <v>552</v>
      </c>
      <c r="B21" s="10"/>
      <c r="C21" s="10">
        <f t="shared" si="2"/>
        <v>0</v>
      </c>
      <c r="D21" s="11">
        <f t="array" ref="D21">SUM(IF(F21:AS21="R",1,0))</f>
        <v>0</v>
      </c>
      <c r="E21" s="11">
        <f t="array" ref="E21">SUM(IF(F21:AS21="R2",1,0))</f>
        <v>0</v>
      </c>
      <c r="AT21" s="28">
        <f t="shared" si="3"/>
        <v>0</v>
      </c>
    </row>
    <row r="22">
      <c r="A22" s="25" t="s">
        <v>514</v>
      </c>
      <c r="B22" s="10">
        <f>SUM(C22:D22)</f>
        <v>3</v>
      </c>
      <c r="C22" s="10">
        <f t="shared" si="2"/>
        <v>2</v>
      </c>
      <c r="D22" s="11">
        <f t="array" ref="D22">SUM(IF(F22:AS22="R",1,0))</f>
        <v>1</v>
      </c>
      <c r="E22" s="11">
        <f t="array" ref="E22">SUM(IF(F22:AS22="R2",1,0))</f>
        <v>2</v>
      </c>
      <c r="F22" s="24"/>
      <c r="N22" s="16"/>
      <c r="O22" s="16"/>
      <c r="P22" s="21">
        <v>1.0</v>
      </c>
      <c r="S22" s="17" t="s">
        <v>39</v>
      </c>
      <c r="Z22" s="121"/>
      <c r="AI22" s="24" t="s">
        <v>40</v>
      </c>
      <c r="AL22" s="17" t="s">
        <v>40</v>
      </c>
      <c r="AR22" s="24">
        <v>1.0</v>
      </c>
      <c r="AT22" s="28">
        <f t="shared" si="3"/>
        <v>3</v>
      </c>
    </row>
    <row r="23">
      <c r="A23" s="25" t="s">
        <v>515</v>
      </c>
      <c r="B23" s="10"/>
      <c r="C23" s="10">
        <f t="shared" si="2"/>
        <v>1</v>
      </c>
      <c r="D23" s="11">
        <f t="array" ref="D23">SUM(IF(F23:AS23="R",1,0))</f>
        <v>3</v>
      </c>
      <c r="E23" s="11">
        <f t="array" ref="E23">SUM(IF(F23:AS23="R2",1,0))</f>
        <v>2</v>
      </c>
      <c r="F23" s="16"/>
      <c r="G23" s="16"/>
      <c r="H23" s="17" t="s">
        <v>39</v>
      </c>
      <c r="I23" s="17" t="s">
        <v>40</v>
      </c>
      <c r="N23" s="16"/>
      <c r="O23" s="16"/>
      <c r="P23" s="16"/>
      <c r="U23" s="17" t="s">
        <v>39</v>
      </c>
      <c r="V23" s="16"/>
      <c r="W23" s="16"/>
      <c r="X23" s="17" t="s">
        <v>39</v>
      </c>
      <c r="Z23" s="17">
        <v>1.0</v>
      </c>
      <c r="AB23" s="16"/>
      <c r="AF23" s="17" t="s">
        <v>40</v>
      </c>
      <c r="AJ23" s="16"/>
      <c r="AO23" s="16"/>
      <c r="AP23" s="16"/>
      <c r="AT23" s="28">
        <f t="shared" si="3"/>
        <v>5</v>
      </c>
    </row>
    <row r="24">
      <c r="A24" s="9" t="s">
        <v>587</v>
      </c>
      <c r="B24" s="10">
        <f>SUM(C24:D24)</f>
        <v>1</v>
      </c>
      <c r="C24" s="10">
        <f t="shared" si="2"/>
        <v>1</v>
      </c>
      <c r="D24" s="11">
        <f t="array" ref="D24">SUM(IF(F24:AS24="R",1,0))</f>
        <v>0</v>
      </c>
      <c r="E24" s="11">
        <f t="array" ref="E24">SUM(IF(F24:AS24="R2",1,0))</f>
        <v>2</v>
      </c>
      <c r="U24" s="17" t="s">
        <v>40</v>
      </c>
      <c r="V24" s="17">
        <v>1.0</v>
      </c>
      <c r="AM24" s="17" t="s">
        <v>40</v>
      </c>
      <c r="AT24" s="28">
        <f t="shared" si="3"/>
        <v>2</v>
      </c>
    </row>
    <row r="25">
      <c r="A25" s="9" t="s">
        <v>516</v>
      </c>
      <c r="B25" s="28"/>
      <c r="C25" s="10">
        <f t="shared" si="2"/>
        <v>1</v>
      </c>
      <c r="D25" s="11">
        <f t="array" ref="D25">SUM(IF(F25:AS25="R",1,0))</f>
        <v>3</v>
      </c>
      <c r="E25" s="11">
        <f t="array" ref="E25">SUM(IF(F25:AS25="R2",1,0))</f>
        <v>0</v>
      </c>
      <c r="G25" s="31"/>
      <c r="H25" s="47"/>
      <c r="I25" s="31"/>
      <c r="J25" s="171"/>
      <c r="K25" s="47"/>
      <c r="L25" s="171">
        <v>1.0</v>
      </c>
      <c r="M25" s="17"/>
      <c r="N25" s="17"/>
      <c r="T25" s="24"/>
      <c r="V25" s="24" t="s">
        <v>39</v>
      </c>
      <c r="AC25" s="24"/>
      <c r="AE25" s="24" t="s">
        <v>39</v>
      </c>
      <c r="AL25" s="121"/>
      <c r="AM25" s="17" t="s">
        <v>39</v>
      </c>
      <c r="AN25" s="121"/>
      <c r="AT25" s="28">
        <f t="shared" si="3"/>
        <v>3</v>
      </c>
      <c r="AW25" s="121"/>
      <c r="AX25" s="121"/>
    </row>
    <row r="26">
      <c r="A26" s="62" t="s">
        <v>517</v>
      </c>
      <c r="B26" s="10"/>
      <c r="C26" s="10">
        <f t="shared" si="2"/>
        <v>2</v>
      </c>
      <c r="D26" s="11">
        <f t="array" ref="D26">SUM(IF(F26:AS26="R",1,0))</f>
        <v>2</v>
      </c>
      <c r="E26" s="11">
        <f t="array" ref="E26">SUM(IF(F26:AS26="R2",1,0))</f>
        <v>1</v>
      </c>
      <c r="K26" s="24">
        <v>1.0</v>
      </c>
      <c r="M26" s="24" t="s">
        <v>40</v>
      </c>
      <c r="N26" s="17"/>
      <c r="U26" s="121"/>
      <c r="W26" s="24" t="s">
        <v>39</v>
      </c>
      <c r="AC26" s="17">
        <v>1.0</v>
      </c>
      <c r="AD26" s="121"/>
      <c r="AF26" s="24" t="s">
        <v>39</v>
      </c>
      <c r="AM26" s="24"/>
      <c r="AN26" s="17"/>
      <c r="AO26" s="121"/>
      <c r="AT26" s="28">
        <f t="shared" si="3"/>
        <v>3</v>
      </c>
    </row>
    <row r="27">
      <c r="A27" s="62" t="s">
        <v>588</v>
      </c>
      <c r="B27" s="10">
        <f>SUM(C27:D27)</f>
        <v>3</v>
      </c>
      <c r="C27" s="10">
        <f t="shared" si="2"/>
        <v>2</v>
      </c>
      <c r="D27" s="11">
        <f t="array" ref="D27">SUM(IF(F27:AS27="R",1,0))</f>
        <v>1</v>
      </c>
      <c r="E27" s="11">
        <f t="array" ref="E27">SUM(IF(F27:AS27="R2",1,0))</f>
        <v>2</v>
      </c>
      <c r="F27" s="17"/>
      <c r="G27" s="17"/>
      <c r="J27" s="17"/>
      <c r="L27" s="17"/>
      <c r="M27" s="17">
        <v>1.0</v>
      </c>
      <c r="N27" s="17"/>
      <c r="O27" s="17" t="s">
        <v>39</v>
      </c>
      <c r="R27" s="17"/>
      <c r="AC27" s="17" t="s">
        <v>40</v>
      </c>
      <c r="AD27" s="17"/>
      <c r="AG27" s="17"/>
      <c r="AH27" s="17"/>
      <c r="AJ27" s="17" t="s">
        <v>40</v>
      </c>
      <c r="AN27" s="17">
        <v>1.0</v>
      </c>
      <c r="AP27" s="17"/>
      <c r="AT27" s="28">
        <f t="shared" si="3"/>
        <v>3</v>
      </c>
    </row>
    <row r="28">
      <c r="A28" s="62" t="s">
        <v>519</v>
      </c>
      <c r="B28" s="10"/>
      <c r="C28" s="10">
        <f t="shared" si="2"/>
        <v>1</v>
      </c>
      <c r="D28" s="11">
        <f t="array" ref="D28">SUM(IF(F28:AS28="R",1,0))</f>
        <v>2</v>
      </c>
      <c r="E28" s="11">
        <f t="array" ref="E28">SUM(IF(F28:AS28="R2",1,0))</f>
        <v>1</v>
      </c>
      <c r="H28" s="17"/>
      <c r="I28" s="17"/>
      <c r="J28" s="17" t="s">
        <v>39</v>
      </c>
      <c r="P28" s="17" t="s">
        <v>40</v>
      </c>
      <c r="T28" s="24">
        <v>1.0</v>
      </c>
      <c r="V28" s="17"/>
      <c r="AB28" s="16"/>
      <c r="AD28" s="17" t="s">
        <v>39</v>
      </c>
      <c r="AH28" s="17"/>
      <c r="AL28" s="24"/>
      <c r="AQ28" s="17"/>
      <c r="AT28" s="28">
        <f t="shared" si="3"/>
        <v>3</v>
      </c>
    </row>
    <row r="29">
      <c r="A29" s="62" t="s">
        <v>589</v>
      </c>
      <c r="B29" s="10">
        <f t="shared" ref="B29:B30" si="5">SUM(C29:D29)</f>
        <v>2</v>
      </c>
      <c r="C29" s="10">
        <f t="shared" si="2"/>
        <v>1</v>
      </c>
      <c r="D29" s="11">
        <f t="array" ref="D29">SUM(IF(F29:AS29="R",1,0))</f>
        <v>1</v>
      </c>
      <c r="E29" s="11">
        <f t="array" ref="E29">SUM(IF(F29:AS29="R2",1,0))</f>
        <v>1</v>
      </c>
      <c r="L29" s="17" t="s">
        <v>39</v>
      </c>
      <c r="N29" s="17">
        <v>1.0</v>
      </c>
      <c r="AD29" s="17" t="s">
        <v>40</v>
      </c>
      <c r="AP29" s="17"/>
      <c r="AT29" s="28">
        <f t="shared" si="3"/>
        <v>2</v>
      </c>
    </row>
    <row r="30" hidden="1">
      <c r="A30" s="44" t="s">
        <v>553</v>
      </c>
      <c r="B30" s="10">
        <f t="shared" si="5"/>
        <v>0</v>
      </c>
      <c r="C30" s="10">
        <f t="shared" si="2"/>
        <v>0</v>
      </c>
      <c r="D30" s="11">
        <f t="array" ref="D30">SUM(IF(F30:AS30="R",1,0))</f>
        <v>0</v>
      </c>
      <c r="E30" s="11">
        <f t="array" ref="E30">SUM(IF(F30:AS30="R2",1,0))</f>
        <v>0</v>
      </c>
      <c r="F30" s="17"/>
      <c r="M30" s="17"/>
      <c r="O30" s="17"/>
      <c r="X30" s="17"/>
      <c r="AG30" s="17"/>
      <c r="AT30" s="28">
        <f t="shared" si="3"/>
        <v>0</v>
      </c>
    </row>
    <row r="31">
      <c r="A31" s="27" t="s">
        <v>475</v>
      </c>
      <c r="B31" s="10"/>
      <c r="C31" s="10">
        <f t="shared" si="2"/>
        <v>3</v>
      </c>
      <c r="D31" s="11">
        <f t="array" ref="D31">SUM(IF(F31:AS31="R",1,0))</f>
        <v>1</v>
      </c>
      <c r="E31" s="11">
        <f t="array" ref="E31">SUM(IF(F31:AS31="R2",1,0))</f>
        <v>2</v>
      </c>
      <c r="J31" s="17">
        <v>1.0</v>
      </c>
      <c r="N31" s="16"/>
      <c r="O31" s="16"/>
      <c r="P31" s="16"/>
      <c r="Q31" s="16"/>
      <c r="R31" s="17">
        <v>1.0</v>
      </c>
      <c r="AB31" s="21" t="s">
        <v>40</v>
      </c>
      <c r="AH31" s="17" t="s">
        <v>40</v>
      </c>
      <c r="AI31" s="17"/>
      <c r="AJ31" s="16"/>
      <c r="AM31" s="17">
        <v>1.0</v>
      </c>
      <c r="AS31" s="17" t="s">
        <v>39</v>
      </c>
      <c r="AT31" s="28">
        <f t="shared" si="3"/>
        <v>3</v>
      </c>
    </row>
    <row r="32">
      <c r="A32" s="62" t="s">
        <v>674</v>
      </c>
      <c r="B32" s="10" t="str">
        <f>SUM(B4:B37)</f>
        <v>#REF!</v>
      </c>
      <c r="C32" s="10">
        <f t="shared" si="2"/>
        <v>1</v>
      </c>
      <c r="D32" s="11">
        <f t="array" ref="D32">SUM(IF(F32:AS32="R",1,0))</f>
        <v>1</v>
      </c>
      <c r="E32" s="11">
        <f t="array" ref="E32">SUM(IF(F32:AS32="R2",1,0))</f>
        <v>2</v>
      </c>
      <c r="G32" s="17" t="s">
        <v>40</v>
      </c>
      <c r="N32" s="17" t="s">
        <v>40</v>
      </c>
      <c r="AB32" s="17"/>
      <c r="AI32" s="17" t="s">
        <v>39</v>
      </c>
      <c r="AJ32" s="17"/>
      <c r="AP32" s="17">
        <v>1.0</v>
      </c>
      <c r="AS32" s="17"/>
      <c r="AT32" s="28">
        <f t="shared" si="3"/>
        <v>3</v>
      </c>
    </row>
    <row r="33">
      <c r="A33" s="14" t="s">
        <v>767</v>
      </c>
      <c r="B33" s="28" t="str">
        <f t="shared" ref="B33:B34" si="6">SUM(#REF!)</f>
        <v>#REF!</v>
      </c>
      <c r="C33" s="10">
        <f t="shared" si="2"/>
        <v>1</v>
      </c>
      <c r="D33" s="11">
        <f t="array" ref="D33">SUM(IF(F33:AS33="R",1,0))</f>
        <v>1</v>
      </c>
      <c r="E33" s="11">
        <f t="array" ref="E33">SUM(IF(F33:AS33="R2",1,0))</f>
        <v>2</v>
      </c>
      <c r="J33" s="16"/>
      <c r="K33" s="16"/>
      <c r="L33" s="16"/>
      <c r="M33" s="16"/>
      <c r="N33" s="16"/>
      <c r="O33" s="16"/>
      <c r="P33" s="16"/>
      <c r="Z33" s="17" t="s">
        <v>40</v>
      </c>
      <c r="AB33" s="16"/>
      <c r="AJ33" s="16"/>
      <c r="AO33" s="17" t="s">
        <v>40</v>
      </c>
      <c r="AQ33" s="17">
        <v>1.0</v>
      </c>
      <c r="AR33" s="17" t="s">
        <v>39</v>
      </c>
      <c r="AT33" s="28">
        <f t="shared" si="3"/>
        <v>3</v>
      </c>
    </row>
    <row r="34">
      <c r="A34" s="69" t="s">
        <v>523</v>
      </c>
      <c r="B34" s="28" t="str">
        <f t="shared" si="6"/>
        <v>#REF!</v>
      </c>
      <c r="C34" s="10">
        <f t="shared" si="2"/>
        <v>2</v>
      </c>
      <c r="D34" s="11">
        <f t="array" ref="D34">SUM(IF(F34:AS34="R",1,0))</f>
        <v>2</v>
      </c>
      <c r="E34" s="11">
        <f t="array" ref="E34">SUM(IF(F34:AS34="R2",1,0))</f>
        <v>1</v>
      </c>
      <c r="H34" s="17"/>
      <c r="I34" s="17"/>
      <c r="J34" s="16"/>
      <c r="K34" s="16"/>
      <c r="L34" s="16"/>
      <c r="M34" s="21"/>
      <c r="N34" s="21"/>
      <c r="O34" s="16"/>
      <c r="P34" s="16"/>
      <c r="Q34" s="17" t="s">
        <v>39</v>
      </c>
      <c r="S34" s="17"/>
      <c r="U34" s="17">
        <v>1.0</v>
      </c>
      <c r="W34" s="17" t="s">
        <v>40</v>
      </c>
      <c r="Z34" s="17"/>
      <c r="AA34" s="17"/>
      <c r="AB34" s="17"/>
      <c r="AC34" s="17"/>
      <c r="AH34" s="17" t="s">
        <v>39</v>
      </c>
      <c r="AJ34" s="21"/>
      <c r="AL34" s="17"/>
      <c r="AR34" s="17"/>
      <c r="AS34" s="17">
        <v>1.0</v>
      </c>
      <c r="AT34" s="28">
        <f t="shared" si="3"/>
        <v>3</v>
      </c>
    </row>
    <row r="35">
      <c r="A35" s="44" t="s">
        <v>524</v>
      </c>
      <c r="C35" s="10">
        <f t="shared" si="2"/>
        <v>2</v>
      </c>
      <c r="D35" s="11">
        <f t="array" ref="D35">SUM(IF(F35:AS35="R",1,0))</f>
        <v>2</v>
      </c>
      <c r="E35" s="11">
        <f t="array" ref="E35">SUM(IF(F35:AS35="R2",1,0))</f>
        <v>1</v>
      </c>
      <c r="F35" s="121"/>
      <c r="G35" s="24">
        <v>1.0</v>
      </c>
      <c r="H35" s="16"/>
      <c r="I35" s="21"/>
      <c r="J35" s="16"/>
      <c r="K35" s="21"/>
      <c r="L35" s="21"/>
      <c r="M35" s="16"/>
      <c r="N35" s="24" t="s">
        <v>39</v>
      </c>
      <c r="O35" s="24"/>
      <c r="P35" s="24"/>
      <c r="Q35" s="16"/>
      <c r="R35" s="16"/>
      <c r="S35" s="16"/>
      <c r="X35" s="121"/>
      <c r="Y35" s="121"/>
      <c r="Z35" s="121"/>
      <c r="AA35" s="24" t="s">
        <v>39</v>
      </c>
      <c r="AB35" s="24"/>
      <c r="AC35" s="17"/>
      <c r="AF35" s="17">
        <v>1.0</v>
      </c>
      <c r="AG35" s="121"/>
      <c r="AH35" s="24"/>
      <c r="AI35" s="24"/>
      <c r="AJ35" s="121"/>
      <c r="AK35" s="121"/>
      <c r="AP35" s="121"/>
      <c r="AQ35" s="24" t="s">
        <v>40</v>
      </c>
      <c r="AR35" s="24"/>
      <c r="AS35" s="121"/>
      <c r="AT35" s="28">
        <f t="shared" si="3"/>
        <v>3</v>
      </c>
    </row>
    <row r="36" hidden="1">
      <c r="A36" s="44" t="s">
        <v>479</v>
      </c>
      <c r="C36" s="10">
        <f t="shared" si="2"/>
        <v>0</v>
      </c>
      <c r="D36" s="11">
        <f t="array" ref="D36">SUM(IF(F36:AS36="R",1,0))</f>
        <v>0</v>
      </c>
      <c r="E36" s="11">
        <f t="array" ref="E36">SUM(IF(F36:AS36="R2",1,0))</f>
        <v>0</v>
      </c>
      <c r="AT36" s="28">
        <f t="shared" si="3"/>
        <v>0</v>
      </c>
    </row>
    <row r="37" hidden="1">
      <c r="A37" s="44" t="s">
        <v>628</v>
      </c>
      <c r="B37" s="10">
        <f>SUM(C37:D37)</f>
        <v>0</v>
      </c>
      <c r="C37" s="10">
        <f t="shared" si="2"/>
        <v>0</v>
      </c>
      <c r="D37" s="11">
        <f t="array" ref="D37">SUM(IF(F37:AS37="R",1,0))</f>
        <v>0</v>
      </c>
      <c r="E37" s="11">
        <f t="array" ref="E37">SUM(IF(F37:AS37="R2",1,0))</f>
        <v>0</v>
      </c>
      <c r="AT37" s="28">
        <f t="shared" si="3"/>
        <v>0</v>
      </c>
    </row>
    <row r="38" hidden="1">
      <c r="A38" s="23" t="s">
        <v>481</v>
      </c>
      <c r="C38" s="10">
        <f t="shared" si="2"/>
        <v>0</v>
      </c>
      <c r="D38" s="11">
        <f t="array" ref="D38">SUM(IF(F38:AS38="R",1,0))</f>
        <v>0</v>
      </c>
      <c r="E38" s="11">
        <f t="array" ref="E38">SUM(IF(F38:AS38="R2",1,0))</f>
        <v>0</v>
      </c>
      <c r="H38" s="17"/>
      <c r="I38" s="17"/>
      <c r="R38" s="17"/>
      <c r="S38" s="17"/>
      <c r="W38" s="17"/>
      <c r="Z38" s="17"/>
      <c r="AI38" s="17"/>
      <c r="AJ38" s="17"/>
      <c r="AL38" s="17"/>
      <c r="AS38" s="17"/>
      <c r="AT38" s="28">
        <f t="shared" si="3"/>
        <v>0</v>
      </c>
    </row>
    <row r="39">
      <c r="A39" s="17" t="s">
        <v>68</v>
      </c>
      <c r="C39" s="10">
        <f t="shared" si="2"/>
        <v>40</v>
      </c>
      <c r="D39" s="11"/>
      <c r="E39" s="11"/>
      <c r="F39" s="28">
        <f t="shared" ref="F39:AS39" si="7">SUM(F3:F38)</f>
        <v>1</v>
      </c>
      <c r="G39" s="28">
        <f t="shared" si="7"/>
        <v>1</v>
      </c>
      <c r="H39" s="28">
        <f t="shared" si="7"/>
        <v>1</v>
      </c>
      <c r="I39" s="28">
        <f t="shared" si="7"/>
        <v>1</v>
      </c>
      <c r="J39" s="28">
        <f t="shared" si="7"/>
        <v>1</v>
      </c>
      <c r="K39" s="28">
        <f t="shared" si="7"/>
        <v>1</v>
      </c>
      <c r="L39" s="28">
        <f t="shared" si="7"/>
        <v>1</v>
      </c>
      <c r="M39" s="28">
        <f t="shared" si="7"/>
        <v>1</v>
      </c>
      <c r="N39" s="28">
        <f t="shared" si="7"/>
        <v>1</v>
      </c>
      <c r="O39" s="28">
        <f t="shared" si="7"/>
        <v>1</v>
      </c>
      <c r="P39" s="28">
        <f t="shared" si="7"/>
        <v>1</v>
      </c>
      <c r="Q39" s="28">
        <f t="shared" si="7"/>
        <v>1</v>
      </c>
      <c r="R39" s="28">
        <f t="shared" si="7"/>
        <v>1</v>
      </c>
      <c r="S39" s="28">
        <f t="shared" si="7"/>
        <v>1</v>
      </c>
      <c r="T39" s="28">
        <f t="shared" si="7"/>
        <v>1</v>
      </c>
      <c r="U39" s="28">
        <f t="shared" si="7"/>
        <v>1</v>
      </c>
      <c r="V39" s="28">
        <f t="shared" si="7"/>
        <v>1</v>
      </c>
      <c r="W39" s="28">
        <f t="shared" si="7"/>
        <v>1</v>
      </c>
      <c r="X39" s="28">
        <f t="shared" si="7"/>
        <v>1</v>
      </c>
      <c r="Y39" s="28">
        <f t="shared" si="7"/>
        <v>1</v>
      </c>
      <c r="Z39" s="28">
        <f t="shared" si="7"/>
        <v>1</v>
      </c>
      <c r="AA39" s="28">
        <f t="shared" si="7"/>
        <v>1</v>
      </c>
      <c r="AB39" s="28">
        <f t="shared" si="7"/>
        <v>1</v>
      </c>
      <c r="AC39" s="28">
        <f t="shared" si="7"/>
        <v>1</v>
      </c>
      <c r="AD39" s="28">
        <f t="shared" si="7"/>
        <v>1</v>
      </c>
      <c r="AE39" s="28">
        <f t="shared" si="7"/>
        <v>1</v>
      </c>
      <c r="AF39" s="28">
        <f t="shared" si="7"/>
        <v>1</v>
      </c>
      <c r="AG39" s="28">
        <f t="shared" si="7"/>
        <v>1</v>
      </c>
      <c r="AH39" s="28">
        <f t="shared" si="7"/>
        <v>1</v>
      </c>
      <c r="AI39" s="28">
        <f t="shared" si="7"/>
        <v>1</v>
      </c>
      <c r="AJ39" s="28">
        <f t="shared" si="7"/>
        <v>1</v>
      </c>
      <c r="AK39" s="28">
        <f t="shared" si="7"/>
        <v>1</v>
      </c>
      <c r="AL39" s="28">
        <f t="shared" si="7"/>
        <v>1</v>
      </c>
      <c r="AM39" s="28">
        <f t="shared" si="7"/>
        <v>1</v>
      </c>
      <c r="AN39" s="28">
        <f t="shared" si="7"/>
        <v>1</v>
      </c>
      <c r="AO39" s="28">
        <f t="shared" si="7"/>
        <v>1</v>
      </c>
      <c r="AP39" s="28">
        <f t="shared" si="7"/>
        <v>1</v>
      </c>
      <c r="AQ39" s="172">
        <f t="shared" si="7"/>
        <v>1</v>
      </c>
      <c r="AR39" s="28">
        <f t="shared" si="7"/>
        <v>1</v>
      </c>
      <c r="AS39" s="28">
        <f t="shared" si="7"/>
        <v>1</v>
      </c>
      <c r="AT39" s="28">
        <f>SUM(J4:J37)</f>
        <v>1</v>
      </c>
      <c r="AU39" s="28">
        <f>SUM(L4:L37)</f>
        <v>1</v>
      </c>
      <c r="AV39" s="28">
        <f>SUM(O4:O37)</f>
        <v>1</v>
      </c>
      <c r="AW39" s="28" t="str">
        <f>SUM(#REF!)</f>
        <v>#REF!</v>
      </c>
      <c r="AX39" s="28">
        <f>SUM(N4:N37)</f>
        <v>1</v>
      </c>
    </row>
    <row r="40">
      <c r="A40" s="17" t="s">
        <v>69</v>
      </c>
      <c r="C40" s="10">
        <f t="shared" si="2"/>
        <v>40</v>
      </c>
      <c r="D40" s="11"/>
      <c r="E40" s="11"/>
      <c r="F40" s="11">
        <f t="array" ref="F40">SUM(IF(F3:F38="R",1,0))</f>
        <v>1</v>
      </c>
      <c r="G40" s="11">
        <f t="array" ref="G40">SUM(IF(G3:G38="R",1,0))</f>
        <v>1</v>
      </c>
      <c r="H40" s="11">
        <f t="array" ref="H40">SUM(IF(H3:H38="R",1,0))</f>
        <v>1</v>
      </c>
      <c r="I40" s="11">
        <f t="array" ref="I40">SUM(IF(I3:I38="R",1,0))</f>
        <v>1</v>
      </c>
      <c r="J40" s="11">
        <f t="array" ref="J40">SUM(IF(J3:J38="R",1,0))</f>
        <v>1</v>
      </c>
      <c r="K40" s="11">
        <f t="array" ref="K40">SUM(IF(K3:K38="R",1,0))</f>
        <v>1</v>
      </c>
      <c r="L40" s="11">
        <f t="array" ref="L40">SUM(IF(L3:L38="R",1,0))</f>
        <v>1</v>
      </c>
      <c r="M40" s="11">
        <f t="array" ref="M40">SUM(IF(M3:M38="R",1,0))</f>
        <v>1</v>
      </c>
      <c r="N40" s="11">
        <f t="array" ref="N40">SUM(IF(N3:N38="R",1,0))</f>
        <v>1</v>
      </c>
      <c r="O40" s="11">
        <f t="array" ref="O40">SUM(IF(O3:O38="R",1,0))</f>
        <v>1</v>
      </c>
      <c r="P40" s="11">
        <f t="array" ref="P40">SUM(IF(P3:P38="R",1,0))</f>
        <v>1</v>
      </c>
      <c r="Q40" s="11">
        <f t="array" ref="Q40">SUM(IF(Q3:Q38="R",1,0))</f>
        <v>1</v>
      </c>
      <c r="R40" s="11">
        <f t="array" ref="R40">SUM(IF(R3:R38="R",1,0))</f>
        <v>1</v>
      </c>
      <c r="S40" s="11">
        <f t="array" ref="S40">SUM(IF(S3:S38="R",1,0))</f>
        <v>1</v>
      </c>
      <c r="T40" s="11">
        <f t="array" ref="T40">SUM(IF(T3:T38="R",1,0))</f>
        <v>1</v>
      </c>
      <c r="U40" s="11">
        <f t="array" ref="U40">SUM(IF(U3:U38="R",1,0))</f>
        <v>1</v>
      </c>
      <c r="V40" s="11">
        <f t="array" ref="V40">SUM(IF(V3:V38="R",1,0))</f>
        <v>1</v>
      </c>
      <c r="W40" s="11">
        <f t="array" ref="W40">SUM(IF(W3:W38="R",1,0))</f>
        <v>1</v>
      </c>
      <c r="X40" s="11">
        <f t="array" ref="X40">SUM(IF(X3:X38="R",1,0))</f>
        <v>1</v>
      </c>
      <c r="Y40" s="11">
        <f t="array" ref="Y40">SUM(IF(Y3:Y38="R",1,0))</f>
        <v>1</v>
      </c>
      <c r="Z40" s="11">
        <f t="array" ref="Z40">SUM(IF(Z3:Z38="R",1,0))</f>
        <v>1</v>
      </c>
      <c r="AA40" s="11">
        <f t="array" ref="AA40">SUM(IF(AA3:AA38="R",1,0))</f>
        <v>1</v>
      </c>
      <c r="AB40" s="11">
        <f t="array" ref="AB40">SUM(IF(AB3:AB38="R",1,0))</f>
        <v>1</v>
      </c>
      <c r="AC40" s="11">
        <f t="array" ref="AC40">SUM(IF(AC3:AC38="R",1,0))</f>
        <v>1</v>
      </c>
      <c r="AD40" s="11">
        <f t="array" ref="AD40">SUM(IF(AD3:AD38="R",1,0))</f>
        <v>1</v>
      </c>
      <c r="AE40" s="11">
        <f t="array" ref="AE40">SUM(IF(AE3:AE38="R",1,0))</f>
        <v>1</v>
      </c>
      <c r="AF40" s="11">
        <f t="array" ref="AF40">SUM(IF(AF3:AF38="R",1,0))</f>
        <v>1</v>
      </c>
      <c r="AG40" s="11">
        <f t="array" ref="AG40">SUM(IF(AG3:AG38="R",1,0))</f>
        <v>1</v>
      </c>
      <c r="AH40" s="11">
        <f t="array" ref="AH40">SUM(IF(AH3:AH38="R",1,0))</f>
        <v>1</v>
      </c>
      <c r="AI40" s="11">
        <f t="array" ref="AI40">SUM(IF(AI3:AI38="R",1,0))</f>
        <v>1</v>
      </c>
      <c r="AJ40" s="11">
        <f t="array" ref="AJ40">SUM(IF(AJ3:AJ38="R",1,0))</f>
        <v>1</v>
      </c>
      <c r="AK40" s="11">
        <f t="array" ref="AK40">SUM(IF(AK3:AK38="R",1,0))</f>
        <v>1</v>
      </c>
      <c r="AL40" s="11">
        <f t="array" ref="AL40">SUM(IF(AL3:AL38="R",1,0))</f>
        <v>1</v>
      </c>
      <c r="AM40" s="11">
        <f t="array" ref="AM40">SUM(IF(AM3:AM38="R",1,0))</f>
        <v>1</v>
      </c>
      <c r="AN40" s="11">
        <f t="array" ref="AN40">SUM(IF(AN3:AN38="R",1,0))</f>
        <v>1</v>
      </c>
      <c r="AO40" s="11">
        <f t="array" ref="AO40">SUM(IF(AO3:AO38="R",1,0))</f>
        <v>1</v>
      </c>
      <c r="AP40" s="11">
        <f t="array" ref="AP40">SUM(IF(AP3:AP38="R",1,0))</f>
        <v>1</v>
      </c>
      <c r="AQ40" s="11">
        <f t="array" ref="AQ40">SUM(IF(AQ3:AQ38="R",1,0))</f>
        <v>1</v>
      </c>
      <c r="AR40" s="11">
        <f t="array" ref="AR40">SUM(IF(AR3:AR38="R",1,0))</f>
        <v>1</v>
      </c>
      <c r="AS40" s="11">
        <f t="array" ref="AS40">SUM(IF(AS3:AS38="R",1,0))</f>
        <v>1</v>
      </c>
      <c r="AT40" s="11">
        <f t="array" ref="AT40">SUM(IF(J4:J37="R",1,0))</f>
        <v>1</v>
      </c>
      <c r="AU40" s="11">
        <f t="array" ref="AU40">SUM(IF(L4:L37="R",1,0))</f>
        <v>1</v>
      </c>
      <c r="AV40" s="11">
        <f t="array" ref="AV40">SUM(IF(O4:O37="R",1,0))</f>
        <v>1</v>
      </c>
      <c r="AW40" s="11" t="str">
        <f t="array" ref="AW40">SUM(IF(#REF!="R",1,0))</f>
        <v>#REF!</v>
      </c>
      <c r="AX40" s="11">
        <f t="array" ref="AX40">SUM(IF(N4:N37="R",1,0))</f>
        <v>1</v>
      </c>
    </row>
    <row r="41">
      <c r="A41" s="17" t="s">
        <v>70</v>
      </c>
      <c r="C41" s="10">
        <f t="shared" si="2"/>
        <v>40</v>
      </c>
      <c r="D41" s="11"/>
      <c r="E41" s="11"/>
      <c r="F41" s="11">
        <f t="array" ref="F41">SUM(IF(F3:F38="R2",1,0))</f>
        <v>1</v>
      </c>
      <c r="G41" s="11">
        <f t="array" ref="G41">SUM(IF(G3:G38="R2",1,0))</f>
        <v>1</v>
      </c>
      <c r="H41" s="11">
        <f t="array" ref="H41">SUM(IF(H3:H38="R2",1,0))</f>
        <v>1</v>
      </c>
      <c r="I41" s="11">
        <f t="array" ref="I41">SUM(IF(I3:I38="R2",1,0))</f>
        <v>1</v>
      </c>
      <c r="J41" s="11">
        <f t="array" ref="J41">SUM(IF(J3:J38="R2",1,0))</f>
        <v>1</v>
      </c>
      <c r="K41" s="11">
        <f t="array" ref="K41">SUM(IF(K3:K38="R2",1,0))</f>
        <v>1</v>
      </c>
      <c r="L41" s="11">
        <f t="array" ref="L41">SUM(IF(L3:L38="R2",1,0))</f>
        <v>1</v>
      </c>
      <c r="M41" s="11">
        <f t="array" ref="M41">SUM(IF(M3:M38="R2",1,0))</f>
        <v>1</v>
      </c>
      <c r="N41" s="11">
        <f t="array" ref="N41">SUM(IF(N3:N38="R2",1,0))</f>
        <v>1</v>
      </c>
      <c r="O41" s="11">
        <f t="array" ref="O41">SUM(IF(O3:O38="R2",1,0))</f>
        <v>1</v>
      </c>
      <c r="P41" s="11">
        <f t="array" ref="P41">SUM(IF(P3:P38="R2",1,0))</f>
        <v>1</v>
      </c>
      <c r="Q41" s="11">
        <f t="array" ref="Q41">SUM(IF(Q3:Q38="R2",1,0))</f>
        <v>1</v>
      </c>
      <c r="R41" s="11">
        <f t="array" ref="R41">SUM(IF(R3:R38="R2",1,0))</f>
        <v>1</v>
      </c>
      <c r="S41" s="11">
        <f t="array" ref="S41">SUM(IF(S3:S38="R2",1,0))</f>
        <v>1</v>
      </c>
      <c r="T41" s="11">
        <f t="array" ref="T41">SUM(IF(T3:T38="R2",1,0))</f>
        <v>1</v>
      </c>
      <c r="U41" s="11">
        <f t="array" ref="U41">SUM(IF(U3:U38="R2",1,0))</f>
        <v>1</v>
      </c>
      <c r="V41" s="11">
        <f t="array" ref="V41">SUM(IF(V3:V38="R2",1,0))</f>
        <v>1</v>
      </c>
      <c r="W41" s="11">
        <f t="array" ref="W41">SUM(IF(W3:W38="R2",1,0))</f>
        <v>1</v>
      </c>
      <c r="X41" s="11">
        <f t="array" ref="X41">SUM(IF(X3:X38="R2",1,0))</f>
        <v>1</v>
      </c>
      <c r="Y41" s="11">
        <f t="array" ref="Y41">SUM(IF(Y3:Y38="R2",1,0))</f>
        <v>1</v>
      </c>
      <c r="Z41" s="11">
        <f t="array" ref="Z41">SUM(IF(Z3:Z38="R2",1,0))</f>
        <v>1</v>
      </c>
      <c r="AA41" s="11">
        <f t="array" ref="AA41">SUM(IF(AA3:AA38="R2",1,0))</f>
        <v>1</v>
      </c>
      <c r="AB41" s="11">
        <f t="array" ref="AB41">SUM(IF(AB3:AB38="R2",1,0))</f>
        <v>1</v>
      </c>
      <c r="AC41" s="11">
        <f t="array" ref="AC41">SUM(IF(AC3:AC38="R2",1,0))</f>
        <v>1</v>
      </c>
      <c r="AD41" s="11">
        <f t="array" ref="AD41">SUM(IF(AD3:AD38="R2",1,0))</f>
        <v>1</v>
      </c>
      <c r="AE41" s="11">
        <f t="array" ref="AE41">SUM(IF(AE3:AE38="R2",1,0))</f>
        <v>1</v>
      </c>
      <c r="AF41" s="11">
        <f t="array" ref="AF41">SUM(IF(AF3:AF38="R2",1,0))</f>
        <v>1</v>
      </c>
      <c r="AG41" s="11">
        <f t="array" ref="AG41">SUM(IF(AG3:AG38="R2",1,0))</f>
        <v>1</v>
      </c>
      <c r="AH41" s="11">
        <f t="array" ref="AH41">SUM(IF(AH3:AH38="R2",1,0))</f>
        <v>1</v>
      </c>
      <c r="AI41" s="11">
        <f t="array" ref="AI41">SUM(IF(AI3:AI38="R2",1,0))</f>
        <v>1</v>
      </c>
      <c r="AJ41" s="11">
        <f t="array" ref="AJ41">SUM(IF(AJ3:AJ38="R2",1,0))</f>
        <v>1</v>
      </c>
      <c r="AK41" s="11">
        <f t="array" ref="AK41">SUM(IF(AK3:AK38="R2",1,0))</f>
        <v>1</v>
      </c>
      <c r="AL41" s="11">
        <f t="array" ref="AL41">SUM(IF(AL3:AL38="R2",1,0))</f>
        <v>1</v>
      </c>
      <c r="AM41" s="11">
        <f t="array" ref="AM41">SUM(IF(AM3:AM38="R2",1,0))</f>
        <v>1</v>
      </c>
      <c r="AN41" s="11">
        <f t="array" ref="AN41">SUM(IF(AN3:AN38="R2",1,0))</f>
        <v>1</v>
      </c>
      <c r="AO41" s="11">
        <f t="array" ref="AO41">SUM(IF(AO3:AO38="R2",1,0))</f>
        <v>1</v>
      </c>
      <c r="AP41" s="11">
        <f t="array" ref="AP41">SUM(IF(AP3:AP38="R2",1,0))</f>
        <v>1</v>
      </c>
      <c r="AQ41" s="11">
        <f t="array" ref="AQ41">SUM(IF(AQ3:AQ38="R2",1,0))</f>
        <v>1</v>
      </c>
      <c r="AR41" s="11">
        <f t="array" ref="AR41">SUM(IF(AR3:AR38="R2",1,0))</f>
        <v>1</v>
      </c>
      <c r="AS41" s="11">
        <f t="array" ref="AS41">SUM(IF(AS3:AS38="R2",1,0))</f>
        <v>1</v>
      </c>
      <c r="AT41" s="11">
        <f t="array" ref="AT41">SUM(IF(J4:J37="R2",1,0))</f>
        <v>1</v>
      </c>
      <c r="AU41" s="11">
        <f t="array" ref="AU41">SUM(IF(L4:L37="R2",1,0))</f>
        <v>1</v>
      </c>
      <c r="AV41" s="11">
        <f t="array" ref="AV41">SUM(IF(O4:O37="R2",1,0))</f>
        <v>1</v>
      </c>
      <c r="AW41" s="11" t="str">
        <f t="array" ref="AW41">SUM(IF(#REF!="R2",1,0))</f>
        <v>#REF!</v>
      </c>
      <c r="AX41" s="11">
        <f t="array" ref="AX41">SUM(IF(N4:N37="R2",1,0))</f>
        <v>1</v>
      </c>
    </row>
    <row r="42">
      <c r="E42" s="46" t="s">
        <v>71</v>
      </c>
      <c r="F42" s="29" t="str">
        <f t="shared" ref="F42:AQ42" si="8">IFERROR(INDEX($A$3:$A$38, MATCH(1, INDEX($F$3:$AQ$38, 0, MATCH(F2, $F$2:$AV$2, 0)), 0)), INDEX($A$3:$A$38, MATCH(1, INDEX($F$3:$AQ$38, 0, MATCH(F2&amp;" AM", $F$2:$AV$2, 0)), 0)))</f>
        <v>PTE HUANG JIANHAO </v>
      </c>
      <c r="G42" s="29" t="str">
        <f t="shared" si="8"/>
        <v>PTE CHONG SIANG NATHAN</v>
      </c>
      <c r="H42" s="29" t="str">
        <f t="shared" si="8"/>
        <v>3SG ANISH VINAAYAK SIVASANKAR</v>
      </c>
      <c r="I42" s="29" t="str">
        <f t="shared" si="8"/>
        <v>3SG ANISH VINAAYAK SIVASANKAR</v>
      </c>
      <c r="J42" s="29" t="str">
        <f t="shared" si="8"/>
        <v>PTE BRYAN MARC MEHAR</v>
      </c>
      <c r="K42" s="29" t="str">
        <f t="shared" si="8"/>
        <v>CPL SURIAPRAKASH THRIUVALAKU</v>
      </c>
      <c r="L42" s="29" t="str">
        <f t="shared" si="8"/>
        <v>PTE SIDDARTH SREEKUMAR CHERUBAL </v>
      </c>
      <c r="M42" s="29" t="str">
        <f t="shared" si="8"/>
        <v>CPL NICO CHUA WEE FONG </v>
      </c>
      <c r="N42" s="29" t="str">
        <f t="shared" si="8"/>
        <v>CPL JERRYL TAN MING JIE </v>
      </c>
      <c r="O42" s="29" t="str">
        <f t="shared" si="8"/>
        <v>CPL MITCHELL LIM </v>
      </c>
      <c r="P42" s="29" t="str">
        <f t="shared" si="8"/>
        <v>PTE MUHAMMAD NORSYAFIQ BIN SELAMAT</v>
      </c>
      <c r="Q42" s="29" t="str">
        <f t="shared" si="8"/>
        <v>PTE SHYEIKH SALEH HUSSAIN BIN MOHAMMED SULAIMAN</v>
      </c>
      <c r="R42" s="29" t="str">
        <f t="shared" si="8"/>
        <v>PTE BRYAN MARC MEHAR</v>
      </c>
      <c r="S42" s="29" t="str">
        <f t="shared" si="8"/>
        <v>PTE FATHUL HAKIM BIN MUHAMMAD FAUZI </v>
      </c>
      <c r="T42" s="29" t="str">
        <f t="shared" si="8"/>
        <v>LCP DYLAN TAN</v>
      </c>
      <c r="U42" s="29" t="str">
        <f t="shared" si="8"/>
        <v>PTE CHEONG JUN KAI, HARRY</v>
      </c>
      <c r="V42" s="29" t="str">
        <f t="shared" si="8"/>
        <v>CPL ISAAC LOH KA LOK</v>
      </c>
      <c r="W42" s="29" t="str">
        <f t="shared" si="8"/>
        <v>3SG ANISH VINAAYAK SIVASANKAR</v>
      </c>
      <c r="X42" s="29" t="str">
        <f t="shared" si="8"/>
        <v>PTE SHYEIKH SALEH HUSSAIN BIN MOHAMMED SULAIMAN</v>
      </c>
      <c r="Y42" s="29" t="str">
        <f t="shared" si="8"/>
        <v>PTE CHEONG KAI JIE</v>
      </c>
      <c r="Z42" s="29" t="str">
        <f t="shared" si="8"/>
        <v>PTE RYAN TAY RUI YANG</v>
      </c>
      <c r="AA42" s="29" t="str">
        <f t="shared" si="8"/>
        <v>PTE JEREMIAH FOO JI SHUAN</v>
      </c>
      <c r="AB42" s="29" t="str">
        <f t="shared" si="8"/>
        <v>PTE DARYL SEOW  SHI YU</v>
      </c>
      <c r="AC42" s="29" t="str">
        <f t="shared" si="8"/>
        <v>CPL SURIAPRAKASH THRIUVALAKU</v>
      </c>
      <c r="AD42" s="29" t="str">
        <f t="shared" si="8"/>
        <v>PTE GUO JUNQI LEO</v>
      </c>
      <c r="AE42" s="29" t="str">
        <f t="shared" si="8"/>
        <v>PTE HUANG JIANHAO </v>
      </c>
      <c r="AF42" s="29" t="str">
        <f t="shared" si="8"/>
        <v>PTE CHONG SIANG NATHAN</v>
      </c>
      <c r="AG42" s="29" t="str">
        <f t="shared" si="8"/>
        <v>PTE EBRAHIM HAKEEM BIN AMEEHAR </v>
      </c>
      <c r="AH42" s="29" t="str">
        <f t="shared" si="8"/>
        <v>PTE SHAVIN VALEN </v>
      </c>
      <c r="AI42" s="29" t="str">
        <f t="shared" si="8"/>
        <v>REC MUHAMMAD NUR HAKIM BIN SHAHARIZIN </v>
      </c>
      <c r="AJ42" s="29" t="str">
        <f t="shared" si="8"/>
        <v>PTE MUHAMMAD HILAL IZDIHAR BIN MOHAMAD IZZUL SHAH</v>
      </c>
      <c r="AK42" s="29" t="str">
        <f t="shared" si="8"/>
        <v>PTE GUO JUNQI LEO</v>
      </c>
      <c r="AL42" s="29" t="str">
        <f t="shared" si="8"/>
        <v>PTE AKMAL AHMAD PUTRA BIN SAMAD</v>
      </c>
      <c r="AM42" s="29" t="str">
        <f t="shared" si="8"/>
        <v>PTE BRYAN MARC MEHAR</v>
      </c>
      <c r="AN42" s="29" t="str">
        <f t="shared" si="8"/>
        <v>CPL NICO CHUA WEE FONG </v>
      </c>
      <c r="AO42" s="29" t="str">
        <f t="shared" si="8"/>
        <v>PTE DARYL SEOW  SHI YU</v>
      </c>
      <c r="AP42" s="29" t="str">
        <f t="shared" si="8"/>
        <v>CPL AUSTIN MAXIMILLIAN KOLBE LIM KIM</v>
      </c>
      <c r="AQ42" s="29" t="str">
        <f t="shared" si="8"/>
        <v>REC RAFALE</v>
      </c>
      <c r="AR42" s="29" t="str">
        <f t="array" ref="AR42">IFERROR(INDEX($A$3:$A$38, MATCH(1, INDEX($F$3:$AR$38, 0, MATCH(AR2, $F$2:$AV$2, 0)), 0)), INDEX($A$3:$A$38, MATCH(1, INDEX($F$3:$AQ$38, 0, MATCH(AR2&amp;" AM", $F$2:$AV$2, 0)), 0)))</f>
        <v>PTE MUHAMMAD NORSYAFIQ BIN SELAMAT</v>
      </c>
      <c r="AS42" s="29" t="str">
        <f t="array" ref="AS42">IFERROR(INDEX($A$3:$A$38, MATCH(1, INDEX($F$3:$AS$38, 0, MATCH(AS2, $F$2:$AV$2, 0)), 0)), INDEX($A$3:$A$38, MATCH(1, INDEX($F$3:$AQ$38, 0, MATCH(AS2&amp;" AM", $F$2:$AV$2, 0)), 0)))</f>
        <v>PTE CHEONG JUN KAI, HARRY</v>
      </c>
      <c r="AT42" s="29" t="str">
        <f t="array" ref="AT42">IFERROR(INDEX($A$3:$A$38, MATCH(1, INDEX($F$3:$AQ$38, 0, MATCH(AT2, $F$2:$AV$2, 0)), 0)), INDEX($A$3:$A$38, MATCH(1, INDEX($F$3:$AQ$38, 0, MATCH(AT2&amp;" AM", $F$2:$AV$2, 0)), 0)))</f>
        <v>#N/A</v>
      </c>
      <c r="AU42" s="29" t="str">
        <f t="array" ref="AU42">IFERROR(INDEX($A$3:$A$37, MATCH(1, INDEX($F$3:$AQ$37, 0, MATCH(L3, $F$2:$AV$2, 0)), 0)), INDEX($A$3:$A$37, MATCH(1, INDEX($F$3:$AQ$37, 0, MATCH(L3&amp;" AM", $F$2:$AV$2, 0)), 0)))</f>
        <v>#N/A</v>
      </c>
      <c r="AV42" s="29" t="str">
        <f t="array" ref="AV42">IFERROR(INDEX($A$3:$A$37, MATCH(1, INDEX($F$3:$AQ$37, 0, MATCH(O3, $F$2:$AV$2, 0)), 0)), INDEX($A$3:$A$37, MATCH(1, INDEX($F$3:$AQ$37, 0, MATCH(O3&amp;" AM", $F$2:$AV$2, 0)), 0)))</f>
        <v>#N/A</v>
      </c>
      <c r="AW42" s="29" t="str">
        <f t="array" ref="AW42">IFERROR(INDEX($A$3:$A$37, MATCH(1, INDEX($F$3:$AQ$37, 0, MATCH(#REF!, $F$2:$AV$2, 0)), 0)), INDEX($A$3:$A$37, MATCH(1, INDEX($F$3:$AQ$37, 0, MATCH(#REF!&amp;" AM", $F$2:$AV$2, 0)), 0)))</f>
        <v>#REF!</v>
      </c>
      <c r="AX42" s="29" t="str">
        <f t="array" ref="AX42">IFERROR(INDEX($A$3:$A$37, MATCH(1, INDEX($F$3:$AQ$37, 0, MATCH(N3, $F$2:$AV$2, 0)), 0)), INDEX($A$3:$A$37, MATCH(1, INDEX($F$3:$AQ$37, 0, MATCH(N3&amp;" AM", $F$2:$AV$2, 0)), 0)))</f>
        <v>#N/A</v>
      </c>
    </row>
    <row r="43">
      <c r="E43" s="46" t="s">
        <v>72</v>
      </c>
      <c r="F43" s="28" t="str">
        <f t="shared" ref="F43:AQ43" si="9">INDEX($A$3:$A$38, MATCH("R", INDEX($F$3:$AQ$38, 0, MATCH(F2, $F$2:$AV$2, 0)), 0))</f>
        <v>PTE EBRAHIM HAKEEM BIN AMEEHAR </v>
      </c>
      <c r="G43" s="28" t="str">
        <f t="shared" si="9"/>
        <v>PTE OH EE BING</v>
      </c>
      <c r="H43" s="28" t="str">
        <f t="shared" si="9"/>
        <v>PTE RYAN TAY RUI YANG</v>
      </c>
      <c r="I43" s="28" t="str">
        <f t="shared" si="9"/>
        <v>PTE DARYL SEOW  SHI YU</v>
      </c>
      <c r="J43" s="28" t="str">
        <f t="shared" si="9"/>
        <v>LCP DYLAN TAN</v>
      </c>
      <c r="K43" s="28" t="str">
        <f t="shared" si="9"/>
        <v>PTE HUANG JIANHAO </v>
      </c>
      <c r="L43" s="28" t="str">
        <f t="shared" si="9"/>
        <v>CPL JERRYL TAN MING JIE </v>
      </c>
      <c r="M43" s="28" t="str">
        <f t="shared" si="9"/>
        <v>CPL MITCHELL LIM </v>
      </c>
      <c r="N43" s="28" t="str">
        <f t="shared" si="9"/>
        <v>PTE CHONG SIANG NATHAN</v>
      </c>
      <c r="O43" s="28" t="str">
        <f t="shared" si="9"/>
        <v>CPL NICO CHUA WEE FONG </v>
      </c>
      <c r="P43" s="28" t="str">
        <f t="shared" si="9"/>
        <v>PTE MUHAMMAD HILAL IZDIHAR BIN MOHAMAD IZZUL SHAH</v>
      </c>
      <c r="Q43" s="28" t="str">
        <f t="shared" si="9"/>
        <v>PTE CHEONG JUN KAI, HARRY</v>
      </c>
      <c r="R43" s="28" t="str">
        <f t="shared" si="9"/>
        <v>PTE EBRAHIM HAKEEM BIN AMEEHAR </v>
      </c>
      <c r="S43" s="28" t="str">
        <f t="shared" si="9"/>
        <v>PTE MUHAMMAD NORSYAFIQ BIN SELAMAT</v>
      </c>
      <c r="T43" s="28" t="str">
        <f t="shared" si="9"/>
        <v>PTE FATHUL HAKIM BIN MUHAMMAD FAUZI </v>
      </c>
      <c r="U43" s="28" t="str">
        <f t="shared" si="9"/>
        <v>PTE RYAN TAY RUI YANG</v>
      </c>
      <c r="V43" s="28" t="str">
        <f t="shared" si="9"/>
        <v>PTE SIDDARTH SREEKUMAR CHERUBAL </v>
      </c>
      <c r="W43" s="28" t="str">
        <f t="shared" si="9"/>
        <v>CPL SURIAPRAKASH THRIUVALAKU</v>
      </c>
      <c r="X43" s="28" t="str">
        <f t="shared" si="9"/>
        <v>PTE RYAN TAY RUI YANG</v>
      </c>
      <c r="Y43" s="28" t="str">
        <f t="shared" si="9"/>
        <v>PTE EBRAHIM HAKEEM BIN AMEEHAR </v>
      </c>
      <c r="Z43" s="28" t="str">
        <f t="shared" si="9"/>
        <v>PTE DARYL SEOW  SHI YU</v>
      </c>
      <c r="AA43" s="28" t="str">
        <f t="shared" si="9"/>
        <v>PTE CHONG SIANG NATHAN</v>
      </c>
      <c r="AB43" s="28" t="str">
        <f t="shared" si="9"/>
        <v>PTE SHAVIN VALEN </v>
      </c>
      <c r="AC43" s="28" t="str">
        <f t="shared" si="9"/>
        <v>PTE FATHUL HAKIM BIN MUHAMMAD FAUZI </v>
      </c>
      <c r="AD43" s="28" t="str">
        <f t="shared" si="9"/>
        <v>LCP DYLAN TAN</v>
      </c>
      <c r="AE43" s="28" t="str">
        <f t="shared" si="9"/>
        <v>PTE SIDDARTH SREEKUMAR CHERUBAL </v>
      </c>
      <c r="AF43" s="28" t="str">
        <f t="shared" si="9"/>
        <v>CPL SURIAPRAKASH THRIUVALAKU</v>
      </c>
      <c r="AG43" s="28" t="str">
        <f t="shared" si="9"/>
        <v>3SG ANISH VINAAYAK SIVASANKAR</v>
      </c>
      <c r="AH43" s="28" t="str">
        <f t="shared" si="9"/>
        <v>PTE CHEONG JUN KAI, HARRY</v>
      </c>
      <c r="AI43" s="28" t="str">
        <f t="shared" si="9"/>
        <v>CPL AUSTIN MAXIMILLIAN KOLBE LIM KIM</v>
      </c>
      <c r="AJ43" s="28" t="str">
        <f t="shared" si="9"/>
        <v>PTE JEREMIAH FOO JI SHUAN</v>
      </c>
      <c r="AK43" s="28" t="str">
        <f t="shared" si="9"/>
        <v>PTE SHYEIKH SALEH HUSSAIN BIN MOHAMMED SULAIMAN</v>
      </c>
      <c r="AL43" s="28" t="str">
        <f t="shared" si="9"/>
        <v>PTE SHAVIN VALEN </v>
      </c>
      <c r="AM43" s="28" t="str">
        <f t="shared" si="9"/>
        <v>PTE SIDDARTH SREEKUMAR CHERUBAL </v>
      </c>
      <c r="AN43" s="28" t="str">
        <f t="shared" si="9"/>
        <v>REC MUHAMMAD NUR HAKIM BIN SHAHARIZIN </v>
      </c>
      <c r="AO43" s="28" t="str">
        <f t="shared" si="9"/>
        <v>PTE AKMAL AHMAD PUTRA BIN SAMAD</v>
      </c>
      <c r="AP43" s="28" t="str">
        <f t="shared" si="9"/>
        <v>REC MUHAMMAD NUR HAKIM BIN SHAHARIZIN </v>
      </c>
      <c r="AQ43" s="28" t="str">
        <f t="shared" si="9"/>
        <v>3SG ANISH VINAAYAK SIVASANKAR</v>
      </c>
      <c r="AR43" s="28" t="str">
        <f t="array" ref="AR43">INDEX($A$3:$A$38, MATCH("R", INDEX($F$3:$AR$38, 0, MATCH(AR2, $F$2:$AV$2, 0)), 0))</f>
        <v>REC RAFALE</v>
      </c>
      <c r="AS43" s="28" t="str">
        <f t="array" ref="AS43">INDEX($A$3:$A$38, MATCH("R", INDEX($F$3:$AS$38, 0, MATCH(AS2, $F$2:$AV$2, 0)), 0))</f>
        <v>PTE BRYAN MARC MEHAR</v>
      </c>
      <c r="AT43" s="28" t="str">
        <f t="array" ref="AT43">INDEX($A$3:$A$38, MATCH("R", INDEX($F$3:$AQ$38, 0, MATCH(AT2, $F$2:$AV$2, 0)), 0))</f>
        <v>#NUM!</v>
      </c>
      <c r="AU43" s="28" t="str">
        <f t="array" ref="AU43">INDEX($A$3:$A$37, MATCH("R", INDEX($F$3:$AQ$37, 0, MATCH(L3, $F$2:$AV$2, 0)), 0))</f>
        <v>#N/A</v>
      </c>
      <c r="AV43" s="28" t="str">
        <f t="array" ref="AV43">INDEX($A$3:$A$37, MATCH("R", INDEX($F$3:$AQ$37, 0, MATCH(O3, $F$2:$AV$2, 0)), 0))</f>
        <v>#N/A</v>
      </c>
      <c r="AW43" s="28" t="str">
        <f t="array" ref="AW43">INDEX($A$3:$A$37, MATCH("R", INDEX($F$3:$AQ$37, 0, MATCH(#REF!, $F$2:$AV$2, 0)), 0))</f>
        <v>#REF!</v>
      </c>
      <c r="AX43" s="28" t="str">
        <f t="array" ref="AX43">INDEX($A$3:$A$37, MATCH("R", INDEX($F$3:$AQ$37, 0, MATCH(N3, $F$2:$AV$2, 0)), 0))</f>
        <v>#N/A</v>
      </c>
    </row>
    <row r="44">
      <c r="A44" s="17" t="s">
        <v>232</v>
      </c>
      <c r="C44" s="49">
        <f>COUNTA($F$1:$AS1)</f>
        <v>40</v>
      </c>
      <c r="E44" s="46" t="s">
        <v>70</v>
      </c>
      <c r="F44" s="30" t="str">
        <f t="shared" ref="F44:AQ44" si="10">INDEX($A$3:$A$38, MATCH("R2", INDEX($F$3:$AQ$38, 0, MATCH(F2, $F$2:$AV$2, 0)), 0))</f>
        <v>PTE JEREMIAH FOO JI SHUAN</v>
      </c>
      <c r="G44" s="30" t="str">
        <f t="shared" si="10"/>
        <v>CPL AUSTIN MAXIMILLIAN KOLBE LIM KIM</v>
      </c>
      <c r="H44" s="30" t="str">
        <f t="shared" si="10"/>
        <v>PTE SHAVIN VALEN </v>
      </c>
      <c r="I44" s="30" t="str">
        <f t="shared" si="10"/>
        <v>PTE RYAN TAY RUI YANG</v>
      </c>
      <c r="J44" s="30" t="str">
        <f t="shared" si="10"/>
        <v>REC MUHAMMAD NUR HAKIM BIN SHAHARIZIN </v>
      </c>
      <c r="K44" s="30" t="str">
        <f t="shared" si="10"/>
        <v>PTE FATHUL HAKIM BIN MUHAMMAD FAUZI </v>
      </c>
      <c r="L44" s="30" t="str">
        <f t="shared" si="10"/>
        <v>PTE AKMAL AHMAD PUTRA BIN SAMAD</v>
      </c>
      <c r="M44" s="30" t="str">
        <f t="shared" si="10"/>
        <v>CPL SURIAPRAKASH THRIUVALAKU</v>
      </c>
      <c r="N44" s="30" t="str">
        <f t="shared" si="10"/>
        <v>CPL AUSTIN MAXIMILLIAN KOLBE LIM KIM</v>
      </c>
      <c r="O44" s="30" t="str">
        <f t="shared" si="10"/>
        <v>PTE MUHAMMAD HILAL IZDIHAR BIN MOHAMAD IZZUL SHAH</v>
      </c>
      <c r="P44" s="30" t="str">
        <f t="shared" si="10"/>
        <v>LCP DYLAN TAN</v>
      </c>
      <c r="Q44" s="30" t="str">
        <f t="shared" si="10"/>
        <v>CPL MITCHELL LIM </v>
      </c>
      <c r="R44" s="30" t="str">
        <f t="shared" si="10"/>
        <v>PTE GUO JUNQI LEO</v>
      </c>
      <c r="S44" s="30" t="str">
        <f t="shared" si="10"/>
        <v>PTE GUO JUNQI LEO</v>
      </c>
      <c r="T44" s="30" t="str">
        <f t="shared" si="10"/>
        <v>PTE SHYEIKH SALEH HUSSAIN BIN MOHAMMED SULAIMAN</v>
      </c>
      <c r="U44" s="30" t="str">
        <f t="shared" si="10"/>
        <v>CPL ISAAC LOH KA LOK</v>
      </c>
      <c r="V44" s="30" t="str">
        <f t="shared" si="10"/>
        <v>PTE AKMAL AHMAD PUTRA BIN SAMAD</v>
      </c>
      <c r="W44" s="30" t="str">
        <f t="shared" si="10"/>
        <v>PTE CHEONG JUN KAI, HARRY</v>
      </c>
      <c r="X44" s="30" t="str">
        <f t="shared" si="10"/>
        <v>PTE MUHAMMAD HILAL IZDIHAR BIN MOHAMAD IZZUL SHAH</v>
      </c>
      <c r="Y44" s="30" t="str">
        <f t="shared" si="10"/>
        <v>PTE HUANG JIANHAO </v>
      </c>
      <c r="Z44" s="30" t="str">
        <f t="shared" si="10"/>
        <v>REC RAFALE</v>
      </c>
      <c r="AA44" s="30" t="str">
        <f t="shared" si="10"/>
        <v>PTE CHEONG KAI JIE</v>
      </c>
      <c r="AB44" s="30" t="str">
        <f t="shared" si="10"/>
        <v>PTE BRYAN MARC MEHAR</v>
      </c>
      <c r="AC44" s="30" t="str">
        <f t="shared" si="10"/>
        <v>CPL NICO CHUA WEE FONG </v>
      </c>
      <c r="AD44" s="30" t="str">
        <f t="shared" si="10"/>
        <v>CPL JERRYL TAN MING JIE </v>
      </c>
      <c r="AE44" s="30" t="str">
        <f t="shared" si="10"/>
        <v>PTE AKMAL AHMAD PUTRA BIN SAMAD</v>
      </c>
      <c r="AF44" s="30" t="str">
        <f t="shared" si="10"/>
        <v>PTE RYAN TAY RUI YANG</v>
      </c>
      <c r="AG44" s="30" t="str">
        <f t="shared" si="10"/>
        <v>PTE OH EE BING</v>
      </c>
      <c r="AH44" s="30" t="str">
        <f t="shared" si="10"/>
        <v>PTE BRYAN MARC MEHAR</v>
      </c>
      <c r="AI44" s="30" t="str">
        <f t="shared" si="10"/>
        <v>PTE MUHAMMAD NORSYAFIQ BIN SELAMAT</v>
      </c>
      <c r="AJ44" s="30" t="str">
        <f t="shared" si="10"/>
        <v>CPL NICO CHUA WEE FONG </v>
      </c>
      <c r="AK44" s="30" t="str">
        <f t="shared" si="10"/>
        <v>PTE DARYL SEOW  SHI YU</v>
      </c>
      <c r="AL44" s="30" t="str">
        <f t="shared" si="10"/>
        <v>PTE MUHAMMAD NORSYAFIQ BIN SELAMAT</v>
      </c>
      <c r="AM44" s="30" t="str">
        <f t="shared" si="10"/>
        <v>CPL ISAAC LOH KA LOK</v>
      </c>
      <c r="AN44" s="30" t="str">
        <f t="shared" si="10"/>
        <v>PTE JEREMIAH FOO JI SHUAN</v>
      </c>
      <c r="AO44" s="30" t="str">
        <f t="shared" si="10"/>
        <v>REC RAFALE</v>
      </c>
      <c r="AP44" s="30" t="str">
        <f t="shared" si="10"/>
        <v>PTE EBRAHIM HAKEEM BIN AMEEHAR </v>
      </c>
      <c r="AQ44" s="30" t="str">
        <f t="shared" si="10"/>
        <v>PTE CHONG SIANG NATHAN</v>
      </c>
      <c r="AR44" s="30" t="str">
        <f t="array" ref="AR44">INDEX($A$3:$A$38, MATCH("R2", INDEX($F$3:$AR$38, 0, MATCH(AR2, $F$2:$AV$2, 0)), 0))</f>
        <v>PTE OH EE BING</v>
      </c>
      <c r="AS44" s="30" t="str">
        <f t="array" ref="AS44">INDEX($A$3:$A$38, MATCH("R2", INDEX($F$3:$AS$38, 0, MATCH(AS2, $F$2:$AV$2, 0)), 0))</f>
        <v>3SG ANISH VINAAYAK SIVASANKAR</v>
      </c>
      <c r="AT44" s="30" t="str">
        <f t="array" ref="AT44">INDEX($A$3:$A$38, MATCH("R2", INDEX($F$3:$AQ$38, 0, MATCH(AT2, $F$2:$AV$2, 0)), 0))</f>
        <v>#NUM!</v>
      </c>
      <c r="AU44" s="30" t="str">
        <f t="array" ref="AU44">INDEX($A$3:$A$37, MATCH("R2", INDEX($F$3:$AQ$37, 0, MATCH(L3, $F$2:$AV$2, 0)), 0))</f>
        <v>#N/A</v>
      </c>
      <c r="AV44" s="30" t="str">
        <f t="array" ref="AV44">INDEX($A$3:$A$37, MATCH("R2", INDEX($F$3:$AQ$37, 0, MATCH(O3, $F$2:$AV$2, 0)), 0))</f>
        <v>#N/A</v>
      </c>
      <c r="AW44" s="30" t="str">
        <f t="array" ref="AW44">INDEX($A$3:$A$37, MATCH("R2", INDEX($F$3:$AQ$37, 0, MATCH(#REF!, $F$2:$AV$2, 0)), 0))</f>
        <v>#REF!</v>
      </c>
      <c r="AX44" s="30" t="str">
        <f t="array" ref="AX44">INDEX($A$3:$A$37, MATCH("R2", INDEX($F$3:$AQ$37, 0, MATCH(N3, $F$2:$AV$2, 0)), 0))</f>
        <v>#N/A</v>
      </c>
    </row>
    <row r="45">
      <c r="A45" s="17" t="s">
        <v>154</v>
      </c>
      <c r="C45" s="50">
        <f>SUBTOTAL(103, $A$3:$A$38)
</f>
        <v>28</v>
      </c>
      <c r="M45" s="31"/>
      <c r="N45" s="31"/>
    </row>
    <row r="46">
      <c r="I46" s="17"/>
      <c r="M46" s="31"/>
      <c r="N46" s="31"/>
    </row>
    <row r="47">
      <c r="N47" s="31"/>
    </row>
    <row r="48">
      <c r="A48" s="26" t="s">
        <v>118</v>
      </c>
      <c r="G48" s="17" t="s">
        <v>727</v>
      </c>
      <c r="H48" s="162"/>
      <c r="M48" s="47"/>
      <c r="N48" s="31"/>
    </row>
    <row r="49">
      <c r="A49" s="25" t="s">
        <v>119</v>
      </c>
      <c r="G49" s="17" t="s">
        <v>730</v>
      </c>
      <c r="J49" s="162"/>
      <c r="K49" s="17"/>
      <c r="M49" s="47"/>
      <c r="N49" s="31"/>
      <c r="T49" s="17" t="s">
        <v>768</v>
      </c>
    </row>
    <row r="50">
      <c r="A50" s="22" t="s">
        <v>120</v>
      </c>
      <c r="G50" s="17" t="s">
        <v>732</v>
      </c>
      <c r="M50" s="47"/>
      <c r="N50" s="31"/>
    </row>
    <row r="51">
      <c r="A51" s="20" t="s">
        <v>121</v>
      </c>
      <c r="L51" s="47"/>
      <c r="M51" s="47"/>
      <c r="N51" s="31"/>
    </row>
    <row r="52">
      <c r="A52" s="23" t="s">
        <v>122</v>
      </c>
      <c r="G52" s="17" t="s">
        <v>736</v>
      </c>
      <c r="L52" s="47"/>
      <c r="M52" s="47"/>
      <c r="N52" s="31"/>
      <c r="O52" s="17" t="s">
        <v>769</v>
      </c>
    </row>
    <row r="53">
      <c r="A53" s="14" t="s">
        <v>123</v>
      </c>
      <c r="G53" s="17" t="s">
        <v>738</v>
      </c>
      <c r="L53" s="47"/>
      <c r="M53" s="47"/>
      <c r="O53" s="17" t="s">
        <v>770</v>
      </c>
    </row>
    <row r="54">
      <c r="A54" s="9" t="s">
        <v>125</v>
      </c>
      <c r="M54" s="47"/>
      <c r="O54" s="17" t="s">
        <v>771</v>
      </c>
      <c r="P54" s="17" t="s">
        <v>772</v>
      </c>
    </row>
    <row r="55">
      <c r="A55" s="44" t="s">
        <v>126</v>
      </c>
      <c r="C55" s="31"/>
      <c r="R55" s="17" t="s">
        <v>773</v>
      </c>
    </row>
    <row r="56">
      <c r="A56" s="62" t="s">
        <v>741</v>
      </c>
      <c r="M56" s="47"/>
      <c r="N56" s="31"/>
      <c r="P56" s="17" t="s">
        <v>774</v>
      </c>
      <c r="Q56" s="17" t="s">
        <v>775</v>
      </c>
      <c r="R56" s="17" t="s">
        <v>776</v>
      </c>
      <c r="S56" s="17" t="s">
        <v>777</v>
      </c>
    </row>
    <row r="57">
      <c r="A57" s="70" t="s">
        <v>233</v>
      </c>
      <c r="M57" s="47" t="s">
        <v>778</v>
      </c>
      <c r="N57" s="47"/>
      <c r="P57" s="17" t="s">
        <v>779</v>
      </c>
      <c r="Q57" s="17" t="s">
        <v>780</v>
      </c>
      <c r="R57" s="17" t="s">
        <v>781</v>
      </c>
    </row>
    <row r="58">
      <c r="A58" s="69" t="s">
        <v>234</v>
      </c>
      <c r="M58" s="47" t="s">
        <v>744</v>
      </c>
      <c r="N58" s="47"/>
      <c r="P58" s="17" t="s">
        <v>782</v>
      </c>
      <c r="Q58" s="17" t="s">
        <v>780</v>
      </c>
      <c r="R58" s="17" t="s">
        <v>783</v>
      </c>
    </row>
    <row r="59">
      <c r="A59" s="27" t="s">
        <v>124</v>
      </c>
      <c r="M59" s="47" t="s">
        <v>745</v>
      </c>
    </row>
    <row r="60">
      <c r="A60" s="24" t="s">
        <v>528</v>
      </c>
      <c r="M60" s="47" t="s">
        <v>784</v>
      </c>
      <c r="N60" s="31"/>
    </row>
    <row r="61">
      <c r="M61" s="31"/>
      <c r="N61" s="31"/>
    </row>
    <row r="62">
      <c r="M62" s="47" t="s">
        <v>785</v>
      </c>
      <c r="N62" s="31"/>
    </row>
    <row r="63">
      <c r="M63" s="47" t="s">
        <v>786</v>
      </c>
      <c r="N63" s="31"/>
    </row>
    <row r="64">
      <c r="M64" s="47" t="s">
        <v>787</v>
      </c>
      <c r="N64" s="31"/>
    </row>
    <row r="65">
      <c r="M65" s="47" t="s">
        <v>788</v>
      </c>
      <c r="N65" s="47" t="s">
        <v>789</v>
      </c>
    </row>
    <row r="66">
      <c r="M66" s="47" t="s">
        <v>790</v>
      </c>
      <c r="N66" s="31"/>
    </row>
    <row r="67">
      <c r="M67" s="47" t="s">
        <v>791</v>
      </c>
      <c r="N67" s="31"/>
    </row>
    <row r="68">
      <c r="M68" s="47" t="s">
        <v>792</v>
      </c>
      <c r="N68" s="31"/>
    </row>
    <row r="69">
      <c r="M69" s="31"/>
      <c r="N69" s="31"/>
    </row>
    <row r="70">
      <c r="M70" s="31"/>
      <c r="N70" s="31"/>
    </row>
    <row r="71">
      <c r="M71" s="31"/>
      <c r="N71" s="31"/>
    </row>
    <row r="72">
      <c r="M72" s="31"/>
      <c r="N72" s="31"/>
    </row>
    <row r="73">
      <c r="M73" s="31"/>
      <c r="N73" s="31"/>
    </row>
    <row r="74">
      <c r="M74" s="31"/>
      <c r="N74" s="31"/>
    </row>
    <row r="75">
      <c r="M75" s="31"/>
      <c r="N75" s="31"/>
    </row>
    <row r="76">
      <c r="M76" s="31"/>
      <c r="N76" s="31"/>
    </row>
    <row r="77">
      <c r="M77" s="31"/>
      <c r="N77" s="31"/>
    </row>
    <row r="78">
      <c r="M78" s="31"/>
      <c r="N78" s="31"/>
    </row>
    <row r="79">
      <c r="M79" s="31"/>
      <c r="N79" s="31"/>
    </row>
    <row r="80">
      <c r="M80" s="31"/>
      <c r="N80" s="31"/>
    </row>
    <row r="81">
      <c r="M81" s="31"/>
      <c r="N81" s="31"/>
    </row>
    <row r="82">
      <c r="M82" s="31"/>
      <c r="N82" s="31"/>
    </row>
    <row r="83">
      <c r="M83" s="31"/>
      <c r="N83" s="31"/>
    </row>
    <row r="84">
      <c r="M84" s="31"/>
      <c r="N84" s="31"/>
    </row>
    <row r="85">
      <c r="M85" s="31"/>
      <c r="N85" s="31"/>
    </row>
    <row r="86">
      <c r="M86" s="31"/>
      <c r="N86" s="31"/>
    </row>
    <row r="87">
      <c r="M87" s="31"/>
      <c r="N87" s="31"/>
    </row>
    <row r="88">
      <c r="M88" s="31"/>
      <c r="N88" s="31"/>
    </row>
    <row r="89">
      <c r="M89" s="31"/>
      <c r="N89" s="31"/>
    </row>
    <row r="90">
      <c r="M90" s="31"/>
      <c r="N90" s="31"/>
    </row>
    <row r="91">
      <c r="M91" s="31"/>
      <c r="N91" s="31"/>
    </row>
    <row r="92">
      <c r="M92" s="31"/>
      <c r="N92" s="31"/>
    </row>
    <row r="93">
      <c r="M93" s="31"/>
      <c r="N93" s="31"/>
    </row>
    <row r="94">
      <c r="M94" s="31"/>
      <c r="N94" s="31"/>
    </row>
    <row r="95">
      <c r="M95" s="31"/>
      <c r="N95" s="31"/>
    </row>
    <row r="96">
      <c r="M96" s="31"/>
      <c r="N96" s="31"/>
    </row>
    <row r="97">
      <c r="M97" s="31"/>
      <c r="N97" s="31"/>
    </row>
    <row r="98">
      <c r="M98" s="31"/>
      <c r="N98" s="31"/>
    </row>
    <row r="99">
      <c r="M99" s="31"/>
      <c r="N99" s="31"/>
    </row>
    <row r="100">
      <c r="M100" s="31"/>
      <c r="N100" s="31"/>
    </row>
    <row r="101">
      <c r="M101" s="31"/>
      <c r="N101" s="31"/>
    </row>
    <row r="102">
      <c r="M102" s="31"/>
      <c r="N102" s="31"/>
    </row>
    <row r="103">
      <c r="M103" s="31"/>
      <c r="N103" s="31"/>
    </row>
    <row r="104">
      <c r="M104" s="31"/>
      <c r="N104" s="31"/>
    </row>
    <row r="105">
      <c r="M105" s="31"/>
      <c r="N105" s="31"/>
    </row>
    <row r="106">
      <c r="M106" s="31"/>
      <c r="N106" s="31"/>
    </row>
    <row r="107">
      <c r="M107" s="31"/>
      <c r="N107" s="31"/>
    </row>
    <row r="108">
      <c r="M108" s="31"/>
      <c r="N108" s="31"/>
    </row>
    <row r="109">
      <c r="M109" s="31"/>
      <c r="N109" s="31"/>
    </row>
    <row r="110">
      <c r="M110" s="31"/>
      <c r="N110" s="31"/>
    </row>
    <row r="111">
      <c r="M111" s="31"/>
      <c r="N111" s="31"/>
    </row>
    <row r="112">
      <c r="M112" s="31"/>
      <c r="N112" s="31"/>
    </row>
    <row r="113">
      <c r="M113" s="31"/>
      <c r="N113" s="31"/>
    </row>
    <row r="114">
      <c r="M114" s="31"/>
      <c r="N114" s="31"/>
    </row>
    <row r="115">
      <c r="M115" s="31"/>
      <c r="N115" s="31"/>
    </row>
    <row r="116">
      <c r="M116" s="31"/>
      <c r="N116" s="31"/>
    </row>
    <row r="117">
      <c r="M117" s="31"/>
      <c r="N117" s="31"/>
    </row>
    <row r="118">
      <c r="M118" s="31"/>
      <c r="N118" s="31"/>
    </row>
    <row r="119">
      <c r="M119" s="31"/>
      <c r="N119" s="31"/>
    </row>
    <row r="120">
      <c r="M120" s="31"/>
      <c r="N120" s="31"/>
    </row>
    <row r="121">
      <c r="M121" s="31"/>
      <c r="N121" s="31"/>
    </row>
    <row r="122">
      <c r="M122" s="31"/>
      <c r="N122" s="31"/>
    </row>
    <row r="123">
      <c r="M123" s="31"/>
      <c r="N123" s="31"/>
    </row>
    <row r="124">
      <c r="M124" s="31"/>
      <c r="N124" s="31"/>
    </row>
    <row r="125">
      <c r="M125" s="31"/>
      <c r="N125" s="31"/>
    </row>
    <row r="126">
      <c r="M126" s="31"/>
      <c r="N126" s="31"/>
    </row>
    <row r="127">
      <c r="M127" s="31"/>
      <c r="N127" s="31"/>
    </row>
    <row r="128">
      <c r="M128" s="31"/>
      <c r="N128" s="31"/>
    </row>
    <row r="129">
      <c r="M129" s="31"/>
      <c r="N129" s="31"/>
    </row>
    <row r="130">
      <c r="M130" s="31"/>
      <c r="N130" s="31"/>
    </row>
    <row r="131">
      <c r="M131" s="31"/>
      <c r="N131" s="31"/>
    </row>
    <row r="132">
      <c r="M132" s="31"/>
      <c r="N132" s="31"/>
    </row>
    <row r="133">
      <c r="M133" s="31"/>
      <c r="N133" s="31"/>
    </row>
    <row r="134">
      <c r="M134" s="31"/>
      <c r="N134" s="31"/>
    </row>
    <row r="135">
      <c r="M135" s="31"/>
      <c r="N135" s="31"/>
    </row>
    <row r="136">
      <c r="M136" s="31"/>
      <c r="N136" s="31"/>
    </row>
    <row r="137">
      <c r="M137" s="31"/>
      <c r="N137" s="31"/>
    </row>
    <row r="138">
      <c r="M138" s="31"/>
      <c r="N138" s="31"/>
    </row>
    <row r="139">
      <c r="M139" s="31"/>
      <c r="N139" s="31"/>
    </row>
    <row r="140">
      <c r="M140" s="31"/>
      <c r="N140" s="31"/>
    </row>
    <row r="141">
      <c r="M141" s="31"/>
      <c r="N141" s="31"/>
    </row>
    <row r="142">
      <c r="M142" s="31"/>
      <c r="N142" s="31"/>
    </row>
    <row r="143">
      <c r="M143" s="31"/>
      <c r="N143" s="31"/>
    </row>
    <row r="144">
      <c r="M144" s="31"/>
      <c r="N144" s="31"/>
    </row>
    <row r="145">
      <c r="M145" s="31"/>
      <c r="N145" s="31"/>
    </row>
    <row r="146">
      <c r="M146" s="31"/>
      <c r="N146" s="31"/>
    </row>
    <row r="147">
      <c r="M147" s="31"/>
      <c r="N147" s="31"/>
    </row>
    <row r="148">
      <c r="M148" s="31"/>
      <c r="N148" s="31"/>
    </row>
    <row r="149">
      <c r="M149" s="31"/>
      <c r="N149" s="31"/>
    </row>
    <row r="150">
      <c r="M150" s="31"/>
      <c r="N150" s="31"/>
    </row>
    <row r="151">
      <c r="M151" s="31"/>
      <c r="N151" s="31"/>
    </row>
    <row r="152">
      <c r="M152" s="31"/>
      <c r="N152" s="31"/>
    </row>
    <row r="153">
      <c r="M153" s="31"/>
      <c r="N153" s="31"/>
    </row>
    <row r="154">
      <c r="M154" s="31"/>
      <c r="N154" s="31"/>
    </row>
    <row r="155">
      <c r="M155" s="31"/>
      <c r="N155" s="31"/>
    </row>
    <row r="156">
      <c r="M156" s="31"/>
      <c r="N156" s="31"/>
    </row>
    <row r="157">
      <c r="M157" s="31"/>
      <c r="N157" s="31"/>
    </row>
    <row r="158">
      <c r="M158" s="31"/>
      <c r="N158" s="31"/>
    </row>
    <row r="159">
      <c r="M159" s="31"/>
      <c r="N159" s="31"/>
    </row>
    <row r="160">
      <c r="M160" s="31"/>
      <c r="N160" s="31"/>
    </row>
    <row r="161">
      <c r="M161" s="31"/>
      <c r="N161" s="31"/>
    </row>
    <row r="162">
      <c r="M162" s="31"/>
      <c r="N162" s="31"/>
    </row>
    <row r="163">
      <c r="M163" s="31"/>
      <c r="N163" s="31"/>
    </row>
    <row r="164">
      <c r="M164" s="31"/>
      <c r="N164" s="31"/>
    </row>
    <row r="165">
      <c r="M165" s="31"/>
      <c r="N165" s="31"/>
    </row>
    <row r="166">
      <c r="M166" s="31"/>
      <c r="N166" s="31"/>
    </row>
    <row r="167">
      <c r="M167" s="31"/>
      <c r="N167" s="31"/>
    </row>
    <row r="168">
      <c r="M168" s="31"/>
      <c r="N168" s="31"/>
    </row>
    <row r="169">
      <c r="M169" s="31"/>
      <c r="N169" s="31"/>
    </row>
    <row r="170">
      <c r="M170" s="31"/>
      <c r="N170" s="31"/>
    </row>
    <row r="171">
      <c r="M171" s="31"/>
      <c r="N171" s="31"/>
    </row>
    <row r="172">
      <c r="M172" s="31"/>
      <c r="N172" s="31"/>
    </row>
    <row r="173">
      <c r="M173" s="31"/>
      <c r="N173" s="31"/>
    </row>
    <row r="174">
      <c r="M174" s="31"/>
      <c r="N174" s="31"/>
    </row>
    <row r="175">
      <c r="M175" s="31"/>
      <c r="N175" s="31"/>
    </row>
    <row r="176">
      <c r="M176" s="31"/>
      <c r="N176" s="31"/>
    </row>
    <row r="177">
      <c r="M177" s="31"/>
      <c r="N177" s="31"/>
    </row>
    <row r="178">
      <c r="M178" s="31"/>
      <c r="N178" s="31"/>
    </row>
    <row r="179">
      <c r="M179" s="31"/>
      <c r="N179" s="31"/>
    </row>
    <row r="180">
      <c r="M180" s="31"/>
      <c r="N180" s="31"/>
    </row>
    <row r="181">
      <c r="M181" s="31"/>
      <c r="N181" s="31"/>
    </row>
    <row r="182">
      <c r="M182" s="31"/>
      <c r="N182" s="31"/>
    </row>
    <row r="183">
      <c r="M183" s="31"/>
      <c r="N183" s="31"/>
    </row>
    <row r="184">
      <c r="M184" s="31"/>
      <c r="N184" s="31"/>
    </row>
    <row r="185">
      <c r="M185" s="31"/>
      <c r="N185" s="31"/>
    </row>
    <row r="186">
      <c r="M186" s="31"/>
      <c r="N186" s="31"/>
    </row>
    <row r="187">
      <c r="M187" s="31"/>
      <c r="N187" s="31"/>
    </row>
    <row r="188">
      <c r="M188" s="31"/>
      <c r="N188" s="31"/>
    </row>
    <row r="189">
      <c r="M189" s="31"/>
      <c r="N189" s="31"/>
    </row>
    <row r="190">
      <c r="M190" s="31"/>
      <c r="N190" s="31"/>
    </row>
    <row r="191">
      <c r="M191" s="31"/>
      <c r="N191" s="31"/>
    </row>
    <row r="192">
      <c r="M192" s="31"/>
      <c r="N192" s="31"/>
    </row>
    <row r="193">
      <c r="M193" s="31"/>
      <c r="N193" s="31"/>
    </row>
    <row r="194">
      <c r="M194" s="31"/>
      <c r="N194" s="31"/>
    </row>
    <row r="195">
      <c r="M195" s="31"/>
      <c r="N195" s="31"/>
    </row>
    <row r="196">
      <c r="M196" s="31"/>
      <c r="N196" s="31"/>
    </row>
    <row r="197">
      <c r="M197" s="31"/>
      <c r="N197" s="31"/>
    </row>
    <row r="198">
      <c r="M198" s="31"/>
      <c r="N198" s="31"/>
    </row>
    <row r="199">
      <c r="M199" s="31"/>
      <c r="N199" s="31"/>
    </row>
    <row r="200">
      <c r="M200" s="31"/>
      <c r="N200" s="31"/>
    </row>
    <row r="201">
      <c r="M201" s="31"/>
      <c r="N201" s="31"/>
    </row>
    <row r="202">
      <c r="M202" s="31"/>
      <c r="N202" s="31"/>
    </row>
    <row r="203">
      <c r="M203" s="31"/>
      <c r="N203" s="31"/>
    </row>
    <row r="204">
      <c r="M204" s="31"/>
      <c r="N204" s="31"/>
    </row>
    <row r="205">
      <c r="M205" s="31"/>
      <c r="N205" s="31"/>
    </row>
    <row r="206">
      <c r="M206" s="31"/>
      <c r="N206" s="31"/>
    </row>
    <row r="207">
      <c r="M207" s="31"/>
      <c r="N207" s="31"/>
    </row>
    <row r="208">
      <c r="M208" s="31"/>
      <c r="N208" s="31"/>
    </row>
    <row r="209">
      <c r="M209" s="31"/>
      <c r="N209" s="31"/>
    </row>
    <row r="210">
      <c r="M210" s="31"/>
      <c r="N210" s="31"/>
    </row>
    <row r="211">
      <c r="M211" s="31"/>
      <c r="N211" s="31"/>
    </row>
    <row r="212">
      <c r="M212" s="31"/>
      <c r="N212" s="31"/>
    </row>
    <row r="213">
      <c r="M213" s="31"/>
      <c r="N213" s="31"/>
    </row>
    <row r="214">
      <c r="M214" s="31"/>
      <c r="N214" s="31"/>
    </row>
    <row r="215">
      <c r="M215" s="31"/>
      <c r="N215" s="31"/>
    </row>
    <row r="216">
      <c r="M216" s="31"/>
      <c r="N216" s="31"/>
    </row>
    <row r="217">
      <c r="M217" s="31"/>
      <c r="N217" s="31"/>
    </row>
    <row r="218">
      <c r="M218" s="31"/>
      <c r="N218" s="31"/>
    </row>
    <row r="219">
      <c r="M219" s="31"/>
      <c r="N219" s="31"/>
    </row>
    <row r="220">
      <c r="M220" s="31"/>
      <c r="N220" s="31"/>
    </row>
    <row r="221">
      <c r="M221" s="31"/>
      <c r="N221" s="31"/>
    </row>
    <row r="222">
      <c r="M222" s="31"/>
      <c r="N222" s="31"/>
    </row>
    <row r="223">
      <c r="M223" s="31"/>
      <c r="N223" s="31"/>
    </row>
    <row r="224">
      <c r="M224" s="31"/>
      <c r="N224" s="31"/>
    </row>
    <row r="225">
      <c r="M225" s="31"/>
      <c r="N225" s="31"/>
    </row>
    <row r="226">
      <c r="M226" s="31"/>
      <c r="N226" s="31"/>
    </row>
    <row r="227">
      <c r="M227" s="31"/>
      <c r="N227" s="31"/>
    </row>
    <row r="228">
      <c r="M228" s="31"/>
      <c r="N228" s="31"/>
    </row>
    <row r="229">
      <c r="M229" s="31"/>
      <c r="N229" s="31"/>
    </row>
    <row r="230">
      <c r="M230" s="31"/>
      <c r="N230" s="31"/>
    </row>
    <row r="231">
      <c r="M231" s="31"/>
      <c r="N231" s="31"/>
    </row>
    <row r="232">
      <c r="M232" s="31"/>
      <c r="N232" s="31"/>
    </row>
    <row r="233">
      <c r="M233" s="31"/>
      <c r="N233" s="31"/>
    </row>
    <row r="234">
      <c r="M234" s="31"/>
      <c r="N234" s="31"/>
    </row>
    <row r="235">
      <c r="M235" s="31"/>
      <c r="N235" s="31"/>
    </row>
    <row r="236">
      <c r="M236" s="31"/>
      <c r="N236" s="31"/>
    </row>
    <row r="237">
      <c r="M237" s="31"/>
      <c r="N237" s="31"/>
    </row>
    <row r="238">
      <c r="M238" s="31"/>
      <c r="N238" s="31"/>
    </row>
    <row r="239">
      <c r="M239" s="31"/>
      <c r="N239" s="31"/>
    </row>
    <row r="240">
      <c r="M240" s="31"/>
      <c r="N240" s="31"/>
    </row>
    <row r="241">
      <c r="M241" s="31"/>
      <c r="N241" s="31"/>
    </row>
    <row r="242">
      <c r="M242" s="31"/>
      <c r="N242" s="31"/>
    </row>
    <row r="243">
      <c r="M243" s="31"/>
      <c r="N243" s="31"/>
    </row>
    <row r="244">
      <c r="M244" s="31"/>
      <c r="N244" s="31"/>
    </row>
    <row r="245">
      <c r="M245" s="31"/>
      <c r="N245" s="31"/>
    </row>
    <row r="246">
      <c r="M246" s="31"/>
      <c r="N246" s="31"/>
    </row>
    <row r="247">
      <c r="M247" s="31"/>
      <c r="N247" s="31"/>
    </row>
    <row r="248">
      <c r="M248" s="31"/>
      <c r="N248" s="31"/>
    </row>
    <row r="249">
      <c r="M249" s="31"/>
      <c r="N249" s="31"/>
    </row>
    <row r="250">
      <c r="M250" s="31"/>
      <c r="N250" s="31"/>
    </row>
    <row r="251">
      <c r="M251" s="31"/>
      <c r="N251" s="31"/>
    </row>
    <row r="252">
      <c r="M252" s="31"/>
      <c r="N252" s="31"/>
    </row>
    <row r="253">
      <c r="M253" s="31"/>
      <c r="N253" s="31"/>
    </row>
    <row r="254">
      <c r="M254" s="31"/>
      <c r="N254" s="31"/>
    </row>
    <row r="255">
      <c r="M255" s="31"/>
      <c r="N255" s="31"/>
    </row>
    <row r="256">
      <c r="M256" s="31"/>
      <c r="N256" s="31"/>
    </row>
    <row r="257">
      <c r="M257" s="31"/>
      <c r="N257" s="31"/>
    </row>
    <row r="258">
      <c r="M258" s="31"/>
      <c r="N258" s="31"/>
    </row>
    <row r="259">
      <c r="M259" s="31"/>
      <c r="N259" s="31"/>
    </row>
    <row r="260">
      <c r="M260" s="31"/>
      <c r="N260" s="31"/>
    </row>
    <row r="261">
      <c r="M261" s="31"/>
      <c r="N261" s="31"/>
    </row>
    <row r="262">
      <c r="M262" s="31"/>
      <c r="N262" s="31"/>
    </row>
    <row r="263">
      <c r="M263" s="31"/>
      <c r="N263" s="31"/>
    </row>
    <row r="264">
      <c r="M264" s="31"/>
      <c r="N264" s="31"/>
    </row>
    <row r="265">
      <c r="M265" s="31"/>
      <c r="N265" s="31"/>
    </row>
    <row r="266">
      <c r="M266" s="31"/>
      <c r="N266" s="31"/>
    </row>
    <row r="267">
      <c r="M267" s="31"/>
      <c r="N267" s="31"/>
    </row>
    <row r="268">
      <c r="M268" s="31"/>
      <c r="N268" s="31"/>
    </row>
    <row r="269">
      <c r="M269" s="31"/>
      <c r="N269" s="31"/>
    </row>
    <row r="270">
      <c r="M270" s="31"/>
      <c r="N270" s="31"/>
    </row>
    <row r="271">
      <c r="M271" s="31"/>
      <c r="N271" s="31"/>
    </row>
    <row r="272">
      <c r="M272" s="31"/>
      <c r="N272" s="31"/>
    </row>
    <row r="273">
      <c r="M273" s="31"/>
      <c r="N273" s="31"/>
    </row>
    <row r="274">
      <c r="M274" s="31"/>
      <c r="N274" s="31"/>
    </row>
    <row r="275">
      <c r="M275" s="31"/>
      <c r="N275" s="31"/>
    </row>
    <row r="276">
      <c r="M276" s="31"/>
      <c r="N276" s="31"/>
    </row>
    <row r="277">
      <c r="M277" s="31"/>
      <c r="N277" s="31"/>
    </row>
    <row r="278">
      <c r="M278" s="31"/>
      <c r="N278" s="31"/>
    </row>
    <row r="279">
      <c r="M279" s="31"/>
      <c r="N279" s="31"/>
    </row>
    <row r="280">
      <c r="M280" s="31"/>
      <c r="N280" s="31"/>
    </row>
    <row r="281">
      <c r="M281" s="31"/>
      <c r="N281" s="31"/>
    </row>
    <row r="282">
      <c r="M282" s="31"/>
      <c r="N282" s="31"/>
    </row>
    <row r="283">
      <c r="M283" s="31"/>
      <c r="N283" s="31"/>
    </row>
    <row r="284">
      <c r="M284" s="31"/>
      <c r="N284" s="31"/>
    </row>
    <row r="285">
      <c r="M285" s="31"/>
      <c r="N285" s="31"/>
    </row>
    <row r="286">
      <c r="M286" s="31"/>
      <c r="N286" s="31"/>
    </row>
    <row r="287">
      <c r="M287" s="31"/>
      <c r="N287" s="31"/>
    </row>
    <row r="288">
      <c r="M288" s="31"/>
      <c r="N288" s="31"/>
    </row>
    <row r="289">
      <c r="M289" s="31"/>
      <c r="N289" s="31"/>
    </row>
    <row r="290">
      <c r="M290" s="31"/>
      <c r="N290" s="31"/>
    </row>
    <row r="291">
      <c r="M291" s="31"/>
      <c r="N291" s="31"/>
    </row>
    <row r="292">
      <c r="M292" s="31"/>
      <c r="N292" s="31"/>
    </row>
    <row r="293">
      <c r="M293" s="31"/>
      <c r="N293" s="31"/>
    </row>
    <row r="294">
      <c r="M294" s="31"/>
      <c r="N294" s="31"/>
    </row>
    <row r="295">
      <c r="M295" s="31"/>
      <c r="N295" s="31"/>
    </row>
    <row r="296">
      <c r="M296" s="31"/>
      <c r="N296" s="31"/>
    </row>
    <row r="297">
      <c r="M297" s="31"/>
      <c r="N297" s="31"/>
    </row>
    <row r="298">
      <c r="M298" s="31"/>
      <c r="N298" s="31"/>
    </row>
    <row r="299">
      <c r="M299" s="31"/>
      <c r="N299" s="31"/>
    </row>
    <row r="300">
      <c r="M300" s="31"/>
      <c r="N300" s="31"/>
    </row>
    <row r="301">
      <c r="M301" s="31"/>
      <c r="N301" s="31"/>
    </row>
    <row r="302">
      <c r="M302" s="31"/>
      <c r="N302" s="31"/>
    </row>
    <row r="303">
      <c r="M303" s="31"/>
      <c r="N303" s="31"/>
    </row>
    <row r="304">
      <c r="M304" s="31"/>
      <c r="N304" s="31"/>
    </row>
    <row r="305">
      <c r="M305" s="31"/>
      <c r="N305" s="31"/>
    </row>
    <row r="306">
      <c r="M306" s="31"/>
      <c r="N306" s="31"/>
    </row>
    <row r="307">
      <c r="M307" s="31"/>
      <c r="N307" s="31"/>
    </row>
    <row r="308">
      <c r="M308" s="31"/>
      <c r="N308" s="31"/>
    </row>
    <row r="309">
      <c r="M309" s="31"/>
      <c r="N309" s="31"/>
    </row>
    <row r="310">
      <c r="M310" s="31"/>
      <c r="N310" s="31"/>
    </row>
    <row r="311">
      <c r="M311" s="31"/>
      <c r="N311" s="31"/>
    </row>
    <row r="312">
      <c r="M312" s="31"/>
      <c r="N312" s="31"/>
    </row>
    <row r="313">
      <c r="M313" s="31"/>
      <c r="N313" s="31"/>
    </row>
    <row r="314">
      <c r="M314" s="31"/>
      <c r="N314" s="31"/>
    </row>
    <row r="315">
      <c r="M315" s="31"/>
      <c r="N315" s="31"/>
    </row>
    <row r="316">
      <c r="M316" s="31"/>
      <c r="N316" s="31"/>
    </row>
    <row r="317">
      <c r="M317" s="31"/>
      <c r="N317" s="31"/>
    </row>
    <row r="318">
      <c r="M318" s="31"/>
      <c r="N318" s="31"/>
    </row>
    <row r="319">
      <c r="M319" s="31"/>
      <c r="N319" s="31"/>
    </row>
    <row r="320">
      <c r="M320" s="31"/>
      <c r="N320" s="31"/>
    </row>
    <row r="321">
      <c r="M321" s="31"/>
      <c r="N321" s="31"/>
    </row>
    <row r="322">
      <c r="M322" s="31"/>
      <c r="N322" s="31"/>
    </row>
    <row r="323">
      <c r="M323" s="31"/>
      <c r="N323" s="31"/>
    </row>
    <row r="324">
      <c r="M324" s="31"/>
      <c r="N324" s="31"/>
    </row>
    <row r="325">
      <c r="M325" s="31"/>
      <c r="N325" s="31"/>
    </row>
    <row r="326">
      <c r="M326" s="31"/>
      <c r="N326" s="31"/>
    </row>
    <row r="327">
      <c r="M327" s="31"/>
      <c r="N327" s="31"/>
    </row>
    <row r="328">
      <c r="M328" s="31"/>
      <c r="N328" s="31"/>
    </row>
    <row r="329">
      <c r="M329" s="31"/>
      <c r="N329" s="31"/>
    </row>
    <row r="330">
      <c r="M330" s="31"/>
      <c r="N330" s="31"/>
    </row>
    <row r="331">
      <c r="M331" s="31"/>
      <c r="N331" s="31"/>
    </row>
    <row r="332">
      <c r="M332" s="31"/>
      <c r="N332" s="31"/>
    </row>
    <row r="333">
      <c r="M333" s="31"/>
      <c r="N333" s="31"/>
    </row>
    <row r="334">
      <c r="M334" s="31"/>
      <c r="N334" s="31"/>
    </row>
    <row r="335">
      <c r="M335" s="31"/>
      <c r="N335" s="31"/>
    </row>
    <row r="336">
      <c r="M336" s="31"/>
      <c r="N336" s="31"/>
    </row>
    <row r="337">
      <c r="M337" s="31"/>
      <c r="N337" s="31"/>
    </row>
    <row r="338">
      <c r="M338" s="31"/>
      <c r="N338" s="31"/>
    </row>
    <row r="339">
      <c r="M339" s="31"/>
      <c r="N339" s="31"/>
    </row>
    <row r="340">
      <c r="M340" s="31"/>
      <c r="N340" s="31"/>
    </row>
    <row r="341">
      <c r="M341" s="31"/>
      <c r="N341" s="31"/>
    </row>
    <row r="342">
      <c r="M342" s="31"/>
      <c r="N342" s="31"/>
    </row>
    <row r="343">
      <c r="M343" s="31"/>
      <c r="N343" s="31"/>
    </row>
    <row r="344">
      <c r="M344" s="31"/>
      <c r="N344" s="31"/>
    </row>
    <row r="345">
      <c r="M345" s="31"/>
      <c r="N345" s="31"/>
    </row>
    <row r="346">
      <c r="M346" s="31"/>
      <c r="N346" s="31"/>
    </row>
    <row r="347">
      <c r="M347" s="31"/>
      <c r="N347" s="31"/>
    </row>
    <row r="348">
      <c r="M348" s="31"/>
      <c r="N348" s="31"/>
    </row>
    <row r="349">
      <c r="M349" s="31"/>
      <c r="N349" s="31"/>
    </row>
    <row r="350">
      <c r="M350" s="31"/>
      <c r="N350" s="31"/>
    </row>
    <row r="351">
      <c r="M351" s="31"/>
      <c r="N351" s="31"/>
    </row>
    <row r="352">
      <c r="M352" s="31"/>
      <c r="N352" s="31"/>
    </row>
    <row r="353">
      <c r="M353" s="31"/>
      <c r="N353" s="31"/>
    </row>
    <row r="354">
      <c r="M354" s="31"/>
      <c r="N354" s="31"/>
    </row>
    <row r="355">
      <c r="M355" s="31"/>
      <c r="N355" s="31"/>
    </row>
    <row r="356">
      <c r="M356" s="31"/>
      <c r="N356" s="31"/>
    </row>
    <row r="357">
      <c r="M357" s="31"/>
      <c r="N357" s="31"/>
    </row>
    <row r="358">
      <c r="M358" s="31"/>
      <c r="N358" s="31"/>
    </row>
    <row r="359">
      <c r="M359" s="31"/>
      <c r="N359" s="31"/>
    </row>
    <row r="360">
      <c r="M360" s="31"/>
      <c r="N360" s="31"/>
    </row>
    <row r="361">
      <c r="M361" s="31"/>
      <c r="N361" s="31"/>
    </row>
    <row r="362">
      <c r="M362" s="31"/>
      <c r="N362" s="31"/>
    </row>
    <row r="363">
      <c r="M363" s="31"/>
      <c r="N363" s="31"/>
    </row>
    <row r="364">
      <c r="M364" s="31"/>
      <c r="N364" s="31"/>
    </row>
    <row r="365">
      <c r="M365" s="31"/>
      <c r="N365" s="31"/>
    </row>
    <row r="366">
      <c r="M366" s="31"/>
      <c r="N366" s="31"/>
    </row>
    <row r="367">
      <c r="M367" s="31"/>
      <c r="N367" s="31"/>
    </row>
    <row r="368">
      <c r="M368" s="31"/>
      <c r="N368" s="31"/>
    </row>
    <row r="369">
      <c r="M369" s="31"/>
      <c r="N369" s="31"/>
    </row>
    <row r="370">
      <c r="M370" s="31"/>
      <c r="N370" s="31"/>
    </row>
    <row r="371">
      <c r="M371" s="31"/>
      <c r="N371" s="31"/>
    </row>
    <row r="372">
      <c r="M372" s="31"/>
      <c r="N372" s="31"/>
    </row>
    <row r="373">
      <c r="M373" s="31"/>
      <c r="N373" s="31"/>
    </row>
    <row r="374">
      <c r="M374" s="31"/>
      <c r="N374" s="31"/>
    </row>
    <row r="375">
      <c r="M375" s="31"/>
      <c r="N375" s="31"/>
    </row>
    <row r="376">
      <c r="M376" s="31"/>
      <c r="N376" s="31"/>
    </row>
    <row r="377">
      <c r="M377" s="31"/>
      <c r="N377" s="31"/>
    </row>
    <row r="378">
      <c r="M378" s="31"/>
      <c r="N378" s="31"/>
    </row>
    <row r="379">
      <c r="M379" s="31"/>
      <c r="N379" s="31"/>
    </row>
    <row r="380">
      <c r="M380" s="31"/>
      <c r="N380" s="31"/>
    </row>
    <row r="381">
      <c r="M381" s="31"/>
      <c r="N381" s="31"/>
    </row>
    <row r="382">
      <c r="M382" s="31"/>
      <c r="N382" s="31"/>
    </row>
    <row r="383">
      <c r="M383" s="31"/>
      <c r="N383" s="31"/>
    </row>
    <row r="384">
      <c r="M384" s="31"/>
      <c r="N384" s="31"/>
    </row>
    <row r="385">
      <c r="M385" s="31"/>
      <c r="N385" s="31"/>
    </row>
    <row r="386">
      <c r="M386" s="31"/>
      <c r="N386" s="31"/>
    </row>
    <row r="387">
      <c r="M387" s="31"/>
      <c r="N387" s="31"/>
    </row>
    <row r="388">
      <c r="M388" s="31"/>
      <c r="N388" s="31"/>
    </row>
    <row r="389">
      <c r="M389" s="31"/>
      <c r="N389" s="31"/>
    </row>
    <row r="390">
      <c r="M390" s="31"/>
      <c r="N390" s="31"/>
    </row>
    <row r="391">
      <c r="M391" s="31"/>
      <c r="N391" s="31"/>
    </row>
    <row r="392">
      <c r="M392" s="31"/>
      <c r="N392" s="31"/>
    </row>
    <row r="393">
      <c r="M393" s="31"/>
      <c r="N393" s="31"/>
    </row>
    <row r="394">
      <c r="M394" s="31"/>
      <c r="N394" s="31"/>
    </row>
    <row r="395">
      <c r="M395" s="31"/>
      <c r="N395" s="31"/>
    </row>
    <row r="396">
      <c r="M396" s="31"/>
      <c r="N396" s="31"/>
    </row>
    <row r="397">
      <c r="M397" s="31"/>
      <c r="N397" s="31"/>
    </row>
    <row r="398">
      <c r="M398" s="31"/>
      <c r="N398" s="31"/>
    </row>
    <row r="399">
      <c r="M399" s="31"/>
      <c r="N399" s="31"/>
    </row>
    <row r="400">
      <c r="M400" s="31"/>
      <c r="N400" s="31"/>
    </row>
    <row r="401">
      <c r="M401" s="31"/>
      <c r="N401" s="31"/>
    </row>
    <row r="402">
      <c r="M402" s="31"/>
      <c r="N402" s="31"/>
    </row>
    <row r="403">
      <c r="M403" s="31"/>
      <c r="N403" s="31"/>
    </row>
    <row r="404">
      <c r="M404" s="31"/>
      <c r="N404" s="31"/>
    </row>
    <row r="405">
      <c r="M405" s="31"/>
      <c r="N405" s="31"/>
    </row>
    <row r="406">
      <c r="M406" s="31"/>
      <c r="N406" s="31"/>
    </row>
    <row r="407">
      <c r="M407" s="31"/>
      <c r="N407" s="31"/>
    </row>
    <row r="408">
      <c r="M408" s="31"/>
      <c r="N408" s="31"/>
    </row>
    <row r="409">
      <c r="M409" s="31"/>
      <c r="N409" s="31"/>
    </row>
    <row r="410">
      <c r="M410" s="31"/>
      <c r="N410" s="31"/>
    </row>
    <row r="411">
      <c r="M411" s="31"/>
      <c r="N411" s="31"/>
    </row>
    <row r="412">
      <c r="M412" s="31"/>
      <c r="N412" s="31"/>
    </row>
    <row r="413">
      <c r="M413" s="31"/>
      <c r="N413" s="31"/>
    </row>
    <row r="414">
      <c r="M414" s="31"/>
      <c r="N414" s="31"/>
    </row>
    <row r="415">
      <c r="M415" s="31"/>
      <c r="N415" s="31"/>
    </row>
    <row r="416">
      <c r="M416" s="31"/>
      <c r="N416" s="31"/>
    </row>
    <row r="417">
      <c r="M417" s="31"/>
      <c r="N417" s="31"/>
    </row>
    <row r="418">
      <c r="M418" s="31"/>
      <c r="N418" s="31"/>
    </row>
    <row r="419">
      <c r="M419" s="31"/>
      <c r="N419" s="31"/>
    </row>
    <row r="420">
      <c r="M420" s="31"/>
      <c r="N420" s="31"/>
    </row>
    <row r="421">
      <c r="M421" s="31"/>
      <c r="N421" s="31"/>
    </row>
    <row r="422">
      <c r="M422" s="31"/>
      <c r="N422" s="31"/>
    </row>
    <row r="423">
      <c r="M423" s="31"/>
      <c r="N423" s="31"/>
    </row>
    <row r="424">
      <c r="M424" s="31"/>
      <c r="N424" s="31"/>
    </row>
    <row r="425">
      <c r="M425" s="31"/>
      <c r="N425" s="31"/>
    </row>
    <row r="426">
      <c r="M426" s="31"/>
      <c r="N426" s="31"/>
    </row>
    <row r="427">
      <c r="M427" s="31"/>
      <c r="N427" s="31"/>
    </row>
    <row r="428">
      <c r="M428" s="31"/>
      <c r="N428" s="31"/>
    </row>
    <row r="429">
      <c r="M429" s="31"/>
      <c r="N429" s="31"/>
    </row>
    <row r="430">
      <c r="M430" s="31"/>
      <c r="N430" s="31"/>
    </row>
    <row r="431">
      <c r="M431" s="31"/>
      <c r="N431" s="31"/>
    </row>
    <row r="432">
      <c r="M432" s="31"/>
      <c r="N432" s="31"/>
    </row>
    <row r="433">
      <c r="M433" s="31"/>
      <c r="N433" s="31"/>
    </row>
    <row r="434">
      <c r="M434" s="31"/>
      <c r="N434" s="31"/>
    </row>
    <row r="435">
      <c r="M435" s="31"/>
      <c r="N435" s="31"/>
    </row>
    <row r="436">
      <c r="M436" s="31"/>
      <c r="N436" s="31"/>
    </row>
    <row r="437">
      <c r="M437" s="31"/>
      <c r="N437" s="31"/>
    </row>
    <row r="438">
      <c r="M438" s="31"/>
      <c r="N438" s="31"/>
    </row>
    <row r="439">
      <c r="M439" s="31"/>
      <c r="N439" s="31"/>
    </row>
    <row r="440">
      <c r="M440" s="31"/>
      <c r="N440" s="31"/>
    </row>
    <row r="441">
      <c r="M441" s="31"/>
      <c r="N441" s="31"/>
    </row>
    <row r="442">
      <c r="M442" s="31"/>
      <c r="N442" s="31"/>
    </row>
    <row r="443">
      <c r="M443" s="31"/>
      <c r="N443" s="31"/>
    </row>
    <row r="444">
      <c r="M444" s="31"/>
      <c r="N444" s="31"/>
    </row>
    <row r="445">
      <c r="M445" s="31"/>
      <c r="N445" s="31"/>
    </row>
    <row r="446">
      <c r="M446" s="31"/>
      <c r="N446" s="31"/>
    </row>
    <row r="447">
      <c r="M447" s="31"/>
      <c r="N447" s="31"/>
    </row>
    <row r="448">
      <c r="M448" s="31"/>
      <c r="N448" s="31"/>
    </row>
    <row r="449">
      <c r="M449" s="31"/>
      <c r="N449" s="31"/>
    </row>
    <row r="450">
      <c r="M450" s="31"/>
      <c r="N450" s="31"/>
    </row>
    <row r="451">
      <c r="M451" s="31"/>
      <c r="N451" s="31"/>
    </row>
    <row r="452">
      <c r="M452" s="31"/>
      <c r="N452" s="31"/>
    </row>
    <row r="453">
      <c r="M453" s="31"/>
      <c r="N453" s="31"/>
    </row>
    <row r="454">
      <c r="M454" s="31"/>
      <c r="N454" s="31"/>
    </row>
    <row r="455">
      <c r="M455" s="31"/>
      <c r="N455" s="31"/>
    </row>
    <row r="456">
      <c r="M456" s="31"/>
      <c r="N456" s="31"/>
    </row>
    <row r="457">
      <c r="M457" s="31"/>
      <c r="N457" s="31"/>
    </row>
    <row r="458">
      <c r="M458" s="31"/>
      <c r="N458" s="31"/>
    </row>
    <row r="459">
      <c r="M459" s="31"/>
      <c r="N459" s="31"/>
    </row>
    <row r="460">
      <c r="M460" s="31"/>
      <c r="N460" s="31"/>
    </row>
    <row r="461">
      <c r="M461" s="31"/>
      <c r="N461" s="31"/>
    </row>
    <row r="462">
      <c r="M462" s="31"/>
      <c r="N462" s="31"/>
    </row>
    <row r="463">
      <c r="M463" s="31"/>
      <c r="N463" s="31"/>
    </row>
    <row r="464">
      <c r="M464" s="31"/>
      <c r="N464" s="31"/>
    </row>
    <row r="465">
      <c r="M465" s="31"/>
      <c r="N465" s="31"/>
    </row>
    <row r="466">
      <c r="M466" s="31"/>
      <c r="N466" s="31"/>
    </row>
    <row r="467">
      <c r="M467" s="31"/>
      <c r="N467" s="31"/>
    </row>
    <row r="468">
      <c r="M468" s="31"/>
      <c r="N468" s="31"/>
    </row>
    <row r="469">
      <c r="M469" s="31"/>
      <c r="N469" s="31"/>
    </row>
    <row r="470">
      <c r="M470" s="31"/>
      <c r="N470" s="31"/>
    </row>
    <row r="471">
      <c r="M471" s="31"/>
      <c r="N471" s="31"/>
    </row>
    <row r="472">
      <c r="M472" s="31"/>
      <c r="N472" s="31"/>
    </row>
    <row r="473">
      <c r="M473" s="31"/>
      <c r="N473" s="31"/>
    </row>
    <row r="474">
      <c r="M474" s="31"/>
      <c r="N474" s="31"/>
    </row>
    <row r="475">
      <c r="M475" s="31"/>
      <c r="N475" s="31"/>
    </row>
    <row r="476">
      <c r="M476" s="31"/>
      <c r="N476" s="31"/>
    </row>
    <row r="477">
      <c r="M477" s="31"/>
      <c r="N477" s="31"/>
    </row>
    <row r="478">
      <c r="M478" s="31"/>
      <c r="N478" s="31"/>
    </row>
    <row r="479">
      <c r="M479" s="31"/>
      <c r="N479" s="31"/>
    </row>
    <row r="480">
      <c r="M480" s="31"/>
      <c r="N480" s="31"/>
    </row>
    <row r="481">
      <c r="M481" s="31"/>
      <c r="N481" s="31"/>
    </row>
    <row r="482">
      <c r="M482" s="31"/>
      <c r="N482" s="31"/>
    </row>
    <row r="483">
      <c r="M483" s="31"/>
      <c r="N483" s="31"/>
    </row>
    <row r="484">
      <c r="M484" s="31"/>
      <c r="N484" s="31"/>
    </row>
    <row r="485">
      <c r="M485" s="31"/>
      <c r="N485" s="31"/>
    </row>
    <row r="486">
      <c r="M486" s="31"/>
      <c r="N486" s="31"/>
    </row>
    <row r="487">
      <c r="M487" s="31"/>
      <c r="N487" s="31"/>
    </row>
    <row r="488">
      <c r="M488" s="31"/>
      <c r="N488" s="31"/>
    </row>
    <row r="489">
      <c r="M489" s="31"/>
      <c r="N489" s="31"/>
    </row>
    <row r="490">
      <c r="M490" s="31"/>
      <c r="N490" s="31"/>
    </row>
    <row r="491">
      <c r="M491" s="31"/>
      <c r="N491" s="31"/>
    </row>
    <row r="492">
      <c r="M492" s="31"/>
      <c r="N492" s="31"/>
    </row>
    <row r="493">
      <c r="M493" s="31"/>
      <c r="N493" s="31"/>
    </row>
    <row r="494">
      <c r="M494" s="31"/>
      <c r="N494" s="31"/>
    </row>
    <row r="495">
      <c r="M495" s="31"/>
      <c r="N495" s="31"/>
    </row>
    <row r="496">
      <c r="M496" s="31"/>
      <c r="N496" s="31"/>
    </row>
    <row r="497">
      <c r="M497" s="31"/>
      <c r="N497" s="31"/>
    </row>
    <row r="498">
      <c r="M498" s="31"/>
      <c r="N498" s="31"/>
    </row>
    <row r="499">
      <c r="M499" s="31"/>
      <c r="N499" s="31"/>
    </row>
    <row r="500">
      <c r="M500" s="31"/>
      <c r="N500" s="31"/>
    </row>
    <row r="501">
      <c r="M501" s="31"/>
      <c r="N501" s="31"/>
    </row>
    <row r="502">
      <c r="M502" s="31"/>
      <c r="N502" s="31"/>
    </row>
    <row r="503">
      <c r="M503" s="31"/>
      <c r="N503" s="31"/>
    </row>
    <row r="504">
      <c r="M504" s="31"/>
      <c r="N504" s="31"/>
    </row>
    <row r="505">
      <c r="M505" s="31"/>
      <c r="N505" s="31"/>
    </row>
    <row r="506">
      <c r="M506" s="31"/>
      <c r="N506" s="31"/>
    </row>
    <row r="507">
      <c r="M507" s="31"/>
      <c r="N507" s="31"/>
    </row>
    <row r="508">
      <c r="M508" s="31"/>
      <c r="N508" s="31"/>
    </row>
    <row r="509">
      <c r="M509" s="31"/>
      <c r="N509" s="31"/>
    </row>
    <row r="510">
      <c r="M510" s="31"/>
      <c r="N510" s="31"/>
    </row>
    <row r="511">
      <c r="M511" s="31"/>
      <c r="N511" s="31"/>
    </row>
    <row r="512">
      <c r="M512" s="31"/>
      <c r="N512" s="31"/>
    </row>
    <row r="513">
      <c r="M513" s="31"/>
      <c r="N513" s="31"/>
    </row>
    <row r="514">
      <c r="M514" s="31"/>
      <c r="N514" s="31"/>
    </row>
    <row r="515">
      <c r="M515" s="31"/>
      <c r="N515" s="31"/>
    </row>
    <row r="516">
      <c r="M516" s="31"/>
      <c r="N516" s="31"/>
    </row>
    <row r="517">
      <c r="M517" s="31"/>
      <c r="N517" s="31"/>
    </row>
    <row r="518">
      <c r="M518" s="31"/>
      <c r="N518" s="31"/>
    </row>
    <row r="519">
      <c r="M519" s="31"/>
      <c r="N519" s="31"/>
    </row>
    <row r="520">
      <c r="M520" s="31"/>
      <c r="N520" s="31"/>
    </row>
    <row r="521">
      <c r="M521" s="31"/>
      <c r="N521" s="31"/>
    </row>
    <row r="522">
      <c r="M522" s="31"/>
      <c r="N522" s="31"/>
    </row>
    <row r="523">
      <c r="M523" s="31"/>
      <c r="N523" s="31"/>
    </row>
    <row r="524">
      <c r="M524" s="31"/>
      <c r="N524" s="31"/>
    </row>
    <row r="525">
      <c r="M525" s="31"/>
      <c r="N525" s="31"/>
    </row>
    <row r="526">
      <c r="M526" s="31"/>
      <c r="N526" s="31"/>
    </row>
    <row r="527">
      <c r="M527" s="31"/>
      <c r="N527" s="31"/>
    </row>
    <row r="528">
      <c r="M528" s="31"/>
      <c r="N528" s="31"/>
    </row>
    <row r="529">
      <c r="M529" s="31"/>
      <c r="N529" s="31"/>
    </row>
    <row r="530">
      <c r="M530" s="31"/>
      <c r="N530" s="31"/>
    </row>
    <row r="531">
      <c r="M531" s="31"/>
      <c r="N531" s="31"/>
    </row>
    <row r="532">
      <c r="M532" s="31"/>
      <c r="N532" s="31"/>
    </row>
    <row r="533">
      <c r="M533" s="31"/>
      <c r="N533" s="31"/>
    </row>
    <row r="534">
      <c r="M534" s="31"/>
      <c r="N534" s="31"/>
    </row>
    <row r="535">
      <c r="M535" s="31"/>
      <c r="N535" s="31"/>
    </row>
    <row r="536">
      <c r="M536" s="31"/>
      <c r="N536" s="31"/>
    </row>
    <row r="537">
      <c r="M537" s="31"/>
      <c r="N537" s="31"/>
    </row>
    <row r="538">
      <c r="M538" s="31"/>
      <c r="N538" s="31"/>
    </row>
    <row r="539">
      <c r="M539" s="31"/>
      <c r="N539" s="31"/>
    </row>
    <row r="540">
      <c r="M540" s="31"/>
      <c r="N540" s="31"/>
    </row>
    <row r="541">
      <c r="M541" s="31"/>
      <c r="N541" s="31"/>
    </row>
    <row r="542">
      <c r="M542" s="31"/>
      <c r="N542" s="31"/>
    </row>
    <row r="543">
      <c r="M543" s="31"/>
      <c r="N543" s="31"/>
    </row>
    <row r="544">
      <c r="M544" s="31"/>
      <c r="N544" s="31"/>
    </row>
    <row r="545">
      <c r="M545" s="31"/>
      <c r="N545" s="31"/>
    </row>
    <row r="546">
      <c r="M546" s="31"/>
      <c r="N546" s="31"/>
    </row>
    <row r="547">
      <c r="M547" s="31"/>
      <c r="N547" s="31"/>
    </row>
    <row r="548">
      <c r="M548" s="31"/>
      <c r="N548" s="31"/>
    </row>
    <row r="549">
      <c r="M549" s="31"/>
      <c r="N549" s="31"/>
    </row>
    <row r="550">
      <c r="M550" s="31"/>
      <c r="N550" s="31"/>
    </row>
    <row r="551">
      <c r="M551" s="31"/>
      <c r="N551" s="31"/>
    </row>
    <row r="552">
      <c r="M552" s="31"/>
      <c r="N552" s="31"/>
    </row>
    <row r="553">
      <c r="M553" s="31"/>
      <c r="N553" s="31"/>
    </row>
    <row r="554">
      <c r="M554" s="31"/>
      <c r="N554" s="31"/>
    </row>
    <row r="555">
      <c r="M555" s="31"/>
      <c r="N555" s="31"/>
    </row>
    <row r="556">
      <c r="M556" s="31"/>
      <c r="N556" s="31"/>
    </row>
    <row r="557">
      <c r="M557" s="31"/>
      <c r="N557" s="31"/>
    </row>
    <row r="558">
      <c r="M558" s="31"/>
      <c r="N558" s="31"/>
    </row>
    <row r="559">
      <c r="M559" s="31"/>
      <c r="N559" s="31"/>
    </row>
    <row r="560">
      <c r="M560" s="31"/>
      <c r="N560" s="31"/>
    </row>
    <row r="561">
      <c r="M561" s="31"/>
      <c r="N561" s="31"/>
    </row>
    <row r="562">
      <c r="M562" s="31"/>
      <c r="N562" s="31"/>
    </row>
    <row r="563">
      <c r="M563" s="31"/>
      <c r="N563" s="31"/>
    </row>
    <row r="564">
      <c r="M564" s="31"/>
      <c r="N564" s="31"/>
    </row>
    <row r="565">
      <c r="M565" s="31"/>
      <c r="N565" s="31"/>
    </row>
    <row r="566">
      <c r="M566" s="31"/>
      <c r="N566" s="31"/>
    </row>
    <row r="567">
      <c r="M567" s="31"/>
      <c r="N567" s="31"/>
    </row>
    <row r="568">
      <c r="M568" s="31"/>
      <c r="N568" s="31"/>
    </row>
    <row r="569">
      <c r="M569" s="31"/>
      <c r="N569" s="31"/>
    </row>
    <row r="570">
      <c r="M570" s="31"/>
      <c r="N570" s="31"/>
    </row>
    <row r="571">
      <c r="M571" s="31"/>
      <c r="N571" s="31"/>
    </row>
    <row r="572">
      <c r="M572" s="31"/>
      <c r="N572" s="31"/>
    </row>
    <row r="573">
      <c r="M573" s="31"/>
      <c r="N573" s="31"/>
    </row>
    <row r="574">
      <c r="M574" s="31"/>
      <c r="N574" s="31"/>
    </row>
    <row r="575">
      <c r="M575" s="31"/>
      <c r="N575" s="31"/>
    </row>
    <row r="576">
      <c r="M576" s="31"/>
      <c r="N576" s="31"/>
    </row>
    <row r="577">
      <c r="M577" s="31"/>
      <c r="N577" s="31"/>
    </row>
    <row r="578">
      <c r="M578" s="31"/>
      <c r="N578" s="31"/>
    </row>
    <row r="579">
      <c r="M579" s="31"/>
      <c r="N579" s="31"/>
    </row>
    <row r="580">
      <c r="M580" s="31"/>
      <c r="N580" s="31"/>
    </row>
    <row r="581">
      <c r="M581" s="31"/>
      <c r="N581" s="31"/>
    </row>
    <row r="582">
      <c r="M582" s="31"/>
      <c r="N582" s="31"/>
    </row>
    <row r="583">
      <c r="M583" s="31"/>
      <c r="N583" s="31"/>
    </row>
    <row r="584">
      <c r="M584" s="31"/>
      <c r="N584" s="31"/>
    </row>
    <row r="585">
      <c r="M585" s="31"/>
      <c r="N585" s="31"/>
    </row>
    <row r="586">
      <c r="M586" s="31"/>
      <c r="N586" s="31"/>
    </row>
    <row r="587">
      <c r="M587" s="31"/>
      <c r="N587" s="31"/>
    </row>
    <row r="588">
      <c r="M588" s="31"/>
      <c r="N588" s="31"/>
    </row>
    <row r="589">
      <c r="M589" s="31"/>
      <c r="N589" s="31"/>
    </row>
    <row r="590">
      <c r="M590" s="31"/>
      <c r="N590" s="31"/>
    </row>
    <row r="591">
      <c r="M591" s="31"/>
      <c r="N591" s="31"/>
    </row>
    <row r="592">
      <c r="M592" s="31"/>
      <c r="N592" s="31"/>
    </row>
    <row r="593">
      <c r="M593" s="31"/>
      <c r="N593" s="31"/>
    </row>
    <row r="594">
      <c r="M594" s="31"/>
      <c r="N594" s="31"/>
    </row>
    <row r="595">
      <c r="M595" s="31"/>
      <c r="N595" s="31"/>
    </row>
    <row r="596">
      <c r="M596" s="31"/>
      <c r="N596" s="31"/>
    </row>
    <row r="597">
      <c r="M597" s="31"/>
      <c r="N597" s="31"/>
    </row>
    <row r="598">
      <c r="M598" s="31"/>
      <c r="N598" s="31"/>
    </row>
    <row r="599">
      <c r="M599" s="31"/>
      <c r="N599" s="31"/>
    </row>
    <row r="600">
      <c r="M600" s="31"/>
      <c r="N600" s="31"/>
    </row>
    <row r="601">
      <c r="M601" s="31"/>
      <c r="N601" s="31"/>
    </row>
    <row r="602">
      <c r="M602" s="31"/>
      <c r="N602" s="31"/>
    </row>
    <row r="603">
      <c r="M603" s="31"/>
      <c r="N603" s="31"/>
    </row>
    <row r="604">
      <c r="M604" s="31"/>
      <c r="N604" s="31"/>
    </row>
    <row r="605">
      <c r="M605" s="31"/>
      <c r="N605" s="31"/>
    </row>
    <row r="606">
      <c r="M606" s="31"/>
      <c r="N606" s="31"/>
    </row>
    <row r="607">
      <c r="M607" s="31"/>
      <c r="N607" s="31"/>
    </row>
    <row r="608">
      <c r="M608" s="31"/>
      <c r="N608" s="31"/>
    </row>
    <row r="609">
      <c r="M609" s="31"/>
      <c r="N609" s="31"/>
    </row>
    <row r="610">
      <c r="M610" s="31"/>
      <c r="N610" s="31"/>
    </row>
    <row r="611">
      <c r="M611" s="31"/>
      <c r="N611" s="31"/>
    </row>
    <row r="612">
      <c r="M612" s="31"/>
      <c r="N612" s="31"/>
    </row>
    <row r="613">
      <c r="M613" s="31"/>
      <c r="N613" s="31"/>
    </row>
    <row r="614">
      <c r="M614" s="31"/>
      <c r="N614" s="31"/>
    </row>
    <row r="615">
      <c r="M615" s="31"/>
      <c r="N615" s="31"/>
    </row>
    <row r="616">
      <c r="M616" s="31"/>
      <c r="N616" s="31"/>
    </row>
    <row r="617">
      <c r="M617" s="31"/>
      <c r="N617" s="31"/>
    </row>
    <row r="618">
      <c r="M618" s="31"/>
      <c r="N618" s="31"/>
    </row>
    <row r="619">
      <c r="M619" s="31"/>
      <c r="N619" s="31"/>
    </row>
    <row r="620">
      <c r="M620" s="31"/>
      <c r="N620" s="31"/>
    </row>
    <row r="621">
      <c r="M621" s="31"/>
      <c r="N621" s="31"/>
    </row>
    <row r="622">
      <c r="M622" s="31"/>
      <c r="N622" s="31"/>
    </row>
    <row r="623">
      <c r="M623" s="31"/>
      <c r="N623" s="31"/>
    </row>
    <row r="624">
      <c r="M624" s="31"/>
      <c r="N624" s="31"/>
    </row>
    <row r="625">
      <c r="M625" s="31"/>
      <c r="N625" s="31"/>
    </row>
    <row r="626">
      <c r="M626" s="31"/>
      <c r="N626" s="31"/>
    </row>
    <row r="627">
      <c r="M627" s="31"/>
      <c r="N627" s="31"/>
    </row>
    <row r="628">
      <c r="M628" s="31"/>
      <c r="N628" s="31"/>
    </row>
    <row r="629">
      <c r="M629" s="31"/>
      <c r="N629" s="31"/>
    </row>
    <row r="630">
      <c r="M630" s="31"/>
      <c r="N630" s="31"/>
    </row>
    <row r="631">
      <c r="M631" s="31"/>
      <c r="N631" s="31"/>
    </row>
    <row r="632">
      <c r="M632" s="31"/>
      <c r="N632" s="31"/>
    </row>
    <row r="633">
      <c r="M633" s="31"/>
      <c r="N633" s="31"/>
    </row>
    <row r="634">
      <c r="M634" s="31"/>
      <c r="N634" s="31"/>
    </row>
    <row r="635">
      <c r="M635" s="31"/>
      <c r="N635" s="31"/>
    </row>
    <row r="636">
      <c r="M636" s="31"/>
      <c r="N636" s="31"/>
    </row>
    <row r="637">
      <c r="M637" s="31"/>
      <c r="N637" s="31"/>
    </row>
    <row r="638">
      <c r="M638" s="31"/>
      <c r="N638" s="31"/>
    </row>
    <row r="639">
      <c r="M639" s="31"/>
      <c r="N639" s="31"/>
    </row>
    <row r="640">
      <c r="M640" s="31"/>
      <c r="N640" s="31"/>
    </row>
    <row r="641">
      <c r="M641" s="31"/>
      <c r="N641" s="31"/>
    </row>
    <row r="642">
      <c r="M642" s="31"/>
      <c r="N642" s="31"/>
    </row>
    <row r="643">
      <c r="M643" s="31"/>
      <c r="N643" s="31"/>
    </row>
    <row r="644">
      <c r="M644" s="31"/>
      <c r="N644" s="31"/>
    </row>
    <row r="645">
      <c r="M645" s="31"/>
      <c r="N645" s="31"/>
    </row>
    <row r="646">
      <c r="M646" s="31"/>
      <c r="N646" s="31"/>
    </row>
    <row r="647">
      <c r="M647" s="31"/>
      <c r="N647" s="31"/>
    </row>
    <row r="648">
      <c r="M648" s="31"/>
      <c r="N648" s="31"/>
    </row>
    <row r="649">
      <c r="M649" s="31"/>
      <c r="N649" s="31"/>
    </row>
    <row r="650">
      <c r="M650" s="31"/>
      <c r="N650" s="31"/>
    </row>
    <row r="651">
      <c r="M651" s="31"/>
      <c r="N651" s="31"/>
    </row>
    <row r="652">
      <c r="M652" s="31"/>
      <c r="N652" s="31"/>
    </row>
    <row r="653">
      <c r="M653" s="31"/>
      <c r="N653" s="31"/>
    </row>
    <row r="654">
      <c r="M654" s="31"/>
      <c r="N654" s="31"/>
    </row>
    <row r="655">
      <c r="M655" s="31"/>
      <c r="N655" s="31"/>
    </row>
    <row r="656">
      <c r="M656" s="31"/>
      <c r="N656" s="31"/>
    </row>
    <row r="657">
      <c r="M657" s="31"/>
      <c r="N657" s="31"/>
    </row>
    <row r="658">
      <c r="M658" s="31"/>
      <c r="N658" s="31"/>
    </row>
    <row r="659">
      <c r="M659" s="31"/>
      <c r="N659" s="31"/>
    </row>
    <row r="660">
      <c r="M660" s="31"/>
      <c r="N660" s="31"/>
    </row>
    <row r="661">
      <c r="M661" s="31"/>
      <c r="N661" s="31"/>
    </row>
    <row r="662">
      <c r="M662" s="31"/>
      <c r="N662" s="31"/>
    </row>
    <row r="663">
      <c r="M663" s="31"/>
      <c r="N663" s="31"/>
    </row>
    <row r="664">
      <c r="M664" s="31"/>
      <c r="N664" s="31"/>
    </row>
    <row r="665">
      <c r="M665" s="31"/>
      <c r="N665" s="31"/>
    </row>
    <row r="666">
      <c r="M666" s="31"/>
      <c r="N666" s="31"/>
    </row>
    <row r="667">
      <c r="M667" s="31"/>
      <c r="N667" s="31"/>
    </row>
    <row r="668">
      <c r="M668" s="31"/>
      <c r="N668" s="31"/>
    </row>
    <row r="669">
      <c r="M669" s="31"/>
      <c r="N669" s="31"/>
    </row>
    <row r="670">
      <c r="M670" s="31"/>
      <c r="N670" s="31"/>
    </row>
    <row r="671">
      <c r="M671" s="31"/>
      <c r="N671" s="31"/>
    </row>
    <row r="672">
      <c r="M672" s="31"/>
      <c r="N672" s="31"/>
    </row>
    <row r="673">
      <c r="M673" s="31"/>
      <c r="N673" s="31"/>
    </row>
    <row r="674">
      <c r="M674" s="31"/>
      <c r="N674" s="31"/>
    </row>
    <row r="675">
      <c r="M675" s="31"/>
      <c r="N675" s="31"/>
    </row>
    <row r="676">
      <c r="M676" s="31"/>
      <c r="N676" s="31"/>
    </row>
    <row r="677">
      <c r="M677" s="31"/>
      <c r="N677" s="31"/>
    </row>
    <row r="678">
      <c r="M678" s="31"/>
      <c r="N678" s="31"/>
    </row>
    <row r="679">
      <c r="M679" s="31"/>
      <c r="N679" s="31"/>
    </row>
    <row r="680">
      <c r="M680" s="31"/>
      <c r="N680" s="31"/>
    </row>
    <row r="681">
      <c r="M681" s="31"/>
      <c r="N681" s="31"/>
    </row>
    <row r="682">
      <c r="M682" s="31"/>
      <c r="N682" s="31"/>
    </row>
    <row r="683">
      <c r="M683" s="31"/>
      <c r="N683" s="31"/>
    </row>
    <row r="684">
      <c r="M684" s="31"/>
      <c r="N684" s="31"/>
    </row>
    <row r="685">
      <c r="M685" s="31"/>
      <c r="N685" s="31"/>
    </row>
    <row r="686">
      <c r="M686" s="31"/>
      <c r="N686" s="31"/>
    </row>
    <row r="687">
      <c r="M687" s="31"/>
      <c r="N687" s="31"/>
    </row>
    <row r="688">
      <c r="M688" s="31"/>
      <c r="N688" s="31"/>
    </row>
    <row r="689">
      <c r="M689" s="31"/>
      <c r="N689" s="31"/>
    </row>
    <row r="690">
      <c r="M690" s="31"/>
      <c r="N690" s="31"/>
    </row>
    <row r="691">
      <c r="M691" s="31"/>
      <c r="N691" s="31"/>
    </row>
    <row r="692">
      <c r="M692" s="31"/>
      <c r="N692" s="31"/>
    </row>
    <row r="693">
      <c r="M693" s="31"/>
      <c r="N693" s="31"/>
    </row>
    <row r="694">
      <c r="M694" s="31"/>
      <c r="N694" s="31"/>
    </row>
    <row r="695">
      <c r="M695" s="31"/>
      <c r="N695" s="31"/>
    </row>
    <row r="696">
      <c r="M696" s="31"/>
      <c r="N696" s="31"/>
    </row>
    <row r="697">
      <c r="M697" s="31"/>
      <c r="N697" s="31"/>
    </row>
    <row r="698">
      <c r="M698" s="31"/>
      <c r="N698" s="31"/>
    </row>
    <row r="699">
      <c r="M699" s="31"/>
      <c r="N699" s="31"/>
    </row>
    <row r="700">
      <c r="M700" s="31"/>
      <c r="N700" s="31"/>
    </row>
    <row r="701">
      <c r="M701" s="31"/>
      <c r="N701" s="31"/>
    </row>
    <row r="702">
      <c r="M702" s="31"/>
      <c r="N702" s="31"/>
    </row>
    <row r="703">
      <c r="M703" s="31"/>
      <c r="N703" s="31"/>
    </row>
    <row r="704">
      <c r="M704" s="31"/>
      <c r="N704" s="31"/>
    </row>
    <row r="705">
      <c r="M705" s="31"/>
      <c r="N705" s="31"/>
    </row>
    <row r="706">
      <c r="M706" s="31"/>
      <c r="N706" s="31"/>
    </row>
    <row r="707">
      <c r="M707" s="31"/>
      <c r="N707" s="31"/>
    </row>
    <row r="708">
      <c r="M708" s="31"/>
      <c r="N708" s="31"/>
    </row>
    <row r="709">
      <c r="M709" s="31"/>
      <c r="N709" s="31"/>
    </row>
    <row r="710">
      <c r="M710" s="31"/>
      <c r="N710" s="31"/>
    </row>
    <row r="711">
      <c r="M711" s="31"/>
      <c r="N711" s="31"/>
    </row>
    <row r="712">
      <c r="M712" s="31"/>
      <c r="N712" s="31"/>
    </row>
    <row r="713">
      <c r="M713" s="31"/>
      <c r="N713" s="31"/>
    </row>
    <row r="714">
      <c r="M714" s="31"/>
      <c r="N714" s="31"/>
    </row>
    <row r="715">
      <c r="M715" s="31"/>
      <c r="N715" s="31"/>
    </row>
    <row r="716">
      <c r="M716" s="31"/>
      <c r="N716" s="31"/>
    </row>
    <row r="717">
      <c r="M717" s="31"/>
      <c r="N717" s="31"/>
    </row>
    <row r="718">
      <c r="M718" s="31"/>
      <c r="N718" s="31"/>
    </row>
    <row r="719">
      <c r="M719" s="31"/>
      <c r="N719" s="31"/>
    </row>
    <row r="720">
      <c r="M720" s="31"/>
      <c r="N720" s="31"/>
    </row>
    <row r="721">
      <c r="M721" s="31"/>
      <c r="N721" s="31"/>
    </row>
    <row r="722">
      <c r="M722" s="31"/>
      <c r="N722" s="31"/>
    </row>
    <row r="723">
      <c r="M723" s="31"/>
      <c r="N723" s="31"/>
    </row>
    <row r="724">
      <c r="M724" s="31"/>
      <c r="N724" s="31"/>
    </row>
    <row r="725">
      <c r="M725" s="31"/>
      <c r="N725" s="31"/>
    </row>
    <row r="726">
      <c r="M726" s="31"/>
      <c r="N726" s="31"/>
    </row>
    <row r="727">
      <c r="M727" s="31"/>
      <c r="N727" s="31"/>
    </row>
    <row r="728">
      <c r="M728" s="31"/>
      <c r="N728" s="31"/>
    </row>
    <row r="729">
      <c r="M729" s="31"/>
      <c r="N729" s="31"/>
    </row>
    <row r="730">
      <c r="M730" s="31"/>
      <c r="N730" s="31"/>
    </row>
    <row r="731">
      <c r="M731" s="31"/>
      <c r="N731" s="31"/>
    </row>
    <row r="732">
      <c r="M732" s="31"/>
      <c r="N732" s="31"/>
    </row>
    <row r="733">
      <c r="M733" s="31"/>
      <c r="N733" s="31"/>
    </row>
    <row r="734">
      <c r="M734" s="31"/>
      <c r="N734" s="31"/>
    </row>
    <row r="735">
      <c r="M735" s="31"/>
      <c r="N735" s="31"/>
    </row>
    <row r="736">
      <c r="M736" s="31"/>
      <c r="N736" s="31"/>
    </row>
    <row r="737">
      <c r="M737" s="31"/>
      <c r="N737" s="31"/>
    </row>
    <row r="738">
      <c r="M738" s="31"/>
      <c r="N738" s="31"/>
    </row>
    <row r="739">
      <c r="M739" s="31"/>
      <c r="N739" s="31"/>
    </row>
    <row r="740">
      <c r="M740" s="31"/>
      <c r="N740" s="31"/>
    </row>
    <row r="741">
      <c r="M741" s="31"/>
      <c r="N741" s="31"/>
    </row>
    <row r="742">
      <c r="M742" s="31"/>
      <c r="N742" s="31"/>
    </row>
    <row r="743">
      <c r="M743" s="31"/>
      <c r="N743" s="31"/>
    </row>
    <row r="744">
      <c r="M744" s="31"/>
      <c r="N744" s="31"/>
    </row>
    <row r="745">
      <c r="M745" s="31"/>
      <c r="N745" s="31"/>
    </row>
    <row r="746">
      <c r="M746" s="31"/>
      <c r="N746" s="31"/>
    </row>
    <row r="747">
      <c r="M747" s="31"/>
      <c r="N747" s="31"/>
    </row>
    <row r="748">
      <c r="M748" s="31"/>
      <c r="N748" s="31"/>
    </row>
    <row r="749">
      <c r="M749" s="31"/>
      <c r="N749" s="31"/>
    </row>
    <row r="750">
      <c r="M750" s="31"/>
      <c r="N750" s="31"/>
    </row>
    <row r="751">
      <c r="M751" s="31"/>
      <c r="N751" s="31"/>
    </row>
    <row r="752">
      <c r="M752" s="31"/>
      <c r="N752" s="31"/>
    </row>
    <row r="753">
      <c r="M753" s="31"/>
      <c r="N753" s="31"/>
    </row>
    <row r="754">
      <c r="M754" s="31"/>
      <c r="N754" s="31"/>
    </row>
    <row r="755">
      <c r="M755" s="31"/>
      <c r="N755" s="31"/>
    </row>
    <row r="756">
      <c r="M756" s="31"/>
      <c r="N756" s="31"/>
    </row>
    <row r="757">
      <c r="M757" s="31"/>
      <c r="N757" s="31"/>
    </row>
    <row r="758">
      <c r="M758" s="31"/>
      <c r="N758" s="31"/>
    </row>
    <row r="759">
      <c r="M759" s="31"/>
      <c r="N759" s="31"/>
    </row>
    <row r="760">
      <c r="M760" s="31"/>
      <c r="N760" s="31"/>
    </row>
    <row r="761">
      <c r="M761" s="31"/>
      <c r="N761" s="31"/>
    </row>
    <row r="762">
      <c r="M762" s="31"/>
      <c r="N762" s="31"/>
    </row>
    <row r="763">
      <c r="M763" s="31"/>
      <c r="N763" s="31"/>
    </row>
    <row r="764">
      <c r="M764" s="31"/>
      <c r="N764" s="31"/>
    </row>
    <row r="765">
      <c r="M765" s="31"/>
      <c r="N765" s="31"/>
    </row>
    <row r="766">
      <c r="M766" s="31"/>
      <c r="N766" s="31"/>
    </row>
    <row r="767">
      <c r="M767" s="31"/>
      <c r="N767" s="31"/>
    </row>
    <row r="768">
      <c r="M768" s="31"/>
      <c r="N768" s="31"/>
    </row>
    <row r="769">
      <c r="M769" s="31"/>
      <c r="N769" s="31"/>
    </row>
    <row r="770">
      <c r="M770" s="31"/>
      <c r="N770" s="31"/>
    </row>
    <row r="771">
      <c r="M771" s="31"/>
      <c r="N771" s="31"/>
    </row>
    <row r="772">
      <c r="M772" s="31"/>
      <c r="N772" s="31"/>
    </row>
    <row r="773">
      <c r="M773" s="31"/>
      <c r="N773" s="31"/>
    </row>
    <row r="774">
      <c r="M774" s="31"/>
      <c r="N774" s="31"/>
    </row>
    <row r="775">
      <c r="M775" s="31"/>
      <c r="N775" s="31"/>
    </row>
    <row r="776">
      <c r="M776" s="31"/>
      <c r="N776" s="31"/>
    </row>
    <row r="777">
      <c r="M777" s="31"/>
      <c r="N777" s="31"/>
    </row>
    <row r="778">
      <c r="M778" s="31"/>
      <c r="N778" s="31"/>
    </row>
    <row r="779">
      <c r="M779" s="31"/>
      <c r="N779" s="31"/>
    </row>
    <row r="780">
      <c r="M780" s="31"/>
      <c r="N780" s="31"/>
    </row>
    <row r="781">
      <c r="M781" s="31"/>
      <c r="N781" s="31"/>
    </row>
    <row r="782">
      <c r="M782" s="31"/>
      <c r="N782" s="31"/>
    </row>
    <row r="783">
      <c r="M783" s="31"/>
      <c r="N783" s="31"/>
    </row>
    <row r="784">
      <c r="M784" s="31"/>
      <c r="N784" s="31"/>
    </row>
    <row r="785">
      <c r="M785" s="31"/>
      <c r="N785" s="31"/>
    </row>
    <row r="786">
      <c r="M786" s="31"/>
      <c r="N786" s="31"/>
    </row>
    <row r="787">
      <c r="M787" s="31"/>
      <c r="N787" s="31"/>
    </row>
    <row r="788">
      <c r="M788" s="31"/>
      <c r="N788" s="31"/>
    </row>
    <row r="789">
      <c r="M789" s="31"/>
      <c r="N789" s="31"/>
    </row>
    <row r="790">
      <c r="M790" s="31"/>
      <c r="N790" s="31"/>
    </row>
    <row r="791">
      <c r="M791" s="31"/>
      <c r="N791" s="31"/>
    </row>
    <row r="792">
      <c r="M792" s="31"/>
      <c r="N792" s="31"/>
    </row>
    <row r="793">
      <c r="M793" s="31"/>
      <c r="N793" s="31"/>
    </row>
    <row r="794">
      <c r="M794" s="31"/>
      <c r="N794" s="31"/>
    </row>
    <row r="795">
      <c r="M795" s="31"/>
      <c r="N795" s="31"/>
    </row>
    <row r="796">
      <c r="M796" s="31"/>
      <c r="N796" s="31"/>
    </row>
    <row r="797">
      <c r="M797" s="31"/>
      <c r="N797" s="31"/>
    </row>
    <row r="798">
      <c r="M798" s="31"/>
      <c r="N798" s="31"/>
    </row>
    <row r="799">
      <c r="M799" s="31"/>
      <c r="N799" s="31"/>
    </row>
    <row r="800">
      <c r="M800" s="31"/>
      <c r="N800" s="31"/>
    </row>
    <row r="801">
      <c r="M801" s="31"/>
      <c r="N801" s="31"/>
    </row>
    <row r="802">
      <c r="M802" s="31"/>
      <c r="N802" s="31"/>
    </row>
    <row r="803">
      <c r="M803" s="31"/>
      <c r="N803" s="31"/>
    </row>
    <row r="804">
      <c r="M804" s="31"/>
      <c r="N804" s="31"/>
    </row>
    <row r="805">
      <c r="M805" s="31"/>
      <c r="N805" s="31"/>
    </row>
    <row r="806">
      <c r="M806" s="31"/>
      <c r="N806" s="31"/>
    </row>
    <row r="807">
      <c r="M807" s="31"/>
      <c r="N807" s="31"/>
    </row>
    <row r="808">
      <c r="M808" s="31"/>
      <c r="N808" s="31"/>
    </row>
    <row r="809">
      <c r="M809" s="31"/>
      <c r="N809" s="31"/>
    </row>
    <row r="810">
      <c r="M810" s="31"/>
      <c r="N810" s="31"/>
    </row>
    <row r="811">
      <c r="M811" s="31"/>
      <c r="N811" s="31"/>
    </row>
    <row r="812">
      <c r="M812" s="31"/>
      <c r="N812" s="31"/>
    </row>
    <row r="813">
      <c r="M813" s="31"/>
      <c r="N813" s="31"/>
    </row>
    <row r="814">
      <c r="M814" s="31"/>
      <c r="N814" s="31"/>
    </row>
    <row r="815">
      <c r="M815" s="31"/>
      <c r="N815" s="31"/>
    </row>
    <row r="816">
      <c r="M816" s="31"/>
      <c r="N816" s="31"/>
    </row>
    <row r="817">
      <c r="M817" s="31"/>
      <c r="N817" s="31"/>
    </row>
    <row r="818">
      <c r="M818" s="31"/>
      <c r="N818" s="31"/>
    </row>
    <row r="819">
      <c r="M819" s="31"/>
      <c r="N819" s="31"/>
    </row>
    <row r="820">
      <c r="M820" s="31"/>
      <c r="N820" s="31"/>
    </row>
    <row r="821">
      <c r="M821" s="31"/>
      <c r="N821" s="31"/>
    </row>
    <row r="822">
      <c r="M822" s="31"/>
      <c r="N822" s="31"/>
    </row>
    <row r="823">
      <c r="M823" s="31"/>
      <c r="N823" s="31"/>
    </row>
    <row r="824">
      <c r="M824" s="31"/>
      <c r="N824" s="31"/>
    </row>
    <row r="825">
      <c r="M825" s="31"/>
      <c r="N825" s="31"/>
    </row>
    <row r="826">
      <c r="M826" s="31"/>
      <c r="N826" s="31"/>
    </row>
    <row r="827">
      <c r="M827" s="31"/>
      <c r="N827" s="31"/>
    </row>
    <row r="828">
      <c r="M828" s="31"/>
      <c r="N828" s="31"/>
    </row>
    <row r="829">
      <c r="M829" s="31"/>
      <c r="N829" s="31"/>
    </row>
    <row r="830">
      <c r="M830" s="31"/>
      <c r="N830" s="31"/>
    </row>
    <row r="831">
      <c r="M831" s="31"/>
      <c r="N831" s="31"/>
    </row>
    <row r="832">
      <c r="M832" s="31"/>
      <c r="N832" s="31"/>
    </row>
    <row r="833">
      <c r="M833" s="31"/>
      <c r="N833" s="31"/>
    </row>
    <row r="834">
      <c r="M834" s="31"/>
      <c r="N834" s="31"/>
    </row>
    <row r="835">
      <c r="M835" s="31"/>
      <c r="N835" s="31"/>
    </row>
    <row r="836">
      <c r="M836" s="31"/>
      <c r="N836" s="31"/>
    </row>
    <row r="837">
      <c r="M837" s="31"/>
      <c r="N837" s="31"/>
    </row>
    <row r="838">
      <c r="M838" s="31"/>
      <c r="N838" s="31"/>
    </row>
    <row r="839">
      <c r="M839" s="31"/>
      <c r="N839" s="31"/>
    </row>
    <row r="840">
      <c r="M840" s="31"/>
      <c r="N840" s="31"/>
    </row>
    <row r="841">
      <c r="M841" s="31"/>
      <c r="N841" s="31"/>
    </row>
    <row r="842">
      <c r="M842" s="31"/>
      <c r="N842" s="31"/>
    </row>
    <row r="843">
      <c r="M843" s="31"/>
      <c r="N843" s="31"/>
    </row>
    <row r="844">
      <c r="M844" s="31"/>
      <c r="N844" s="31"/>
    </row>
    <row r="845">
      <c r="M845" s="31"/>
      <c r="N845" s="31"/>
    </row>
    <row r="846">
      <c r="M846" s="31"/>
      <c r="N846" s="31"/>
    </row>
    <row r="847">
      <c r="M847" s="31"/>
      <c r="N847" s="31"/>
    </row>
    <row r="848">
      <c r="M848" s="31"/>
      <c r="N848" s="31"/>
    </row>
    <row r="849">
      <c r="M849" s="31"/>
      <c r="N849" s="31"/>
    </row>
    <row r="850">
      <c r="M850" s="31"/>
      <c r="N850" s="31"/>
    </row>
    <row r="851">
      <c r="M851" s="31"/>
      <c r="N851" s="31"/>
    </row>
    <row r="852">
      <c r="M852" s="31"/>
      <c r="N852" s="31"/>
    </row>
    <row r="853">
      <c r="M853" s="31"/>
      <c r="N853" s="31"/>
    </row>
    <row r="854">
      <c r="M854" s="31"/>
      <c r="N854" s="31"/>
    </row>
    <row r="855">
      <c r="M855" s="31"/>
      <c r="N855" s="31"/>
    </row>
    <row r="856">
      <c r="M856" s="31"/>
      <c r="N856" s="31"/>
    </row>
    <row r="857">
      <c r="M857" s="31"/>
      <c r="N857" s="31"/>
    </row>
    <row r="858">
      <c r="M858" s="31"/>
      <c r="N858" s="31"/>
    </row>
    <row r="859">
      <c r="M859" s="31"/>
      <c r="N859" s="31"/>
    </row>
    <row r="860">
      <c r="M860" s="31"/>
      <c r="N860" s="31"/>
    </row>
    <row r="861">
      <c r="M861" s="31"/>
      <c r="N861" s="31"/>
    </row>
    <row r="862">
      <c r="M862" s="31"/>
      <c r="N862" s="31"/>
    </row>
    <row r="863">
      <c r="M863" s="31"/>
      <c r="N863" s="31"/>
    </row>
    <row r="864">
      <c r="M864" s="31"/>
      <c r="N864" s="31"/>
    </row>
    <row r="865">
      <c r="M865" s="31"/>
      <c r="N865" s="31"/>
    </row>
    <row r="866">
      <c r="M866" s="31"/>
      <c r="N866" s="31"/>
    </row>
    <row r="867">
      <c r="M867" s="31"/>
      <c r="N867" s="31"/>
    </row>
    <row r="868">
      <c r="M868" s="31"/>
      <c r="N868" s="31"/>
    </row>
    <row r="869">
      <c r="M869" s="31"/>
      <c r="N869" s="31"/>
    </row>
    <row r="870">
      <c r="M870" s="31"/>
      <c r="N870" s="31"/>
    </row>
    <row r="871">
      <c r="M871" s="31"/>
      <c r="N871" s="31"/>
    </row>
    <row r="872">
      <c r="M872" s="31"/>
      <c r="N872" s="31"/>
    </row>
    <row r="873">
      <c r="M873" s="31"/>
      <c r="N873" s="31"/>
    </row>
    <row r="874">
      <c r="M874" s="31"/>
      <c r="N874" s="31"/>
    </row>
    <row r="875">
      <c r="M875" s="31"/>
      <c r="N875" s="31"/>
    </row>
    <row r="876">
      <c r="M876" s="31"/>
      <c r="N876" s="31"/>
    </row>
    <row r="877">
      <c r="M877" s="31"/>
      <c r="N877" s="31"/>
    </row>
    <row r="878">
      <c r="M878" s="31"/>
      <c r="N878" s="31"/>
    </row>
    <row r="879">
      <c r="M879" s="31"/>
      <c r="N879" s="31"/>
    </row>
    <row r="880">
      <c r="M880" s="31"/>
      <c r="N880" s="31"/>
    </row>
    <row r="881">
      <c r="M881" s="31"/>
      <c r="N881" s="31"/>
    </row>
    <row r="882">
      <c r="M882" s="31"/>
      <c r="N882" s="31"/>
    </row>
    <row r="883">
      <c r="M883" s="31"/>
      <c r="N883" s="31"/>
    </row>
    <row r="884">
      <c r="M884" s="31"/>
      <c r="N884" s="31"/>
    </row>
    <row r="885">
      <c r="M885" s="31"/>
      <c r="N885" s="31"/>
    </row>
    <row r="886">
      <c r="M886" s="31"/>
      <c r="N886" s="31"/>
    </row>
    <row r="887">
      <c r="M887" s="31"/>
      <c r="N887" s="31"/>
    </row>
    <row r="888">
      <c r="M888" s="31"/>
      <c r="N888" s="31"/>
    </row>
    <row r="889">
      <c r="M889" s="31"/>
      <c r="N889" s="31"/>
    </row>
    <row r="890">
      <c r="M890" s="31"/>
      <c r="N890" s="31"/>
    </row>
    <row r="891">
      <c r="M891" s="31"/>
      <c r="N891" s="31"/>
    </row>
    <row r="892">
      <c r="M892" s="31"/>
      <c r="N892" s="31"/>
    </row>
    <row r="893">
      <c r="M893" s="31"/>
      <c r="N893" s="31"/>
    </row>
    <row r="894">
      <c r="M894" s="31"/>
      <c r="N894" s="31"/>
    </row>
    <row r="895">
      <c r="M895" s="31"/>
      <c r="N895" s="31"/>
    </row>
    <row r="896">
      <c r="M896" s="31"/>
      <c r="N896" s="31"/>
    </row>
    <row r="897">
      <c r="M897" s="31"/>
      <c r="N897" s="31"/>
    </row>
    <row r="898">
      <c r="M898" s="31"/>
      <c r="N898" s="31"/>
    </row>
    <row r="899">
      <c r="M899" s="31"/>
      <c r="N899" s="31"/>
    </row>
    <row r="900">
      <c r="M900" s="31"/>
      <c r="N900" s="31"/>
    </row>
    <row r="901">
      <c r="M901" s="31"/>
      <c r="N901" s="31"/>
    </row>
    <row r="902">
      <c r="M902" s="31"/>
      <c r="N902" s="31"/>
    </row>
    <row r="903">
      <c r="M903" s="31"/>
      <c r="N903" s="31"/>
    </row>
    <row r="904">
      <c r="M904" s="31"/>
      <c r="N904" s="31"/>
    </row>
    <row r="905">
      <c r="M905" s="31"/>
      <c r="N905" s="31"/>
    </row>
    <row r="906">
      <c r="M906" s="31"/>
      <c r="N906" s="31"/>
    </row>
    <row r="907">
      <c r="M907" s="31"/>
      <c r="N907" s="31"/>
    </row>
    <row r="908">
      <c r="M908" s="31"/>
      <c r="N908" s="31"/>
    </row>
    <row r="909">
      <c r="M909" s="31"/>
      <c r="N909" s="31"/>
    </row>
    <row r="910">
      <c r="M910" s="31"/>
      <c r="N910" s="31"/>
    </row>
    <row r="911">
      <c r="M911" s="31"/>
      <c r="N911" s="31"/>
    </row>
    <row r="912">
      <c r="M912" s="31"/>
      <c r="N912" s="31"/>
    </row>
    <row r="913">
      <c r="M913" s="31"/>
      <c r="N913" s="31"/>
    </row>
    <row r="914">
      <c r="M914" s="31"/>
      <c r="N914" s="31"/>
    </row>
    <row r="915">
      <c r="M915" s="31"/>
      <c r="N915" s="31"/>
    </row>
    <row r="916">
      <c r="M916" s="31"/>
      <c r="N916" s="31"/>
    </row>
    <row r="917">
      <c r="M917" s="31"/>
      <c r="N917" s="31"/>
    </row>
    <row r="918">
      <c r="M918" s="31"/>
      <c r="N918" s="31"/>
    </row>
    <row r="919">
      <c r="M919" s="31"/>
      <c r="N919" s="31"/>
    </row>
    <row r="920">
      <c r="M920" s="31"/>
      <c r="N920" s="31"/>
    </row>
    <row r="921">
      <c r="M921" s="31"/>
      <c r="N921" s="31"/>
    </row>
    <row r="922">
      <c r="M922" s="31"/>
      <c r="N922" s="31"/>
    </row>
    <row r="923">
      <c r="M923" s="31"/>
      <c r="N923" s="31"/>
    </row>
    <row r="924">
      <c r="M924" s="31"/>
      <c r="N924" s="31"/>
    </row>
    <row r="925">
      <c r="M925" s="31"/>
      <c r="N925" s="31"/>
    </row>
    <row r="926">
      <c r="M926" s="31"/>
      <c r="N926" s="31"/>
    </row>
    <row r="927">
      <c r="M927" s="31"/>
      <c r="N927" s="31"/>
    </row>
    <row r="928">
      <c r="M928" s="31"/>
      <c r="N928" s="31"/>
    </row>
    <row r="929">
      <c r="M929" s="31"/>
      <c r="N929" s="31"/>
    </row>
    <row r="930">
      <c r="M930" s="31"/>
      <c r="N930" s="31"/>
    </row>
    <row r="931">
      <c r="M931" s="31"/>
      <c r="N931" s="31"/>
    </row>
    <row r="932">
      <c r="M932" s="31"/>
      <c r="N932" s="31"/>
    </row>
    <row r="933">
      <c r="M933" s="31"/>
      <c r="N933" s="31"/>
    </row>
    <row r="934">
      <c r="M934" s="31"/>
      <c r="N934" s="31"/>
    </row>
    <row r="935">
      <c r="M935" s="31"/>
      <c r="N935" s="31"/>
    </row>
    <row r="936">
      <c r="M936" s="31"/>
      <c r="N936" s="31"/>
    </row>
    <row r="937">
      <c r="M937" s="31"/>
      <c r="N937" s="31"/>
    </row>
    <row r="938">
      <c r="M938" s="31"/>
      <c r="N938" s="31"/>
    </row>
    <row r="939">
      <c r="M939" s="31"/>
      <c r="N939" s="31"/>
    </row>
    <row r="940">
      <c r="M940" s="31"/>
      <c r="N940" s="31"/>
    </row>
    <row r="941">
      <c r="M941" s="31"/>
      <c r="N941" s="31"/>
    </row>
    <row r="942">
      <c r="M942" s="31"/>
      <c r="N942" s="31"/>
    </row>
    <row r="943">
      <c r="M943" s="31"/>
      <c r="N943" s="31"/>
    </row>
    <row r="944">
      <c r="M944" s="31"/>
      <c r="N944" s="31"/>
    </row>
    <row r="945">
      <c r="M945" s="31"/>
      <c r="N945" s="31"/>
    </row>
    <row r="946">
      <c r="M946" s="31"/>
      <c r="N946" s="31"/>
    </row>
    <row r="947">
      <c r="M947" s="31"/>
      <c r="N947" s="31"/>
    </row>
    <row r="948">
      <c r="M948" s="31"/>
      <c r="N948" s="31"/>
    </row>
    <row r="949">
      <c r="M949" s="31"/>
      <c r="N949" s="31"/>
    </row>
    <row r="950">
      <c r="M950" s="31"/>
      <c r="N950" s="31"/>
    </row>
    <row r="951">
      <c r="M951" s="31"/>
      <c r="N951" s="31"/>
    </row>
    <row r="952">
      <c r="M952" s="31"/>
      <c r="N952" s="31"/>
    </row>
    <row r="953">
      <c r="M953" s="31"/>
      <c r="N953" s="31"/>
    </row>
    <row r="954">
      <c r="M954" s="31"/>
      <c r="N954" s="31"/>
    </row>
    <row r="955">
      <c r="M955" s="31"/>
      <c r="N955" s="31"/>
    </row>
    <row r="956">
      <c r="M956" s="31"/>
      <c r="N956" s="31"/>
    </row>
    <row r="957">
      <c r="M957" s="31"/>
      <c r="N957" s="31"/>
    </row>
    <row r="958">
      <c r="M958" s="31"/>
      <c r="N958" s="31"/>
    </row>
    <row r="959">
      <c r="M959" s="31"/>
      <c r="N959" s="31"/>
    </row>
    <row r="960">
      <c r="M960" s="31"/>
      <c r="N960" s="31"/>
    </row>
    <row r="961">
      <c r="M961" s="31"/>
      <c r="N961" s="31"/>
    </row>
    <row r="962">
      <c r="M962" s="31"/>
      <c r="N962" s="31"/>
    </row>
    <row r="963">
      <c r="M963" s="31"/>
      <c r="N963" s="31"/>
    </row>
    <row r="964">
      <c r="M964" s="31"/>
      <c r="N964" s="31"/>
    </row>
    <row r="965">
      <c r="M965" s="31"/>
      <c r="N965" s="31"/>
    </row>
    <row r="966">
      <c r="M966" s="31"/>
      <c r="N966" s="31"/>
    </row>
    <row r="967">
      <c r="M967" s="31"/>
      <c r="N967" s="31"/>
    </row>
    <row r="968">
      <c r="M968" s="31"/>
      <c r="N968" s="31"/>
    </row>
    <row r="969">
      <c r="M969" s="31"/>
      <c r="N969" s="31"/>
    </row>
    <row r="970">
      <c r="M970" s="31"/>
      <c r="N970" s="31"/>
    </row>
    <row r="971">
      <c r="M971" s="31"/>
      <c r="N971" s="31"/>
    </row>
    <row r="972">
      <c r="M972" s="31"/>
      <c r="N972" s="31"/>
    </row>
    <row r="973">
      <c r="M973" s="31"/>
      <c r="N973" s="31"/>
    </row>
    <row r="974">
      <c r="M974" s="31"/>
      <c r="N974" s="31"/>
    </row>
    <row r="975">
      <c r="M975" s="31"/>
      <c r="N975" s="31"/>
    </row>
    <row r="976">
      <c r="M976" s="31"/>
      <c r="N976" s="31"/>
    </row>
    <row r="977">
      <c r="M977" s="31"/>
      <c r="N977" s="31"/>
    </row>
    <row r="978">
      <c r="M978" s="31"/>
      <c r="N978" s="31"/>
    </row>
    <row r="979">
      <c r="M979" s="31"/>
      <c r="N979" s="31"/>
    </row>
    <row r="980">
      <c r="M980" s="31"/>
      <c r="N980" s="31"/>
    </row>
    <row r="981">
      <c r="M981" s="31"/>
      <c r="N981" s="31"/>
    </row>
    <row r="982">
      <c r="M982" s="31"/>
      <c r="N982" s="31"/>
    </row>
    <row r="983">
      <c r="M983" s="31"/>
      <c r="N983" s="31"/>
    </row>
    <row r="984">
      <c r="M984" s="31"/>
      <c r="N984" s="31"/>
    </row>
    <row r="985">
      <c r="M985" s="31"/>
      <c r="N985" s="31"/>
    </row>
    <row r="986">
      <c r="M986" s="31"/>
      <c r="N986" s="31"/>
    </row>
    <row r="987">
      <c r="M987" s="31"/>
      <c r="N987" s="31"/>
    </row>
    <row r="988">
      <c r="M988" s="31"/>
      <c r="N988" s="31"/>
    </row>
    <row r="989">
      <c r="M989" s="31"/>
      <c r="N989" s="31"/>
    </row>
    <row r="990">
      <c r="M990" s="31"/>
      <c r="N990" s="31"/>
    </row>
    <row r="991">
      <c r="M991" s="31"/>
      <c r="N991" s="31"/>
    </row>
    <row r="992">
      <c r="M992" s="31"/>
      <c r="N992" s="31"/>
    </row>
    <row r="993">
      <c r="M993" s="31"/>
      <c r="N993" s="31"/>
    </row>
    <row r="994">
      <c r="M994" s="31"/>
      <c r="N994" s="31"/>
    </row>
    <row r="995">
      <c r="M995" s="31"/>
      <c r="N995" s="31"/>
    </row>
    <row r="996">
      <c r="M996" s="31"/>
      <c r="N996" s="31"/>
    </row>
    <row r="997">
      <c r="M997" s="31"/>
      <c r="N997" s="31"/>
    </row>
    <row r="998">
      <c r="M998" s="31"/>
      <c r="N998" s="31"/>
    </row>
    <row r="999">
      <c r="M999" s="31"/>
      <c r="N999" s="31"/>
    </row>
  </sheetData>
  <mergeCells count="5">
    <mergeCell ref="A1:A2"/>
    <mergeCell ref="B1:B2"/>
    <mergeCell ref="C1:C2"/>
    <mergeCell ref="D1:D2"/>
    <mergeCell ref="E1:E2"/>
  </mergeCells>
  <conditionalFormatting sqref="F3:G37 H3:AT38 AU3:AX31 AU35 AX35 G39">
    <cfRule type="cellIs" dxfId="3" priority="1" operator="equal">
      <formula>1</formula>
    </cfRule>
  </conditionalFormatting>
  <conditionalFormatting sqref="F3:G37 H3:AT38 AU8 AX8 AW25:AX25 AU35 AX35 AU37:AX37 G39">
    <cfRule type="cellIs" dxfId="4" priority="2" operator="equal">
      <formula>"R"</formula>
    </cfRule>
  </conditionalFormatting>
  <conditionalFormatting sqref="B3:B31 C3:C38 B37">
    <cfRule type="cellIs" dxfId="5" priority="3" operator="greaterThanOrEqual">
      <formula>3</formula>
    </cfRule>
  </conditionalFormatting>
  <conditionalFormatting sqref="B3:B24 B26:B31 B37">
    <cfRule type="cellIs" dxfId="6" priority="4" operator="lessThan">
      <formula>1</formula>
    </cfRule>
  </conditionalFormatting>
  <conditionalFormatting sqref="B3:B32 C3:C41 B37">
    <cfRule type="cellIs" dxfId="7" priority="5" operator="equal">
      <formula>0</formula>
    </cfRule>
  </conditionalFormatting>
  <conditionalFormatting sqref="B3:B31 C3:C38 B37">
    <cfRule type="cellIs" dxfId="8" priority="6" operator="lessThan">
      <formula>2</formula>
    </cfRule>
  </conditionalFormatting>
  <conditionalFormatting sqref="B3:B31 C3:C38 B37">
    <cfRule type="cellIs" dxfId="9" priority="7" operator="lessThan">
      <formula>3</formula>
    </cfRule>
  </conditionalFormatting>
  <conditionalFormatting sqref="B3:B32 C3:C41 B37">
    <cfRule type="containsBlanks" dxfId="6" priority="8">
      <formula>LEN(TRIM(B3))=0</formula>
    </cfRule>
  </conditionalFormatting>
  <conditionalFormatting sqref="F3:G37 H3:AT38 AU8 AX8 AW25:AX25 AU35 AX35 AU37:AX37 G39">
    <cfRule type="cellIs" dxfId="10" priority="9" operator="equal">
      <formula>"R2"</formula>
    </cfRule>
  </conditionalFormatting>
  <conditionalFormatting sqref="F38:F41 G39:AX41">
    <cfRule type="cellIs" dxfId="7" priority="10" operator="lessThan">
      <formula>1</formula>
    </cfRule>
  </conditionalFormatting>
  <conditionalFormatting sqref="F39 G39:G40 H39:AX39">
    <cfRule type="cellIs" dxfId="3" priority="11" operator="equal">
      <formula>1</formula>
    </cfRule>
  </conditionalFormatting>
  <conditionalFormatting sqref="F38:F41 G39:AX41">
    <cfRule type="cellIs" dxfId="11" priority="12" operator="greaterThan">
      <formula>1</formula>
    </cfRule>
  </conditionalFormatting>
  <conditionalFormatting sqref="D3:E41">
    <cfRule type="cellIs" dxfId="9" priority="13" operator="equal">
      <formula>1</formula>
    </cfRule>
  </conditionalFormatting>
  <conditionalFormatting sqref="F4:AQ5 F25:O25 AH25:AX25 AF31:AF36 AI31 F33:AE36 AG33:AH36 AI33:AI34 AJ33:AX36 F38:AX41">
    <cfRule type="cellIs" dxfId="7" priority="14" operator="lessThan">
      <formula>1</formula>
    </cfRule>
  </conditionalFormatting>
  <conditionalFormatting sqref="F4:AQ5 F25:O25 AH25:AX25 AF31:AF36 AI31 F33:AE36 AG33:AH36 AI33:AI34 AJ33:AX36 F38:AX41">
    <cfRule type="cellIs" dxfId="12" priority="15" operator="equal">
      <formula>1</formula>
    </cfRule>
  </conditionalFormatting>
  <conditionalFormatting sqref="F4:AQ5 F25:O25 AH25:AX25 AF31:AF36 AI31 F33:AE36 AG33:AH36 AI33:AI34 AJ33:AX36 F38:AX41">
    <cfRule type="cellIs" dxfId="11" priority="16" operator="greaterThan">
      <formula>1</formula>
    </cfRule>
  </conditionalFormatting>
  <conditionalFormatting sqref="D3:D41 E3:E38">
    <cfRule type="cellIs" dxfId="7" priority="17" operator="equal">
      <formula>0</formula>
    </cfRule>
  </conditionalFormatting>
  <conditionalFormatting sqref="D3:D41 E3:E38">
    <cfRule type="cellIs" dxfId="4" priority="18" operator="equal">
      <formula>2</formula>
    </cfRule>
  </conditionalFormatting>
  <conditionalFormatting sqref="E3:E41">
    <cfRule type="cellIs" dxfId="7" priority="19" operator="equal">
      <formula>0</formula>
    </cfRule>
  </conditionalFormatting>
  <conditionalFormatting sqref="E3:E41">
    <cfRule type="cellIs" dxfId="4" priority="20" operator="greaterThanOrEqual">
      <formula>2</formula>
    </cfRule>
  </conditionalFormatting>
  <conditionalFormatting sqref="C44">
    <cfRule type="notContainsBlanks" dxfId="3" priority="21">
      <formula>LEN(TRIM(C44))&gt;0</formula>
    </cfRule>
  </conditionalFormatting>
  <conditionalFormatting sqref="AR2:AX2">
    <cfRule type="containsText" dxfId="13" priority="22" operator="containsText" text="(PAM)">
      <formula>NOT(ISERROR(SEARCH(("(PAM)"),(AR2))))</formula>
    </cfRule>
  </conditionalFormatting>
  <conditionalFormatting sqref="AR2:AX2">
    <cfRule type="containsText" dxfId="13" priority="23" operator="containsText" text="(PPM)">
      <formula>NOT(ISERROR(SEARCH(("(PPM)"),(AR2))))</formula>
    </cfRule>
  </conditionalFormatting>
  <conditionalFormatting sqref="F2:AX2">
    <cfRule type="containsText" dxfId="13" priority="24" operator="containsText" text="PAM">
      <formula>NOT(ISERROR(SEARCH(("PAM"),(F2))))</formula>
    </cfRule>
  </conditionalFormatting>
  <conditionalFormatting sqref="F2:AX2">
    <cfRule type="containsText" dxfId="13" priority="25" operator="containsText" text="PPM">
      <formula>NOT(ISERROR(SEARCH(("PPM"),(F2))))</formula>
    </cfRule>
  </conditionalFormatting>
  <conditionalFormatting sqref="F2:AX2">
    <cfRule type="containsText" dxfId="11" priority="26" operator="containsText" text="(AM)">
      <formula>NOT(ISERROR(SEARCH(("(AM)"),(F2))))</formula>
    </cfRule>
  </conditionalFormatting>
  <conditionalFormatting sqref="F2:AX2">
    <cfRule type="containsText" dxfId="7" priority="27" operator="containsText" text="(PM)">
      <formula>NOT(ISERROR(SEARCH(("(PM)"),(F2))))</formula>
    </cfRule>
  </conditionalFormatting>
  <conditionalFormatting sqref="F2:AX2">
    <cfRule type="notContainsText" dxfId="15" priority="28" operator="notContains" text="(AM)">
      <formula>ISERROR(SEARCH(("(AM)"),(F2)))</formula>
    </cfRule>
  </conditionalFormatting>
  <conditionalFormatting sqref="F2:AX2">
    <cfRule type="notContainsText" dxfId="15" priority="29" operator="notContains" text="(PM)">
      <formula>ISERROR(SEARCH(("(PM)"),(F2)))</formula>
    </cfRule>
  </conditionalFormatting>
  <conditionalFormatting sqref="F2:AX2">
    <cfRule type="notContainsText" dxfId="15" priority="30" operator="notContains" text="(PM)">
      <formula>ISERROR(SEARCH(("(PM)"),(F2)))</formula>
    </cfRule>
  </conditionalFormatting>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49.5"/>
    <col customWidth="1" hidden="1" min="2" max="2" width="11.38"/>
    <col customWidth="1" min="3" max="3" width="7.38"/>
    <col customWidth="1" min="4" max="4" width="3.13"/>
    <col customWidth="1" min="5" max="5" width="5.13"/>
    <col customWidth="1" min="6" max="16" width="8.63"/>
    <col customWidth="1" min="17" max="17" width="8.25"/>
    <col customWidth="1" min="18" max="47" width="8.63"/>
    <col customWidth="1" min="48" max="48" width="9.5"/>
    <col customWidth="1" hidden="1" min="49" max="54" width="9.5"/>
  </cols>
  <sheetData>
    <row r="1" ht="25.5" customHeight="1">
      <c r="A1" s="1" t="s">
        <v>0</v>
      </c>
      <c r="B1" s="1" t="s">
        <v>1</v>
      </c>
      <c r="C1" s="1" t="s">
        <v>682</v>
      </c>
      <c r="D1" s="1" t="s">
        <v>683</v>
      </c>
      <c r="E1" s="1" t="s">
        <v>62</v>
      </c>
      <c r="F1" s="173" t="s">
        <v>420</v>
      </c>
      <c r="G1" s="2" t="s">
        <v>420</v>
      </c>
      <c r="H1" s="2" t="s">
        <v>422</v>
      </c>
      <c r="I1" s="2" t="s">
        <v>422</v>
      </c>
      <c r="J1" s="2" t="s">
        <v>423</v>
      </c>
      <c r="K1" s="2" t="s">
        <v>423</v>
      </c>
      <c r="L1" s="2" t="s">
        <v>424</v>
      </c>
      <c r="M1" s="2" t="s">
        <v>425</v>
      </c>
      <c r="N1" s="2" t="s">
        <v>426</v>
      </c>
      <c r="O1" s="2" t="s">
        <v>427</v>
      </c>
      <c r="P1" s="2" t="s">
        <v>420</v>
      </c>
      <c r="Q1" s="2" t="s">
        <v>422</v>
      </c>
      <c r="R1" s="2" t="s">
        <v>422</v>
      </c>
      <c r="S1" s="2" t="s">
        <v>423</v>
      </c>
      <c r="T1" s="2" t="s">
        <v>423</v>
      </c>
      <c r="U1" s="2" t="s">
        <v>424</v>
      </c>
      <c r="V1" s="2" t="s">
        <v>425</v>
      </c>
      <c r="W1" s="2" t="s">
        <v>426</v>
      </c>
      <c r="X1" s="2" t="s">
        <v>427</v>
      </c>
      <c r="Y1" s="2" t="s">
        <v>420</v>
      </c>
      <c r="Z1" s="2" t="s">
        <v>422</v>
      </c>
      <c r="AA1" s="2" t="s">
        <v>422</v>
      </c>
      <c r="AB1" s="2" t="s">
        <v>423</v>
      </c>
      <c r="AC1" s="2" t="s">
        <v>423</v>
      </c>
      <c r="AD1" s="2" t="s">
        <v>424</v>
      </c>
      <c r="AE1" s="2" t="s">
        <v>425</v>
      </c>
      <c r="AF1" s="2" t="s">
        <v>426</v>
      </c>
      <c r="AG1" s="2" t="s">
        <v>427</v>
      </c>
      <c r="AH1" s="2" t="s">
        <v>420</v>
      </c>
      <c r="AI1" s="2" t="s">
        <v>422</v>
      </c>
      <c r="AJ1" s="2" t="s">
        <v>422</v>
      </c>
      <c r="AK1" s="2" t="s">
        <v>423</v>
      </c>
      <c r="AL1" s="2" t="s">
        <v>423</v>
      </c>
      <c r="AM1" s="2" t="s">
        <v>424</v>
      </c>
      <c r="AN1" s="2" t="s">
        <v>425</v>
      </c>
      <c r="AO1" s="2" t="s">
        <v>426</v>
      </c>
      <c r="AP1" s="2" t="s">
        <v>426</v>
      </c>
      <c r="AQ1" s="2" t="s">
        <v>427</v>
      </c>
      <c r="AR1" s="2" t="s">
        <v>420</v>
      </c>
      <c r="AS1" s="2" t="s">
        <v>422</v>
      </c>
      <c r="AT1" s="2" t="s">
        <v>422</v>
      </c>
      <c r="AU1" s="2" t="s">
        <v>529</v>
      </c>
      <c r="AV1" s="2" t="s">
        <v>423</v>
      </c>
      <c r="AX1" s="2" t="s">
        <v>684</v>
      </c>
      <c r="AY1" s="54" t="s">
        <v>425</v>
      </c>
      <c r="AZ1" s="55" t="s">
        <v>7</v>
      </c>
      <c r="BA1" s="55" t="s">
        <v>8</v>
      </c>
      <c r="BB1" s="55" t="s">
        <v>8</v>
      </c>
    </row>
    <row r="2" ht="25.5" customHeight="1">
      <c r="F2" s="88" t="s">
        <v>793</v>
      </c>
      <c r="G2" s="88" t="s">
        <v>794</v>
      </c>
      <c r="H2" s="88" t="s">
        <v>795</v>
      </c>
      <c r="I2" s="88" t="s">
        <v>796</v>
      </c>
      <c r="J2" s="88" t="s">
        <v>797</v>
      </c>
      <c r="K2" s="88" t="s">
        <v>798</v>
      </c>
      <c r="L2" s="153">
        <v>46146.0</v>
      </c>
      <c r="M2" s="153">
        <v>46147.0</v>
      </c>
      <c r="N2" s="153">
        <v>46148.0</v>
      </c>
      <c r="O2" s="153">
        <v>46149.0</v>
      </c>
      <c r="P2" s="153">
        <v>46150.0</v>
      </c>
      <c r="Q2" s="88" t="s">
        <v>799</v>
      </c>
      <c r="R2" s="88" t="s">
        <v>800</v>
      </c>
      <c r="S2" s="88" t="s">
        <v>801</v>
      </c>
      <c r="T2" s="88" t="s">
        <v>802</v>
      </c>
      <c r="U2" s="153">
        <v>46153.0</v>
      </c>
      <c r="V2" s="153">
        <v>46154.0</v>
      </c>
      <c r="W2" s="153">
        <v>46155.0</v>
      </c>
      <c r="X2" s="153">
        <v>46156.0</v>
      </c>
      <c r="Y2" s="153">
        <v>46157.0</v>
      </c>
      <c r="Z2" s="88" t="s">
        <v>803</v>
      </c>
      <c r="AA2" s="88" t="s">
        <v>804</v>
      </c>
      <c r="AB2" s="88" t="s">
        <v>805</v>
      </c>
      <c r="AC2" s="88" t="s">
        <v>806</v>
      </c>
      <c r="AD2" s="153">
        <v>46160.0</v>
      </c>
      <c r="AE2" s="153">
        <v>46161.0</v>
      </c>
      <c r="AF2" s="153">
        <v>46162.0</v>
      </c>
      <c r="AG2" s="153">
        <v>46163.0</v>
      </c>
      <c r="AH2" s="153">
        <v>46164.0</v>
      </c>
      <c r="AI2" s="88" t="s">
        <v>807</v>
      </c>
      <c r="AJ2" s="88" t="s">
        <v>808</v>
      </c>
      <c r="AK2" s="88" t="s">
        <v>809</v>
      </c>
      <c r="AL2" s="88" t="s">
        <v>810</v>
      </c>
      <c r="AM2" s="153">
        <v>46167.0</v>
      </c>
      <c r="AN2" s="153">
        <v>46168.0</v>
      </c>
      <c r="AO2" s="88" t="s">
        <v>811</v>
      </c>
      <c r="AP2" s="88" t="s">
        <v>812</v>
      </c>
      <c r="AQ2" s="153">
        <v>46170.0</v>
      </c>
      <c r="AR2" s="153">
        <v>46171.0</v>
      </c>
      <c r="AS2" s="88" t="s">
        <v>813</v>
      </c>
      <c r="AT2" s="88" t="s">
        <v>814</v>
      </c>
      <c r="AU2" s="88" t="s">
        <v>815</v>
      </c>
      <c r="AV2" s="88" t="s">
        <v>816</v>
      </c>
      <c r="AW2" s="28"/>
      <c r="AX2" s="88" t="s">
        <v>715</v>
      </c>
      <c r="AY2" s="51" t="s">
        <v>252</v>
      </c>
      <c r="AZ2" s="51" t="s">
        <v>252</v>
      </c>
      <c r="BA2" s="51" t="s">
        <v>253</v>
      </c>
      <c r="BB2" s="51" t="s">
        <v>253</v>
      </c>
    </row>
    <row r="3">
      <c r="A3" s="146" t="s">
        <v>626</v>
      </c>
      <c r="B3" s="40">
        <f t="shared" ref="B3:B8" si="1">SUM(C3:D3)</f>
        <v>4</v>
      </c>
      <c r="C3" s="10">
        <f t="shared" ref="C3:C41" si="2">SUM(G3:AW3)</f>
        <v>2</v>
      </c>
      <c r="D3" s="11">
        <f t="array" ref="D3">SUM(IF(G3:AW3="R",1,0))</f>
        <v>2</v>
      </c>
      <c r="E3" s="11">
        <f t="array" ref="E3">SUM(IF(G3:AW3="R2",1,0))</f>
        <v>1</v>
      </c>
      <c r="F3" s="24">
        <v>1.0</v>
      </c>
      <c r="G3" s="121"/>
      <c r="I3" s="17" t="s">
        <v>39</v>
      </c>
      <c r="L3" s="121"/>
      <c r="M3" s="121"/>
      <c r="N3" s="24" t="s">
        <v>40</v>
      </c>
      <c r="O3" s="121"/>
      <c r="P3" s="121"/>
      <c r="U3" s="16"/>
      <c r="V3" s="16"/>
      <c r="W3" s="16"/>
      <c r="X3" s="16"/>
      <c r="Y3" s="24">
        <v>1.0</v>
      </c>
      <c r="AD3" s="121"/>
      <c r="AE3" s="121"/>
      <c r="AF3" s="121"/>
      <c r="AG3" s="121"/>
      <c r="AH3" s="121"/>
      <c r="AJ3" s="17" t="s">
        <v>39</v>
      </c>
      <c r="AM3" s="121"/>
      <c r="AN3" s="121"/>
      <c r="AO3" s="121"/>
      <c r="AP3" s="121"/>
      <c r="AQ3" s="121"/>
      <c r="AR3" s="24">
        <v>1.0</v>
      </c>
      <c r="AX3" s="28">
        <f t="shared" ref="AX3:AX38" si="3">sum(D3:E3)</f>
        <v>3</v>
      </c>
    </row>
    <row r="4">
      <c r="A4" s="25" t="s">
        <v>501</v>
      </c>
      <c r="B4" s="10">
        <f t="shared" si="1"/>
        <v>2</v>
      </c>
      <c r="C4" s="10">
        <f t="shared" si="2"/>
        <v>1</v>
      </c>
      <c r="D4" s="11">
        <f t="array" ref="D4">SUM(IF(G4:AW4="R",1,0))</f>
        <v>1</v>
      </c>
      <c r="E4" s="11">
        <f t="array" ref="E4">SUM(IF(G4:AW4="R2",1,0))</f>
        <v>3</v>
      </c>
      <c r="V4" s="17" t="s">
        <v>40</v>
      </c>
      <c r="AG4" s="20" t="s">
        <v>39</v>
      </c>
      <c r="AJ4" s="17" t="s">
        <v>40</v>
      </c>
      <c r="AQ4" s="17">
        <v>1.0</v>
      </c>
      <c r="AT4" s="17" t="s">
        <v>40</v>
      </c>
      <c r="AX4" s="28">
        <f t="shared" si="3"/>
        <v>4</v>
      </c>
    </row>
    <row r="5">
      <c r="A5" s="25" t="s">
        <v>817</v>
      </c>
      <c r="B5" s="10">
        <f t="shared" si="1"/>
        <v>3</v>
      </c>
      <c r="C5" s="10">
        <f t="shared" si="2"/>
        <v>1</v>
      </c>
      <c r="D5" s="11">
        <f t="array" ref="D5">SUM(IF(G5:AW5="R",1,0))</f>
        <v>2</v>
      </c>
      <c r="E5" s="11">
        <f t="array" ref="E5">SUM(IF(G5:AW5="R2",1,0))</f>
        <v>1</v>
      </c>
      <c r="L5" s="121"/>
      <c r="M5" s="121"/>
      <c r="N5" s="24" t="s">
        <v>39</v>
      </c>
      <c r="O5" s="24"/>
      <c r="U5" s="16"/>
      <c r="V5" s="16"/>
      <c r="W5" s="16"/>
      <c r="X5" s="21"/>
      <c r="Y5" s="17" t="s">
        <v>39</v>
      </c>
      <c r="AD5" s="121"/>
      <c r="AE5" s="121"/>
      <c r="AF5" s="121"/>
      <c r="AG5" s="121"/>
      <c r="AM5" s="24" t="s">
        <v>40</v>
      </c>
      <c r="AN5" s="121"/>
      <c r="AP5" s="17">
        <v>1.0</v>
      </c>
      <c r="AQ5" s="121"/>
      <c r="AX5" s="28">
        <f t="shared" si="3"/>
        <v>3</v>
      </c>
    </row>
    <row r="6">
      <c r="A6" s="14" t="s">
        <v>503</v>
      </c>
      <c r="B6" s="10">
        <f t="shared" si="1"/>
        <v>4</v>
      </c>
      <c r="C6" s="10">
        <f t="shared" si="2"/>
        <v>2</v>
      </c>
      <c r="D6" s="11">
        <f t="array" ref="D6">SUM(IF(G6:AW6="R",1,0))</f>
        <v>2</v>
      </c>
      <c r="E6" s="11">
        <f t="array" ref="E6">SUM(IF(G6:AW6="R2",1,0))</f>
        <v>1</v>
      </c>
      <c r="K6" s="17" t="s">
        <v>40</v>
      </c>
      <c r="N6" s="16"/>
      <c r="U6" s="17">
        <v>1.0</v>
      </c>
      <c r="V6" s="16"/>
      <c r="W6" s="16"/>
      <c r="X6" s="16"/>
      <c r="AC6" s="17">
        <v>1.0</v>
      </c>
      <c r="AM6" s="16"/>
      <c r="AR6" s="17" t="s">
        <v>39</v>
      </c>
      <c r="AU6" s="17" t="s">
        <v>39</v>
      </c>
      <c r="AX6" s="28">
        <f t="shared" si="3"/>
        <v>3</v>
      </c>
    </row>
    <row r="7" hidden="1">
      <c r="A7" s="14" t="s">
        <v>504</v>
      </c>
      <c r="B7" s="10">
        <f t="shared" si="1"/>
        <v>0</v>
      </c>
      <c r="C7" s="10">
        <f t="shared" si="2"/>
        <v>0</v>
      </c>
      <c r="D7" s="11">
        <f t="array" ref="D7">SUM(IF(G7:AW7="R",1,0))</f>
        <v>0</v>
      </c>
      <c r="E7" s="11">
        <f t="array" ref="E7">SUM(IF(G7:AW7="R2",1,0))</f>
        <v>0</v>
      </c>
      <c r="AX7" s="28">
        <f t="shared" si="3"/>
        <v>0</v>
      </c>
    </row>
    <row r="8" hidden="1">
      <c r="A8" s="122" t="s">
        <v>505</v>
      </c>
      <c r="B8" s="10">
        <f t="shared" si="1"/>
        <v>0</v>
      </c>
      <c r="C8" s="10">
        <f t="shared" si="2"/>
        <v>0</v>
      </c>
      <c r="D8" s="11">
        <f t="array" ref="D8">SUM(IF(G8:AW8="R",1,0))</f>
        <v>0</v>
      </c>
      <c r="E8" s="11">
        <f t="array" ref="E8">SUM(IF(G8:AW8="R2",1,0))</f>
        <v>0</v>
      </c>
      <c r="AX8" s="28">
        <f t="shared" si="3"/>
        <v>0</v>
      </c>
    </row>
    <row r="9">
      <c r="A9" s="27" t="s">
        <v>672</v>
      </c>
      <c r="B9" s="10"/>
      <c r="C9" s="10">
        <f t="shared" si="2"/>
        <v>2</v>
      </c>
      <c r="D9" s="11">
        <f t="array" ref="D9">SUM(IF(G9:AW9="R",1,0))</f>
        <v>0</v>
      </c>
      <c r="E9" s="11">
        <f t="array" ref="E9">SUM(IF(G9:AW9="R2",1,0))</f>
        <v>2</v>
      </c>
      <c r="F9" s="16"/>
      <c r="G9" s="16"/>
      <c r="H9" s="16"/>
      <c r="I9" s="16"/>
      <c r="J9" s="16"/>
      <c r="K9" s="16"/>
      <c r="L9" s="16"/>
      <c r="M9" s="16"/>
      <c r="Q9" s="20">
        <v>1.0</v>
      </c>
      <c r="R9" s="20">
        <v>1.0</v>
      </c>
      <c r="U9" s="16"/>
      <c r="V9" s="16"/>
      <c r="W9" s="16"/>
      <c r="X9" s="16"/>
      <c r="Y9" s="21" t="s">
        <v>40</v>
      </c>
      <c r="AC9" s="17" t="s">
        <v>40</v>
      </c>
      <c r="AD9" s="16"/>
      <c r="AE9" s="16"/>
      <c r="AF9" s="16"/>
      <c r="AG9" s="16"/>
      <c r="AH9" s="16"/>
      <c r="AI9" s="16"/>
      <c r="AJ9" s="16"/>
      <c r="AK9" s="16"/>
      <c r="AL9" s="16"/>
      <c r="AM9" s="16"/>
      <c r="AN9" s="16"/>
      <c r="AO9" s="16"/>
      <c r="AP9" s="16"/>
      <c r="AQ9" s="16"/>
      <c r="AR9" s="16"/>
      <c r="AS9" s="16"/>
      <c r="AT9" s="16"/>
      <c r="AU9" s="16"/>
      <c r="AV9" s="16"/>
      <c r="AX9" s="28">
        <f t="shared" si="3"/>
        <v>2</v>
      </c>
    </row>
    <row r="10" hidden="1">
      <c r="A10" s="125" t="s">
        <v>586</v>
      </c>
      <c r="B10" s="10">
        <f>SUM(C10:D10)</f>
        <v>0</v>
      </c>
      <c r="C10" s="10">
        <f t="shared" si="2"/>
        <v>0</v>
      </c>
      <c r="D10" s="11">
        <f t="array" ref="D10">SUM(IF(G10:AW10="R",1,0))</f>
        <v>0</v>
      </c>
      <c r="E10" s="11">
        <f t="array" ref="E10">SUM(IF(G10:AW10="R2",1,0))</f>
        <v>0</v>
      </c>
      <c r="AX10" s="28">
        <f t="shared" si="3"/>
        <v>0</v>
      </c>
    </row>
    <row r="11">
      <c r="A11" s="141" t="s">
        <v>818</v>
      </c>
      <c r="B11" s="10"/>
      <c r="C11" s="10">
        <f t="shared" si="2"/>
        <v>1</v>
      </c>
      <c r="D11" s="11">
        <f t="array" ref="D11">SUM(IF(G11:AW11="R",1,0))</f>
        <v>2</v>
      </c>
      <c r="E11" s="11">
        <f t="array" ref="E11">SUM(IF(G11:AW11="R2",1,0))</f>
        <v>2</v>
      </c>
      <c r="F11" s="17" t="s">
        <v>40</v>
      </c>
      <c r="H11" s="16"/>
      <c r="I11" s="16"/>
      <c r="L11" s="121"/>
      <c r="M11" s="24" t="s">
        <v>40</v>
      </c>
      <c r="N11" s="24"/>
      <c r="O11" s="121"/>
      <c r="R11" s="17" t="s">
        <v>39</v>
      </c>
      <c r="T11" s="17">
        <v>1.0</v>
      </c>
      <c r="U11" s="121"/>
      <c r="V11" s="121"/>
      <c r="W11" s="24" t="s">
        <v>39</v>
      </c>
      <c r="X11" s="121"/>
      <c r="AD11" s="121"/>
      <c r="AE11" s="121"/>
      <c r="AF11" s="121"/>
      <c r="AG11" s="24"/>
      <c r="AH11" s="16"/>
      <c r="AM11" s="121"/>
      <c r="AN11" s="121"/>
      <c r="AO11" s="121"/>
      <c r="AP11" s="121"/>
      <c r="AQ11" s="121"/>
      <c r="AV11" s="17" t="s">
        <v>40</v>
      </c>
      <c r="AX11" s="28">
        <f t="shared" si="3"/>
        <v>4</v>
      </c>
    </row>
    <row r="12">
      <c r="A12" s="126" t="s">
        <v>819</v>
      </c>
      <c r="B12" s="10"/>
      <c r="C12" s="10">
        <f t="shared" si="2"/>
        <v>2</v>
      </c>
      <c r="D12" s="11">
        <f t="array" ref="D12">SUM(IF(G12:AW12="R",1,0))</f>
        <v>0</v>
      </c>
      <c r="E12" s="11">
        <f t="array" ref="E12">SUM(IF(G12:AW12="R2",1,0))</f>
        <v>3</v>
      </c>
      <c r="F12" s="16"/>
      <c r="G12" s="16"/>
      <c r="H12" s="24" t="s">
        <v>40</v>
      </c>
      <c r="I12" s="16"/>
      <c r="J12" s="16"/>
      <c r="K12" s="16"/>
      <c r="M12" s="16"/>
      <c r="P12" s="16"/>
      <c r="U12" s="16"/>
      <c r="V12" s="16"/>
      <c r="W12" s="16"/>
      <c r="X12" s="16"/>
      <c r="Y12" s="16"/>
      <c r="Z12" s="16"/>
      <c r="AA12" s="16"/>
      <c r="AB12" s="16"/>
      <c r="AC12" s="16"/>
      <c r="AE12" s="20">
        <v>1.0</v>
      </c>
      <c r="AH12" s="17" t="s">
        <v>40</v>
      </c>
      <c r="AL12" s="20">
        <v>1.0</v>
      </c>
      <c r="AU12" s="17" t="s">
        <v>40</v>
      </c>
      <c r="AX12" s="28">
        <f t="shared" si="3"/>
        <v>3</v>
      </c>
    </row>
    <row r="13">
      <c r="A13" s="26" t="s">
        <v>766</v>
      </c>
      <c r="B13" s="10"/>
      <c r="C13" s="10">
        <f t="shared" si="2"/>
        <v>1</v>
      </c>
      <c r="D13" s="11">
        <f t="array" ref="D13">SUM(IF(G13:AW13="R",1,0))</f>
        <v>1</v>
      </c>
      <c r="E13" s="11">
        <f t="array" ref="E13">SUM(IF(G13:AW13="R2",1,0))</f>
        <v>1</v>
      </c>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K13" s="17">
        <v>1.0</v>
      </c>
      <c r="AO13" s="17" t="s">
        <v>39</v>
      </c>
      <c r="AS13" s="17" t="s">
        <v>40</v>
      </c>
      <c r="AX13" s="28">
        <f t="shared" si="3"/>
        <v>2</v>
      </c>
    </row>
    <row r="14">
      <c r="A14" s="125" t="s">
        <v>820</v>
      </c>
      <c r="B14" s="10">
        <f>SUM(C14:D14)</f>
        <v>4</v>
      </c>
      <c r="C14" s="10">
        <f t="shared" si="2"/>
        <v>1</v>
      </c>
      <c r="D14" s="11">
        <f t="array" ref="D14">SUM(IF(G14:AW14="R",1,0))</f>
        <v>3</v>
      </c>
      <c r="E14" s="11">
        <f t="array" ref="E14">SUM(IF(G14:AW14="R2",1,0))</f>
        <v>1</v>
      </c>
      <c r="H14" s="17" t="s">
        <v>39</v>
      </c>
      <c r="J14" s="17" t="s">
        <v>39</v>
      </c>
      <c r="L14" s="121"/>
      <c r="M14" s="121"/>
      <c r="N14" s="121"/>
      <c r="O14" s="121"/>
      <c r="P14" s="17" t="s">
        <v>40</v>
      </c>
      <c r="U14" s="121"/>
      <c r="V14" s="121"/>
      <c r="W14" s="121"/>
      <c r="X14" s="24" t="s">
        <v>39</v>
      </c>
      <c r="AD14" s="121"/>
      <c r="AE14" s="121"/>
      <c r="AF14" s="121"/>
      <c r="AG14" s="121"/>
      <c r="AH14" s="17">
        <v>1.0</v>
      </c>
      <c r="AM14" s="24"/>
      <c r="AN14" s="121"/>
      <c r="AO14" s="121"/>
      <c r="AP14" s="121"/>
      <c r="AQ14" s="121"/>
      <c r="AX14" s="28">
        <f t="shared" si="3"/>
        <v>4</v>
      </c>
    </row>
    <row r="15">
      <c r="A15" s="20" t="s">
        <v>821</v>
      </c>
      <c r="B15" s="10"/>
      <c r="C15" s="10">
        <f t="shared" si="2"/>
        <v>3</v>
      </c>
      <c r="D15" s="11">
        <f t="array" ref="D15">SUM(IF(G15:AW15="R",1,0))</f>
        <v>2</v>
      </c>
      <c r="E15" s="11">
        <f t="array" ref="E15">SUM(IF(G15:AW15="R2",1,0))</f>
        <v>1</v>
      </c>
      <c r="G15" s="17">
        <v>1.0</v>
      </c>
      <c r="H15" s="16"/>
      <c r="I15" s="16"/>
      <c r="J15" s="16"/>
      <c r="K15" s="16"/>
      <c r="O15" s="16"/>
      <c r="P15" s="16"/>
      <c r="Q15" s="16"/>
      <c r="R15" s="16"/>
      <c r="S15" s="16"/>
      <c r="T15" s="16"/>
      <c r="U15" s="16"/>
      <c r="V15" s="16"/>
      <c r="W15" s="16"/>
      <c r="X15" s="16"/>
      <c r="Y15" s="16"/>
      <c r="Z15" s="16"/>
      <c r="AA15" s="16"/>
      <c r="AB15" s="16"/>
      <c r="AC15" s="16"/>
      <c r="AE15" s="20" t="s">
        <v>39</v>
      </c>
      <c r="AG15" s="20">
        <v>1.0</v>
      </c>
      <c r="AK15" s="21" t="s">
        <v>39</v>
      </c>
      <c r="AL15" s="16"/>
      <c r="AM15" s="16"/>
      <c r="AN15" s="20" t="s">
        <v>40</v>
      </c>
      <c r="AU15" s="17"/>
      <c r="AV15" s="17">
        <v>1.0</v>
      </c>
      <c r="AX15" s="28">
        <f t="shared" si="3"/>
        <v>3</v>
      </c>
    </row>
    <row r="16" ht="15.0" customHeight="1">
      <c r="A16" s="26" t="s">
        <v>822</v>
      </c>
      <c r="B16" s="10">
        <f>SUM(C16:D16)</f>
        <v>4</v>
      </c>
      <c r="C16" s="10">
        <f t="shared" si="2"/>
        <v>2</v>
      </c>
      <c r="D16" s="11">
        <f t="array" ref="D16">SUM(IF(G16:AW16="R",1,0))</f>
        <v>2</v>
      </c>
      <c r="E16" s="11">
        <f t="array" ref="E16">SUM(IF(G16:AW16="R2",1,0))</f>
        <v>1</v>
      </c>
      <c r="L16" s="24"/>
      <c r="M16" s="121"/>
      <c r="N16" s="121"/>
      <c r="O16" s="17" t="s">
        <v>39</v>
      </c>
      <c r="P16" s="16"/>
      <c r="Q16" s="16"/>
      <c r="R16" s="16"/>
      <c r="S16" s="16"/>
      <c r="T16" s="16"/>
      <c r="U16" s="16"/>
      <c r="V16" s="121"/>
      <c r="W16" s="24">
        <v>1.0</v>
      </c>
      <c r="AD16" s="24" t="s">
        <v>40</v>
      </c>
      <c r="AE16" s="121"/>
      <c r="AF16" s="121"/>
      <c r="AJ16" s="17">
        <v>1.0</v>
      </c>
      <c r="AM16" s="121"/>
      <c r="AN16" s="121"/>
      <c r="AO16" s="121"/>
      <c r="AP16" s="24" t="s">
        <v>39</v>
      </c>
      <c r="AX16" s="28">
        <f t="shared" si="3"/>
        <v>3</v>
      </c>
    </row>
    <row r="17">
      <c r="A17" s="163" t="s">
        <v>627</v>
      </c>
      <c r="B17" s="10"/>
      <c r="C17" s="10">
        <f t="shared" si="2"/>
        <v>2</v>
      </c>
      <c r="D17" s="11">
        <f t="array" ref="D17">SUM(IF(G17:AW17="R",1,0))</f>
        <v>2</v>
      </c>
      <c r="E17" s="11">
        <f t="array" ref="E17">SUM(IF(G17:AW17="R2",1,0))</f>
        <v>1</v>
      </c>
      <c r="F17" s="16"/>
      <c r="G17" s="16"/>
      <c r="H17" s="16"/>
      <c r="I17" s="16"/>
      <c r="J17" s="16"/>
      <c r="K17" s="16"/>
      <c r="L17" s="121"/>
      <c r="M17" s="121"/>
      <c r="N17" s="121"/>
      <c r="O17" s="16"/>
      <c r="P17" s="24">
        <v>1.0</v>
      </c>
      <c r="Q17" s="17" t="s">
        <v>39</v>
      </c>
      <c r="U17" s="16"/>
      <c r="V17" s="16"/>
      <c r="W17" s="16"/>
      <c r="X17" s="16"/>
      <c r="Y17" s="16"/>
      <c r="Z17" s="17" t="s">
        <v>40</v>
      </c>
      <c r="AD17" s="121"/>
      <c r="AE17" s="121"/>
      <c r="AF17" s="24">
        <v>1.0</v>
      </c>
      <c r="AG17" s="121"/>
      <c r="AH17" s="24" t="s">
        <v>39</v>
      </c>
      <c r="AI17" s="16"/>
      <c r="AJ17" s="16"/>
      <c r="AK17" s="16"/>
      <c r="AL17" s="16"/>
      <c r="AM17" s="16"/>
      <c r="AN17" s="16"/>
      <c r="AO17" s="16"/>
      <c r="AP17" s="16"/>
      <c r="AQ17" s="16"/>
      <c r="AR17" s="16"/>
      <c r="AS17" s="16"/>
      <c r="AT17" s="16"/>
      <c r="AU17" s="16"/>
      <c r="AV17" s="16"/>
      <c r="AX17" s="28">
        <f t="shared" si="3"/>
        <v>3</v>
      </c>
    </row>
    <row r="18">
      <c r="A18" s="22" t="s">
        <v>550</v>
      </c>
      <c r="B18" s="10">
        <f t="shared" ref="B18:B20" si="4">SUM(C18:D18)</f>
        <v>3</v>
      </c>
      <c r="C18" s="10">
        <f t="shared" si="2"/>
        <v>1</v>
      </c>
      <c r="D18" s="11">
        <f t="array" ref="D18">SUM(IF(G18:AW18="R",1,0))</f>
        <v>2</v>
      </c>
      <c r="E18" s="11">
        <f t="array" ref="E18">SUM(IF(G18:AW18="R2",1,0))</f>
        <v>2</v>
      </c>
      <c r="F18" s="24" t="s">
        <v>39</v>
      </c>
      <c r="G18" s="24" t="s">
        <v>40</v>
      </c>
      <c r="J18" s="121"/>
      <c r="K18" s="24" t="s">
        <v>39</v>
      </c>
      <c r="P18" s="121"/>
      <c r="Q18" s="17" t="s">
        <v>40</v>
      </c>
      <c r="S18" s="121"/>
      <c r="T18" s="24" t="s">
        <v>39</v>
      </c>
      <c r="U18" s="16"/>
      <c r="V18" s="16"/>
      <c r="W18" s="16"/>
      <c r="X18" s="16"/>
      <c r="Y18" s="121"/>
      <c r="Z18" s="16"/>
      <c r="AA18" s="16"/>
      <c r="AB18" s="24">
        <v>1.0</v>
      </c>
      <c r="AC18" s="121"/>
      <c r="AH18" s="16"/>
      <c r="AI18" s="16"/>
      <c r="AJ18" s="16"/>
      <c r="AK18" s="16"/>
      <c r="AL18" s="16"/>
      <c r="AN18" s="16"/>
      <c r="AQ18" s="16"/>
      <c r="AR18" s="16"/>
      <c r="AS18" s="16"/>
      <c r="AT18" s="16"/>
      <c r="AU18" s="16"/>
      <c r="AV18" s="16"/>
      <c r="AX18" s="28">
        <f t="shared" si="3"/>
        <v>4</v>
      </c>
    </row>
    <row r="19">
      <c r="A19" s="25" t="s">
        <v>823</v>
      </c>
      <c r="B19" s="10">
        <f t="shared" si="4"/>
        <v>2</v>
      </c>
      <c r="C19" s="10">
        <f t="shared" si="2"/>
        <v>1</v>
      </c>
      <c r="D19" s="11">
        <f t="array" ref="D19">SUM(IF(G19:AW19="R",1,0))</f>
        <v>1</v>
      </c>
      <c r="E19" s="11">
        <f t="array" ref="E19">SUM(IF(G19:AW19="R2",1,0))</f>
        <v>3</v>
      </c>
      <c r="J19" s="17">
        <v>1.0</v>
      </c>
      <c r="L19" s="121"/>
      <c r="M19" s="121"/>
      <c r="N19" s="121"/>
      <c r="O19" s="121"/>
      <c r="T19" s="17" t="s">
        <v>40</v>
      </c>
      <c r="U19" s="16"/>
      <c r="V19" s="16"/>
      <c r="W19" s="16"/>
      <c r="X19" s="16"/>
      <c r="AA19" s="17" t="s">
        <v>40</v>
      </c>
      <c r="AB19" s="17" t="s">
        <v>40</v>
      </c>
      <c r="AD19" s="121"/>
      <c r="AE19" s="121"/>
      <c r="AF19" s="24" t="s">
        <v>39</v>
      </c>
      <c r="AG19" s="121"/>
      <c r="AM19" s="121"/>
      <c r="AN19" s="121"/>
      <c r="AO19" s="121"/>
      <c r="AP19" s="121"/>
      <c r="AQ19" s="121"/>
      <c r="AX19" s="28">
        <f t="shared" si="3"/>
        <v>4</v>
      </c>
    </row>
    <row r="20">
      <c r="A20" s="44" t="s">
        <v>673</v>
      </c>
      <c r="B20" s="10">
        <f t="shared" si="4"/>
        <v>3</v>
      </c>
      <c r="C20" s="10">
        <f t="shared" si="2"/>
        <v>1</v>
      </c>
      <c r="D20" s="11">
        <f t="array" ref="D20">SUM(IF(G20:AW20="R",1,0))</f>
        <v>2</v>
      </c>
      <c r="E20" s="11">
        <f t="array" ref="E20">SUM(IF(G20:AW20="R2",1,0))</f>
        <v>1</v>
      </c>
      <c r="K20" s="17">
        <v>1.0</v>
      </c>
      <c r="L20" s="121"/>
      <c r="M20" s="121"/>
      <c r="N20" s="24"/>
      <c r="O20" s="121"/>
      <c r="P20" s="17" t="s">
        <v>39</v>
      </c>
      <c r="U20" s="121"/>
      <c r="V20" s="121"/>
      <c r="W20" s="24" t="s">
        <v>40</v>
      </c>
      <c r="X20" s="24"/>
      <c r="AD20" s="16"/>
      <c r="AE20" s="16"/>
      <c r="AF20" s="16"/>
      <c r="AG20" s="121"/>
      <c r="AM20" s="24" t="s">
        <v>39</v>
      </c>
      <c r="AN20" s="121"/>
      <c r="AO20" s="24"/>
      <c r="AP20" s="121"/>
      <c r="AQ20" s="121"/>
      <c r="AX20" s="28">
        <f t="shared" si="3"/>
        <v>3</v>
      </c>
    </row>
    <row r="21" hidden="1">
      <c r="A21" s="26" t="s">
        <v>552</v>
      </c>
      <c r="B21" s="10"/>
      <c r="C21" s="10">
        <f t="shared" si="2"/>
        <v>0</v>
      </c>
      <c r="D21" s="11">
        <f t="array" ref="D21">SUM(IF(G21:AW21="R",1,0))</f>
        <v>0</v>
      </c>
      <c r="E21" s="11">
        <f t="array" ref="E21">SUM(IF(G21:AW21="R2",1,0))</f>
        <v>0</v>
      </c>
      <c r="AX21" s="28">
        <f t="shared" si="3"/>
        <v>0</v>
      </c>
    </row>
    <row r="22">
      <c r="A22" s="25" t="s">
        <v>514</v>
      </c>
      <c r="B22" s="10">
        <f>SUM(C22:D22)</f>
        <v>2</v>
      </c>
      <c r="C22" s="10">
        <f t="shared" si="2"/>
        <v>1</v>
      </c>
      <c r="D22" s="11">
        <f t="array" ref="D22">SUM(IF(G22:AW22="R",1,0))</f>
        <v>1</v>
      </c>
      <c r="E22" s="11">
        <f t="array" ref="E22">SUM(IF(G22:AW22="R2",1,0))</f>
        <v>2</v>
      </c>
      <c r="N22" s="17">
        <v>1.0</v>
      </c>
      <c r="R22" s="17" t="s">
        <v>40</v>
      </c>
      <c r="AB22" s="17" t="s">
        <v>39</v>
      </c>
      <c r="AR22" s="17" t="s">
        <v>40</v>
      </c>
      <c r="AX22" s="28">
        <f t="shared" si="3"/>
        <v>3</v>
      </c>
    </row>
    <row r="23">
      <c r="A23" s="25" t="s">
        <v>824</v>
      </c>
      <c r="B23" s="10"/>
      <c r="C23" s="10">
        <f t="shared" si="2"/>
        <v>1</v>
      </c>
      <c r="D23" s="11">
        <f t="array" ref="D23">SUM(IF(G23:AW23="R",1,0))</f>
        <v>3</v>
      </c>
      <c r="E23" s="11">
        <f t="array" ref="E23">SUM(IF(G23:AW23="R2",1,0))</f>
        <v>3</v>
      </c>
      <c r="L23" s="17" t="s">
        <v>39</v>
      </c>
      <c r="O23" s="16"/>
      <c r="Q23" s="16"/>
      <c r="R23" s="16"/>
      <c r="S23" s="16"/>
      <c r="T23" s="16"/>
      <c r="U23" s="16"/>
      <c r="V23" s="21" t="s">
        <v>39</v>
      </c>
      <c r="W23" s="16"/>
      <c r="X23" s="21"/>
      <c r="AB23" s="16"/>
      <c r="AC23" s="16"/>
      <c r="AE23" s="17" t="s">
        <v>40</v>
      </c>
      <c r="AF23" s="16"/>
      <c r="AG23" s="16"/>
      <c r="AH23" s="16"/>
      <c r="AL23" s="17" t="s">
        <v>40</v>
      </c>
      <c r="AN23" s="17">
        <v>1.0</v>
      </c>
      <c r="AP23" s="17" t="s">
        <v>40</v>
      </c>
      <c r="AQ23" s="17" t="s">
        <v>39</v>
      </c>
      <c r="AX23" s="28">
        <f t="shared" si="3"/>
        <v>6</v>
      </c>
    </row>
    <row r="24" hidden="1">
      <c r="A24" s="9" t="s">
        <v>587</v>
      </c>
      <c r="B24" s="10">
        <f>SUM(C24:D24)</f>
        <v>0</v>
      </c>
      <c r="C24" s="10">
        <f t="shared" si="2"/>
        <v>0</v>
      </c>
      <c r="D24" s="11">
        <f t="array" ref="D24">SUM(IF(G24:AW24="R",1,0))</f>
        <v>0</v>
      </c>
      <c r="E24" s="11">
        <f t="array" ref="E24">SUM(IF(G24:AW24="R2",1,0))</f>
        <v>0</v>
      </c>
      <c r="AX24" s="28">
        <f t="shared" si="3"/>
        <v>0</v>
      </c>
    </row>
    <row r="25">
      <c r="A25" s="9" t="s">
        <v>516</v>
      </c>
      <c r="B25" s="28"/>
      <c r="C25" s="10">
        <f t="shared" si="2"/>
        <v>3</v>
      </c>
      <c r="D25" s="11">
        <f t="array" ref="D25">SUM(IF(G25:AW25="R",1,0))</f>
        <v>1</v>
      </c>
      <c r="E25" s="11">
        <f t="array" ref="E25">SUM(IF(G25:AW25="R2",1,0))</f>
        <v>2</v>
      </c>
      <c r="H25" s="24">
        <v>1.0</v>
      </c>
      <c r="Q25" s="121"/>
      <c r="S25" s="17" t="s">
        <v>39</v>
      </c>
      <c r="Z25" s="121"/>
      <c r="AA25" s="17">
        <v>1.0</v>
      </c>
      <c r="AF25" s="17" t="s">
        <v>40</v>
      </c>
      <c r="AI25" s="24" t="s">
        <v>40</v>
      </c>
      <c r="AQ25" s="16"/>
      <c r="AS25" s="24">
        <v>1.0</v>
      </c>
      <c r="AX25" s="28">
        <f t="shared" si="3"/>
        <v>3</v>
      </c>
      <c r="BA25" s="121"/>
      <c r="BB25" s="121"/>
    </row>
    <row r="26" hidden="1">
      <c r="A26" s="62" t="s">
        <v>517</v>
      </c>
      <c r="B26" s="10"/>
      <c r="C26" s="10">
        <f t="shared" si="2"/>
        <v>0</v>
      </c>
      <c r="D26" s="11">
        <f t="array" ref="D26">SUM(IF(G26:AW26="R",1,0))</f>
        <v>0</v>
      </c>
      <c r="E26" s="11">
        <f t="array" ref="E26">SUM(IF(G26:AW26="R2",1,0))</f>
        <v>0</v>
      </c>
      <c r="AX26" s="28">
        <f t="shared" si="3"/>
        <v>0</v>
      </c>
    </row>
    <row r="27" hidden="1">
      <c r="A27" s="62" t="s">
        <v>588</v>
      </c>
      <c r="B27" s="10">
        <f>SUM(C27:D27)</f>
        <v>0</v>
      </c>
      <c r="C27" s="10">
        <f t="shared" si="2"/>
        <v>0</v>
      </c>
      <c r="D27" s="11">
        <f t="array" ref="D27">SUM(IF(G27:AW27="R",1,0))</f>
        <v>0</v>
      </c>
      <c r="E27" s="11">
        <f t="array" ref="E27">SUM(IF(G27:AW27="R2",1,0))</f>
        <v>0</v>
      </c>
      <c r="AX27" s="28">
        <f t="shared" si="3"/>
        <v>0</v>
      </c>
    </row>
    <row r="28">
      <c r="A28" s="62" t="s">
        <v>519</v>
      </c>
      <c r="B28" s="10"/>
      <c r="C28" s="10">
        <f t="shared" si="2"/>
        <v>1</v>
      </c>
      <c r="D28" s="11">
        <f t="array" ref="D28">SUM(IF(G28:AW28="R",1,0))</f>
        <v>3</v>
      </c>
      <c r="E28" s="11">
        <f t="array" ref="E28">SUM(IF(G28:AW28="R2",1,0))</f>
        <v>1</v>
      </c>
      <c r="H28" s="16"/>
      <c r="I28" s="16"/>
      <c r="M28" s="17" t="s">
        <v>39</v>
      </c>
      <c r="S28" s="17" t="s">
        <v>40</v>
      </c>
      <c r="X28" s="17">
        <v>1.0</v>
      </c>
      <c r="AC28" s="17" t="s">
        <v>39</v>
      </c>
      <c r="AI28" s="24" t="s">
        <v>39</v>
      </c>
      <c r="AQ28" s="16"/>
      <c r="AR28" s="16"/>
      <c r="AS28" s="121"/>
      <c r="AX28" s="28">
        <f t="shared" si="3"/>
        <v>4</v>
      </c>
    </row>
    <row r="29" hidden="1">
      <c r="A29" s="62" t="s">
        <v>589</v>
      </c>
      <c r="B29" s="10">
        <f t="shared" ref="B29:B30" si="5">SUM(C29:D29)</f>
        <v>0</v>
      </c>
      <c r="C29" s="10">
        <f t="shared" si="2"/>
        <v>0</v>
      </c>
      <c r="D29" s="11">
        <f t="array" ref="D29">SUM(IF(G29:AW29="R",1,0))</f>
        <v>0</v>
      </c>
      <c r="E29" s="11">
        <f t="array" ref="E29">SUM(IF(G29:AW29="R2",1,0))</f>
        <v>0</v>
      </c>
      <c r="AX29" s="28">
        <f t="shared" si="3"/>
        <v>0</v>
      </c>
    </row>
    <row r="30" hidden="1">
      <c r="A30" s="44" t="s">
        <v>553</v>
      </c>
      <c r="B30" s="10">
        <f t="shared" si="5"/>
        <v>0</v>
      </c>
      <c r="C30" s="10">
        <f t="shared" si="2"/>
        <v>0</v>
      </c>
      <c r="D30" s="11">
        <f t="array" ref="D30">SUM(IF(G30:AW30="R",1,0))</f>
        <v>0</v>
      </c>
      <c r="E30" s="11">
        <f t="array" ref="E30">SUM(IF(G30:AW30="R2",1,0))</f>
        <v>0</v>
      </c>
      <c r="AX30" s="28">
        <f t="shared" si="3"/>
        <v>0</v>
      </c>
    </row>
    <row r="31">
      <c r="A31" s="27" t="s">
        <v>475</v>
      </c>
      <c r="B31" s="10"/>
      <c r="C31" s="10">
        <f t="shared" si="2"/>
        <v>4</v>
      </c>
      <c r="D31" s="11">
        <f t="array" ref="D31">SUM(IF(G31:AW31="R",1,0))</f>
        <v>1</v>
      </c>
      <c r="E31" s="11">
        <f t="array" ref="E31">SUM(IF(G31:AW31="R2",1,0))</f>
        <v>2</v>
      </c>
      <c r="I31" s="17">
        <v>1.0</v>
      </c>
      <c r="O31" s="17" t="s">
        <v>40</v>
      </c>
      <c r="S31" s="17">
        <v>1.0</v>
      </c>
      <c r="Z31" s="17">
        <v>1.0</v>
      </c>
      <c r="AA31" s="17" t="s">
        <v>39</v>
      </c>
      <c r="AK31" s="17" t="s">
        <v>40</v>
      </c>
      <c r="AT31" s="17">
        <v>1.0</v>
      </c>
      <c r="AX31" s="28">
        <f t="shared" si="3"/>
        <v>3</v>
      </c>
    </row>
    <row r="32">
      <c r="A32" s="62" t="s">
        <v>674</v>
      </c>
      <c r="B32" s="10" t="str">
        <f>SUM(B4:B37)</f>
        <v>#REF!</v>
      </c>
      <c r="C32" s="10">
        <f t="shared" si="2"/>
        <v>2</v>
      </c>
      <c r="D32" s="11">
        <f t="array" ref="D32">SUM(IF(G32:AW32="R",1,0))</f>
        <v>2</v>
      </c>
      <c r="E32" s="11">
        <f t="array" ref="E32">SUM(IF(G32:AW32="R2",1,0))</f>
        <v>2</v>
      </c>
      <c r="J32" s="17" t="s">
        <v>40</v>
      </c>
      <c r="M32" s="17">
        <v>1.0</v>
      </c>
      <c r="U32" s="17" t="s">
        <v>40</v>
      </c>
      <c r="Z32" s="17" t="s">
        <v>39</v>
      </c>
      <c r="AI32" s="17">
        <v>1.0</v>
      </c>
      <c r="AT32" s="17" t="s">
        <v>39</v>
      </c>
      <c r="AX32" s="28">
        <f t="shared" si="3"/>
        <v>4</v>
      </c>
    </row>
    <row r="33">
      <c r="A33" s="14" t="s">
        <v>767</v>
      </c>
      <c r="B33" s="28" t="str">
        <f t="shared" ref="B33:B34" si="6">SUM(#REF!)</f>
        <v>#REF!</v>
      </c>
      <c r="C33" s="10">
        <f t="shared" si="2"/>
        <v>2</v>
      </c>
      <c r="D33" s="11">
        <f t="array" ref="D33">SUM(IF(G33:AW33="R",1,0))</f>
        <v>2</v>
      </c>
      <c r="E33" s="11">
        <f t="array" ref="E33">SUM(IF(G33:AW33="R2",1,0))</f>
        <v>1</v>
      </c>
      <c r="H33" s="16"/>
      <c r="I33" s="16"/>
      <c r="L33" s="24">
        <v>1.0</v>
      </c>
      <c r="M33" s="121"/>
      <c r="N33" s="16"/>
      <c r="O33" s="121"/>
      <c r="T33" s="17" t="s">
        <v>127</v>
      </c>
      <c r="U33" s="24" t="s">
        <v>39</v>
      </c>
      <c r="V33" s="16"/>
      <c r="W33" s="16"/>
      <c r="X33" s="16"/>
      <c r="AD33" s="121"/>
      <c r="AE33" s="121"/>
      <c r="AF33" s="121"/>
      <c r="AG33" s="121"/>
      <c r="AM33" s="16"/>
      <c r="AN33" s="121"/>
      <c r="AO33" s="24" t="s">
        <v>40</v>
      </c>
      <c r="AP33" s="24"/>
      <c r="AQ33" s="24"/>
      <c r="AS33" s="17" t="s">
        <v>39</v>
      </c>
      <c r="AU33" s="17">
        <v>1.0</v>
      </c>
      <c r="AX33" s="28">
        <f t="shared" si="3"/>
        <v>3</v>
      </c>
    </row>
    <row r="34">
      <c r="A34" s="69" t="s">
        <v>523</v>
      </c>
      <c r="B34" s="28" t="str">
        <f t="shared" si="6"/>
        <v>#REF!</v>
      </c>
      <c r="C34" s="10">
        <f t="shared" si="2"/>
        <v>1</v>
      </c>
      <c r="D34" s="11">
        <f t="array" ref="D34">SUM(IF(G34:AW34="R",1,0))</f>
        <v>1</v>
      </c>
      <c r="E34" s="11">
        <f t="array" ref="E34">SUM(IF(G34:AW34="R2",1,0))</f>
        <v>2</v>
      </c>
      <c r="I34" s="17" t="s">
        <v>40</v>
      </c>
      <c r="L34" s="16"/>
      <c r="M34" s="16"/>
      <c r="P34" s="16"/>
      <c r="Q34" s="16"/>
      <c r="R34" s="16"/>
      <c r="S34" s="16"/>
      <c r="T34" s="16"/>
      <c r="U34" s="16"/>
      <c r="V34" s="16"/>
      <c r="W34" s="16"/>
      <c r="X34" s="16"/>
      <c r="Y34" s="16"/>
      <c r="Z34" s="16"/>
      <c r="AA34" s="16"/>
      <c r="AB34" s="16"/>
      <c r="AC34" s="16"/>
      <c r="AD34" s="16"/>
      <c r="AE34" s="16"/>
      <c r="AF34" s="16"/>
      <c r="AG34" s="16"/>
      <c r="AH34" s="16"/>
      <c r="AI34" s="16"/>
      <c r="AJ34" s="16"/>
      <c r="AK34" s="16"/>
      <c r="AL34" s="16"/>
      <c r="AO34" s="17">
        <v>1.0</v>
      </c>
      <c r="AQ34" s="17" t="s">
        <v>40</v>
      </c>
      <c r="AV34" s="17" t="s">
        <v>39</v>
      </c>
      <c r="AX34" s="28">
        <f t="shared" si="3"/>
        <v>3</v>
      </c>
    </row>
    <row r="35">
      <c r="A35" s="44" t="s">
        <v>524</v>
      </c>
      <c r="C35" s="10">
        <f t="shared" si="2"/>
        <v>1</v>
      </c>
      <c r="D35" s="11">
        <f t="array" ref="D35">SUM(IF(G35:AW35="R",1,0))</f>
        <v>2</v>
      </c>
      <c r="E35" s="11">
        <f t="array" ref="E35">SUM(IF(G35:AW35="R2",1,0))</f>
        <v>1</v>
      </c>
      <c r="F35" s="16"/>
      <c r="G35" s="16"/>
      <c r="H35" s="16"/>
      <c r="I35" s="16"/>
      <c r="J35" s="16"/>
      <c r="K35" s="16"/>
      <c r="L35" s="16"/>
      <c r="M35" s="16"/>
      <c r="N35" s="121"/>
      <c r="O35" s="121"/>
      <c r="U35" s="121"/>
      <c r="V35" s="24">
        <v>1.0</v>
      </c>
      <c r="W35" s="121"/>
      <c r="X35" s="24" t="s">
        <v>40</v>
      </c>
      <c r="AD35" s="24" t="s">
        <v>39</v>
      </c>
      <c r="AE35" s="121"/>
      <c r="AF35" s="121"/>
      <c r="AG35" s="16"/>
      <c r="AL35" s="17" t="s">
        <v>39</v>
      </c>
      <c r="AM35" s="121"/>
      <c r="AN35" s="121"/>
      <c r="AO35" s="16"/>
      <c r="AP35" s="16"/>
      <c r="AQ35" s="16"/>
      <c r="AR35" s="16"/>
      <c r="AS35" s="16"/>
      <c r="AT35" s="16"/>
      <c r="AU35" s="16"/>
      <c r="AV35" s="16"/>
      <c r="AX35" s="28">
        <f t="shared" si="3"/>
        <v>3</v>
      </c>
    </row>
    <row r="36" hidden="1">
      <c r="A36" s="44" t="s">
        <v>479</v>
      </c>
      <c r="C36" s="10">
        <f t="shared" si="2"/>
        <v>0</v>
      </c>
      <c r="D36" s="11">
        <f t="array" ref="D36">SUM(IF(G36:AW36="R",1,0))</f>
        <v>0</v>
      </c>
      <c r="E36" s="11">
        <f t="array" ref="E36">SUM(IF(G36:AW36="R2",1,0))</f>
        <v>0</v>
      </c>
      <c r="AX36" s="28">
        <f t="shared" si="3"/>
        <v>0</v>
      </c>
    </row>
    <row r="37" hidden="1">
      <c r="A37" s="44" t="s">
        <v>628</v>
      </c>
      <c r="B37" s="10">
        <f>SUM(C37:D37)</f>
        <v>0</v>
      </c>
      <c r="C37" s="10">
        <f t="shared" si="2"/>
        <v>0</v>
      </c>
      <c r="D37" s="11">
        <f t="array" ref="D37">SUM(IF(G37:AW37="R",1,0))</f>
        <v>0</v>
      </c>
      <c r="E37" s="11">
        <f t="array" ref="E37">SUM(IF(G37:AW37="R2",1,0))</f>
        <v>0</v>
      </c>
      <c r="AX37" s="28">
        <f t="shared" si="3"/>
        <v>0</v>
      </c>
    </row>
    <row r="38">
      <c r="A38" s="23" t="s">
        <v>481</v>
      </c>
      <c r="C38" s="10">
        <f t="shared" si="2"/>
        <v>3</v>
      </c>
      <c r="D38" s="11">
        <f t="array" ref="D38">SUM(IF(G38:AW38="R",1,0))</f>
        <v>2</v>
      </c>
      <c r="E38" s="11">
        <f t="array" ref="E38">SUM(IF(G38:AW38="R2",1,0))</f>
        <v>2</v>
      </c>
      <c r="G38" s="17" t="s">
        <v>39</v>
      </c>
      <c r="H38" s="16"/>
      <c r="I38" s="16"/>
      <c r="J38" s="16"/>
      <c r="K38" s="16"/>
      <c r="L38" s="24" t="s">
        <v>40</v>
      </c>
      <c r="M38" s="16"/>
      <c r="N38" s="24"/>
      <c r="O38" s="24">
        <v>1.0</v>
      </c>
      <c r="P38" s="16"/>
      <c r="Q38" s="16"/>
      <c r="R38" s="16"/>
      <c r="S38" s="16"/>
      <c r="T38" s="16"/>
      <c r="U38" s="16"/>
      <c r="V38" s="16"/>
      <c r="W38" s="16"/>
      <c r="X38" s="16"/>
      <c r="Y38" s="16"/>
      <c r="Z38" s="16"/>
      <c r="AA38" s="16"/>
      <c r="AB38" s="16"/>
      <c r="AC38" s="16"/>
      <c r="AD38" s="24">
        <v>1.0</v>
      </c>
      <c r="AE38" s="121"/>
      <c r="AF38" s="24"/>
      <c r="AG38" s="24" t="s">
        <v>40</v>
      </c>
      <c r="AH38" s="16"/>
      <c r="AI38" s="16"/>
      <c r="AJ38" s="16"/>
      <c r="AK38" s="16"/>
      <c r="AL38" s="16"/>
      <c r="AM38" s="24">
        <v>1.0</v>
      </c>
      <c r="AN38" s="24" t="s">
        <v>39</v>
      </c>
      <c r="AO38" s="16"/>
      <c r="AP38" s="16"/>
      <c r="AQ38" s="16"/>
      <c r="AR38" s="16"/>
      <c r="AS38" s="16"/>
      <c r="AT38" s="16"/>
      <c r="AU38" s="16"/>
      <c r="AV38" s="16"/>
      <c r="AX38" s="28">
        <f t="shared" si="3"/>
        <v>4</v>
      </c>
    </row>
    <row r="39">
      <c r="A39" s="17" t="s">
        <v>68</v>
      </c>
      <c r="C39" s="10">
        <f t="shared" si="2"/>
        <v>42</v>
      </c>
      <c r="D39" s="11"/>
      <c r="E39" s="11"/>
      <c r="F39" s="28">
        <f t="shared" ref="F39:AW39" si="7">SUM(F3:F38)</f>
        <v>1</v>
      </c>
      <c r="G39" s="28">
        <f t="shared" si="7"/>
        <v>1</v>
      </c>
      <c r="H39" s="28">
        <f t="shared" si="7"/>
        <v>1</v>
      </c>
      <c r="I39" s="28">
        <f t="shared" si="7"/>
        <v>1</v>
      </c>
      <c r="J39" s="28">
        <f t="shared" si="7"/>
        <v>1</v>
      </c>
      <c r="K39" s="28">
        <f t="shared" si="7"/>
        <v>1</v>
      </c>
      <c r="L39" s="28">
        <f t="shared" si="7"/>
        <v>1</v>
      </c>
      <c r="M39" s="28">
        <f t="shared" si="7"/>
        <v>1</v>
      </c>
      <c r="N39" s="28">
        <f t="shared" si="7"/>
        <v>1</v>
      </c>
      <c r="O39" s="28">
        <f t="shared" si="7"/>
        <v>1</v>
      </c>
      <c r="P39" s="28">
        <f t="shared" si="7"/>
        <v>1</v>
      </c>
      <c r="Q39" s="28">
        <f t="shared" si="7"/>
        <v>1</v>
      </c>
      <c r="R39" s="28">
        <f t="shared" si="7"/>
        <v>1</v>
      </c>
      <c r="S39" s="28">
        <f t="shared" si="7"/>
        <v>1</v>
      </c>
      <c r="T39" s="28">
        <f t="shared" si="7"/>
        <v>1</v>
      </c>
      <c r="U39" s="28">
        <f t="shared" si="7"/>
        <v>1</v>
      </c>
      <c r="V39" s="28">
        <f t="shared" si="7"/>
        <v>1</v>
      </c>
      <c r="W39" s="28">
        <f t="shared" si="7"/>
        <v>1</v>
      </c>
      <c r="X39" s="28">
        <f t="shared" si="7"/>
        <v>1</v>
      </c>
      <c r="Y39" s="28">
        <f t="shared" si="7"/>
        <v>1</v>
      </c>
      <c r="Z39" s="28">
        <f t="shared" si="7"/>
        <v>1</v>
      </c>
      <c r="AA39" s="28">
        <f t="shared" si="7"/>
        <v>1</v>
      </c>
      <c r="AB39" s="28">
        <f t="shared" si="7"/>
        <v>1</v>
      </c>
      <c r="AC39" s="28">
        <f t="shared" si="7"/>
        <v>1</v>
      </c>
      <c r="AD39" s="28">
        <f t="shared" si="7"/>
        <v>1</v>
      </c>
      <c r="AE39" s="28">
        <f t="shared" si="7"/>
        <v>1</v>
      </c>
      <c r="AF39" s="28">
        <f t="shared" si="7"/>
        <v>1</v>
      </c>
      <c r="AG39" s="28">
        <f t="shared" si="7"/>
        <v>1</v>
      </c>
      <c r="AH39" s="28">
        <f t="shared" si="7"/>
        <v>1</v>
      </c>
      <c r="AI39" s="28">
        <f t="shared" si="7"/>
        <v>1</v>
      </c>
      <c r="AJ39" s="28">
        <f t="shared" si="7"/>
        <v>1</v>
      </c>
      <c r="AK39" s="28">
        <f t="shared" si="7"/>
        <v>1</v>
      </c>
      <c r="AL39" s="28">
        <f t="shared" si="7"/>
        <v>1</v>
      </c>
      <c r="AM39" s="28">
        <f t="shared" si="7"/>
        <v>1</v>
      </c>
      <c r="AN39" s="28">
        <f t="shared" si="7"/>
        <v>1</v>
      </c>
      <c r="AO39" s="28">
        <f t="shared" si="7"/>
        <v>1</v>
      </c>
      <c r="AP39" s="28">
        <f t="shared" si="7"/>
        <v>1</v>
      </c>
      <c r="AQ39" s="28">
        <f t="shared" si="7"/>
        <v>1</v>
      </c>
      <c r="AR39" s="28">
        <f t="shared" si="7"/>
        <v>1</v>
      </c>
      <c r="AS39" s="28">
        <f t="shared" si="7"/>
        <v>1</v>
      </c>
      <c r="AT39" s="28">
        <f t="shared" si="7"/>
        <v>1</v>
      </c>
      <c r="AU39" s="28">
        <f t="shared" si="7"/>
        <v>1</v>
      </c>
      <c r="AV39" s="28">
        <f t="shared" si="7"/>
        <v>1</v>
      </c>
      <c r="AW39" s="28">
        <f t="shared" si="7"/>
        <v>0</v>
      </c>
      <c r="AX39" s="28">
        <f>SUM(K4:K37)</f>
        <v>1</v>
      </c>
      <c r="AY39" s="28">
        <f>SUM(M4:M37)</f>
        <v>1</v>
      </c>
      <c r="AZ39" s="28">
        <f>SUM(P4:P37)</f>
        <v>1</v>
      </c>
      <c r="BA39" s="28" t="str">
        <f>SUM(#REF!)</f>
        <v>#REF!</v>
      </c>
      <c r="BB39" s="28">
        <f>SUM(O4:O37)</f>
        <v>0</v>
      </c>
    </row>
    <row r="40">
      <c r="A40" s="17" t="s">
        <v>69</v>
      </c>
      <c r="C40" s="10">
        <f t="shared" si="2"/>
        <v>42</v>
      </c>
      <c r="D40" s="11"/>
      <c r="E40" s="11"/>
      <c r="F40" s="11">
        <f t="array" ref="F40">SUM(IF(F3:F38="R",1,0))</f>
        <v>1</v>
      </c>
      <c r="G40" s="11">
        <f t="array" ref="G40">SUM(IF(G3:G38="R",1,0))</f>
        <v>1</v>
      </c>
      <c r="H40" s="11">
        <f t="array" ref="H40">SUM(IF(H3:H38="R",1,0))</f>
        <v>1</v>
      </c>
      <c r="I40" s="11">
        <f t="array" ref="I40">SUM(IF(I3:I38="R",1,0))</f>
        <v>1</v>
      </c>
      <c r="J40" s="11">
        <f t="array" ref="J40">SUM(IF(J3:J38="R",1,0))</f>
        <v>1</v>
      </c>
      <c r="K40" s="11">
        <f t="array" ref="K40">SUM(IF(K3:K38="R",1,0))</f>
        <v>1</v>
      </c>
      <c r="L40" s="11">
        <f t="array" ref="L40">SUM(IF(L3:L38="R",1,0))</f>
        <v>1</v>
      </c>
      <c r="M40" s="11">
        <f t="array" ref="M40">SUM(IF(M3:M38="R",1,0))</f>
        <v>1</v>
      </c>
      <c r="N40" s="11">
        <f t="array" ref="N40">SUM(IF(N3:N38="R",1,0))</f>
        <v>1</v>
      </c>
      <c r="O40" s="11">
        <f t="array" ref="O40">SUM(IF(O3:O38="R",1,0))</f>
        <v>1</v>
      </c>
      <c r="P40" s="11">
        <f t="array" ref="P40">SUM(IF(P3:P38="R",1,0))</f>
        <v>1</v>
      </c>
      <c r="Q40" s="11">
        <f t="array" ref="Q40">SUM(IF(Q3:Q38="R",1,0))</f>
        <v>1</v>
      </c>
      <c r="R40" s="11">
        <f t="array" ref="R40">SUM(IF(R3:R38="R",1,0))</f>
        <v>1</v>
      </c>
      <c r="S40" s="11">
        <f t="array" ref="S40">SUM(IF(S3:S38="R",1,0))</f>
        <v>1</v>
      </c>
      <c r="T40" s="11">
        <f t="array" ref="T40">SUM(IF(T3:T38="R",1,0))</f>
        <v>1</v>
      </c>
      <c r="U40" s="11">
        <f t="array" ref="U40">SUM(IF(U3:U38="R",1,0))</f>
        <v>1</v>
      </c>
      <c r="V40" s="11">
        <f t="array" ref="V40">SUM(IF(V3:V38="R",1,0))</f>
        <v>1</v>
      </c>
      <c r="W40" s="11">
        <f t="array" ref="W40">SUM(IF(W3:W38="R",1,0))</f>
        <v>1</v>
      </c>
      <c r="X40" s="11">
        <f t="array" ref="X40">SUM(IF(X3:X38="R",1,0))</f>
        <v>1</v>
      </c>
      <c r="Y40" s="11">
        <f t="array" ref="Y40">SUM(IF(Y3:Y38="R",1,0))</f>
        <v>1</v>
      </c>
      <c r="Z40" s="11">
        <f t="array" ref="Z40">SUM(IF(Z3:Z38="R",1,0))</f>
        <v>1</v>
      </c>
      <c r="AA40" s="11">
        <f t="array" ref="AA40">SUM(IF(AA3:AA38="R",1,0))</f>
        <v>1</v>
      </c>
      <c r="AB40" s="11">
        <f t="array" ref="AB40">SUM(IF(AB3:AB38="R",1,0))</f>
        <v>1</v>
      </c>
      <c r="AC40" s="11">
        <f t="array" ref="AC40">SUM(IF(AC3:AC38="R",1,0))</f>
        <v>1</v>
      </c>
      <c r="AD40" s="11">
        <f t="array" ref="AD40">SUM(IF(AD3:AD38="R",1,0))</f>
        <v>1</v>
      </c>
      <c r="AE40" s="11">
        <f t="array" ref="AE40">SUM(IF(AE3:AE38="R",1,0))</f>
        <v>1</v>
      </c>
      <c r="AF40" s="11">
        <f t="array" ref="AF40">SUM(IF(AF3:AF38="R",1,0))</f>
        <v>1</v>
      </c>
      <c r="AG40" s="11">
        <f t="array" ref="AG40">SUM(IF(AG3:AG38="R",1,0))</f>
        <v>1</v>
      </c>
      <c r="AH40" s="11">
        <f t="array" ref="AH40">SUM(IF(AH3:AH38="R",1,0))</f>
        <v>1</v>
      </c>
      <c r="AI40" s="11">
        <f t="array" ref="AI40">SUM(IF(AI3:AI38="R",1,0))</f>
        <v>1</v>
      </c>
      <c r="AJ40" s="11">
        <f t="array" ref="AJ40">SUM(IF(AJ3:AJ38="R",1,0))</f>
        <v>1</v>
      </c>
      <c r="AK40" s="11">
        <f t="array" ref="AK40">SUM(IF(AK3:AK38="R",1,0))</f>
        <v>1</v>
      </c>
      <c r="AL40" s="11">
        <f t="array" ref="AL40">SUM(IF(AL3:AL38="R",1,0))</f>
        <v>1</v>
      </c>
      <c r="AM40" s="11">
        <f t="array" ref="AM40">SUM(IF(AM3:AM38="R",1,0))</f>
        <v>1</v>
      </c>
      <c r="AN40" s="11">
        <f t="array" ref="AN40">SUM(IF(AN3:AN38="R",1,0))</f>
        <v>1</v>
      </c>
      <c r="AO40" s="11">
        <f t="array" ref="AO40">SUM(IF(AO3:AO38="R",1,0))</f>
        <v>1</v>
      </c>
      <c r="AP40" s="11">
        <f t="array" ref="AP40">SUM(IF(AP3:AP38="R",1,0))</f>
        <v>1</v>
      </c>
      <c r="AQ40" s="11">
        <f t="array" ref="AQ40">SUM(IF(AQ3:AQ38="R",1,0))</f>
        <v>1</v>
      </c>
      <c r="AR40" s="11">
        <f t="array" ref="AR40">SUM(IF(AR3:AR38="R",1,0))</f>
        <v>1</v>
      </c>
      <c r="AS40" s="11">
        <f t="array" ref="AS40">SUM(IF(AS3:AS38="R",1,0))</f>
        <v>1</v>
      </c>
      <c r="AT40" s="11">
        <f t="array" ref="AT40">SUM(IF(AT3:AT38="R",1,0))</f>
        <v>1</v>
      </c>
      <c r="AU40" s="11">
        <f t="array" ref="AU40">SUM(IF(AU3:AU38="R",1,0))</f>
        <v>1</v>
      </c>
      <c r="AV40" s="11">
        <f t="array" ref="AV40">SUM(IF(AV3:AV38="R",1,0))</f>
        <v>1</v>
      </c>
      <c r="AW40" s="11">
        <f t="array" ref="AW40">SUM(IF(AW3:AW38="R",1,0))</f>
        <v>0</v>
      </c>
      <c r="AX40" s="11">
        <f t="array" ref="AX40">SUM(IF(K4:K37="R",1,0))</f>
        <v>1</v>
      </c>
      <c r="AY40" s="11">
        <f t="array" ref="AY40">SUM(IF(M4:M37="R",1,0))</f>
        <v>1</v>
      </c>
      <c r="AZ40" s="11">
        <f t="array" ref="AZ40">SUM(IF(P4:P37="R",1,0))</f>
        <v>1</v>
      </c>
      <c r="BA40" s="11" t="str">
        <f t="array" ref="BA40">SUM(IF(#REF!="R",1,0))</f>
        <v>#REF!</v>
      </c>
      <c r="BB40" s="11">
        <f t="array" ref="BB40">SUM(IF(O4:O37="R",1,0))</f>
        <v>1</v>
      </c>
    </row>
    <row r="41">
      <c r="A41" s="17" t="s">
        <v>70</v>
      </c>
      <c r="C41" s="10">
        <f t="shared" si="2"/>
        <v>42</v>
      </c>
      <c r="D41" s="11"/>
      <c r="E41" s="11"/>
      <c r="F41" s="11">
        <f t="array" ref="F41">SUM(IF(F3:F38="R2",1,0))</f>
        <v>1</v>
      </c>
      <c r="G41" s="11">
        <f t="array" ref="G41">SUM(IF(G3:G38="R2",1,0))</f>
        <v>1</v>
      </c>
      <c r="H41" s="11">
        <f t="array" ref="H41">SUM(IF(H3:H38="R2",1,0))</f>
        <v>1</v>
      </c>
      <c r="I41" s="11">
        <f t="array" ref="I41">SUM(IF(I3:I38="R2",1,0))</f>
        <v>1</v>
      </c>
      <c r="J41" s="11">
        <f t="array" ref="J41">SUM(IF(J3:J38="R2",1,0))</f>
        <v>1</v>
      </c>
      <c r="K41" s="11">
        <f t="array" ref="K41">SUM(IF(K3:K38="R2",1,0))</f>
        <v>1</v>
      </c>
      <c r="L41" s="11">
        <f t="array" ref="L41">SUM(IF(L3:L38="R2",1,0))</f>
        <v>1</v>
      </c>
      <c r="M41" s="11">
        <f t="array" ref="M41">SUM(IF(M3:M38="R2",1,0))</f>
        <v>1</v>
      </c>
      <c r="N41" s="11">
        <f t="array" ref="N41">SUM(IF(N3:N38="R2",1,0))</f>
        <v>1</v>
      </c>
      <c r="O41" s="11">
        <f t="array" ref="O41">SUM(IF(O3:O38="R2",1,0))</f>
        <v>1</v>
      </c>
      <c r="P41" s="11">
        <f t="array" ref="P41">SUM(IF(P3:P38="R2",1,0))</f>
        <v>1</v>
      </c>
      <c r="Q41" s="11">
        <f t="array" ref="Q41">SUM(IF(Q3:Q38="R2",1,0))</f>
        <v>1</v>
      </c>
      <c r="R41" s="11">
        <f t="array" ref="R41">SUM(IF(R3:R38="R2",1,0))</f>
        <v>1</v>
      </c>
      <c r="S41" s="11">
        <f t="array" ref="S41">SUM(IF(S3:S38="R2",1,0))</f>
        <v>1</v>
      </c>
      <c r="T41" s="11">
        <f t="array" ref="T41">SUM(IF(T3:T38="R2",1,0))</f>
        <v>1</v>
      </c>
      <c r="U41" s="11">
        <f t="array" ref="U41">SUM(IF(U3:U38="R2",1,0))</f>
        <v>1</v>
      </c>
      <c r="V41" s="11">
        <f t="array" ref="V41">SUM(IF(V3:V38="R2",1,0))</f>
        <v>1</v>
      </c>
      <c r="W41" s="11">
        <f t="array" ref="W41">SUM(IF(W3:W38="R2",1,0))</f>
        <v>1</v>
      </c>
      <c r="X41" s="11">
        <f t="array" ref="X41">SUM(IF(X3:X38="R2",1,0))</f>
        <v>1</v>
      </c>
      <c r="Y41" s="11">
        <f t="array" ref="Y41">SUM(IF(Y3:Y38="R2",1,0))</f>
        <v>1</v>
      </c>
      <c r="Z41" s="11">
        <f t="array" ref="Z41">SUM(IF(Z3:Z38="R2",1,0))</f>
        <v>1</v>
      </c>
      <c r="AA41" s="11">
        <f t="array" ref="AA41">SUM(IF(AA3:AA38="R2",1,0))</f>
        <v>1</v>
      </c>
      <c r="AB41" s="11">
        <f t="array" ref="AB41">SUM(IF(AB3:AB38="R2",1,0))</f>
        <v>1</v>
      </c>
      <c r="AC41" s="11">
        <f t="array" ref="AC41">SUM(IF(AC3:AC38="R2",1,0))</f>
        <v>1</v>
      </c>
      <c r="AD41" s="11">
        <f t="array" ref="AD41">SUM(IF(AD3:AD38="R2",1,0))</f>
        <v>1</v>
      </c>
      <c r="AE41" s="11">
        <f t="array" ref="AE41">SUM(IF(AE3:AE38="R2",1,0))</f>
        <v>1</v>
      </c>
      <c r="AF41" s="11">
        <f t="array" ref="AF41">SUM(IF(AF3:AF38="R2",1,0))</f>
        <v>1</v>
      </c>
      <c r="AG41" s="11">
        <f t="array" ref="AG41">SUM(IF(AG3:AG38="R2",1,0))</f>
        <v>1</v>
      </c>
      <c r="AH41" s="11">
        <f t="array" ref="AH41">SUM(IF(AH3:AH38="R2",1,0))</f>
        <v>1</v>
      </c>
      <c r="AI41" s="11">
        <f t="array" ref="AI41">SUM(IF(AI3:AI38="R2",1,0))</f>
        <v>1</v>
      </c>
      <c r="AJ41" s="11">
        <f t="array" ref="AJ41">SUM(IF(AJ3:AJ38="R2",1,0))</f>
        <v>1</v>
      </c>
      <c r="AK41" s="11">
        <f t="array" ref="AK41">SUM(IF(AK3:AK38="R2",1,0))</f>
        <v>1</v>
      </c>
      <c r="AL41" s="11">
        <f t="array" ref="AL41">SUM(IF(AL3:AL38="R2",1,0))</f>
        <v>1</v>
      </c>
      <c r="AM41" s="11">
        <f t="array" ref="AM41">SUM(IF(AM3:AM38="R2",1,0))</f>
        <v>1</v>
      </c>
      <c r="AN41" s="11">
        <f t="array" ref="AN41">SUM(IF(AN3:AN38="R2",1,0))</f>
        <v>1</v>
      </c>
      <c r="AO41" s="11">
        <f t="array" ref="AO41">SUM(IF(AO3:AO38="R2",1,0))</f>
        <v>1</v>
      </c>
      <c r="AP41" s="11">
        <f t="array" ref="AP41">SUM(IF(AP3:AP38="R2",1,0))</f>
        <v>1</v>
      </c>
      <c r="AQ41" s="11">
        <f t="array" ref="AQ41">SUM(IF(AQ3:AQ38="R2",1,0))</f>
        <v>1</v>
      </c>
      <c r="AR41" s="11">
        <f t="array" ref="AR41">SUM(IF(AR3:AR38="R2",1,0))</f>
        <v>1</v>
      </c>
      <c r="AS41" s="11">
        <f t="array" ref="AS41">SUM(IF(AS3:AS38="R2",1,0))</f>
        <v>1</v>
      </c>
      <c r="AT41" s="11">
        <f t="array" ref="AT41">SUM(IF(AT3:AT38="R2",1,0))</f>
        <v>1</v>
      </c>
      <c r="AU41" s="11">
        <f t="array" ref="AU41">SUM(IF(AU3:AU38="R2",1,0))</f>
        <v>1</v>
      </c>
      <c r="AV41" s="11">
        <f t="array" ref="AV41">SUM(IF(AV3:AV38="R2",1,0))</f>
        <v>1</v>
      </c>
      <c r="AW41" s="11">
        <f t="array" ref="AW41">SUM(IF(AW3:AW38="R2",1,0))</f>
        <v>0</v>
      </c>
      <c r="AX41" s="11">
        <f t="array" ref="AX41">SUM(IF(K4:K37="R2",1,0))</f>
        <v>1</v>
      </c>
      <c r="AY41" s="11">
        <f t="array" ref="AY41">SUM(IF(M4:M37="R2",1,0))</f>
        <v>1</v>
      </c>
      <c r="AZ41" s="11">
        <f t="array" ref="AZ41">SUM(IF(P4:P37="R2",1,0))</f>
        <v>1</v>
      </c>
      <c r="BA41" s="11" t="str">
        <f t="array" ref="BA41">SUM(IF(#REF!="R2",1,0))</f>
        <v>#REF!</v>
      </c>
      <c r="BB41" s="11">
        <f t="array" ref="BB41">SUM(IF(O4:O37="R2",1,0))</f>
        <v>1</v>
      </c>
    </row>
    <row r="42">
      <c r="E42" s="46" t="s">
        <v>71</v>
      </c>
      <c r="F42" s="29" t="str">
        <f t="shared" ref="F42:AQ42" si="8">IFERROR(INDEX($A$3:$A$38, MATCH(1, INDEX($F$3:$AQ$38, 0, MATCH(F2, $F$2:$AV$2, 0)), 0)), INDEX($A$3:$A$38, MATCH(1, INDEX($F$3:$AQ$38, 0, MATCH(F2&amp;" AM", $F$2:$AV$2, 0)), 0)))</f>
        <v>PTE SHYEIKH SALEH HUSSAIN BIN MOHAMMED SULAIMAN</v>
      </c>
      <c r="G42" s="29" t="str">
        <f t="shared" si="8"/>
        <v>PTE CLARENCE ONG JUN YI</v>
      </c>
      <c r="H42" s="29" t="str">
        <f t="shared" si="8"/>
        <v>PTE SIDDARTH SREEKUMAR CHERUBAL </v>
      </c>
      <c r="I42" s="29" t="str">
        <f t="shared" si="8"/>
        <v>PTE BRYAN MARC MEHAR</v>
      </c>
      <c r="J42" s="29" t="str">
        <f t="shared" si="8"/>
        <v>PTE MUHAMMAD NUR HAKIM BIN SHAHARIZIN </v>
      </c>
      <c r="K42" s="29" t="str">
        <f t="shared" si="8"/>
        <v>PTE SONG HAOYAN</v>
      </c>
      <c r="L42" s="29" t="str">
        <f t="shared" si="8"/>
        <v>REC RAFALE</v>
      </c>
      <c r="M42" s="29" t="str">
        <f t="shared" si="8"/>
        <v>CPL AUSTIN MAXIMILLIAN KOLBE LIM KIM</v>
      </c>
      <c r="N42" s="29" t="str">
        <f t="shared" si="8"/>
        <v>PTE MUHAMMAD NORSYAFIQ BIN SELAMAT</v>
      </c>
      <c r="O42" s="29" t="str">
        <f t="shared" si="8"/>
        <v>PTE WANG XINHANG</v>
      </c>
      <c r="P42" s="29" t="str">
        <f t="shared" si="8"/>
        <v>PTE GUO JUNQI LEO</v>
      </c>
      <c r="Q42" s="29" t="str">
        <f t="shared" si="8"/>
        <v>3SG ANISH VINAAYAK SIVASANKAR</v>
      </c>
      <c r="R42" s="29" t="str">
        <f t="shared" si="8"/>
        <v>3SG ANISH VINAAYAK SIVASANKAR</v>
      </c>
      <c r="S42" s="29" t="str">
        <f t="shared" si="8"/>
        <v>PTE BRYAN MARC MEHAR</v>
      </c>
      <c r="T42" s="29" t="str">
        <f t="shared" si="8"/>
        <v>3SG DARYL SEOW  SHI YU</v>
      </c>
      <c r="U42" s="29" t="str">
        <f t="shared" si="8"/>
        <v>PTE JEREMIAH FOO JI SHUAN</v>
      </c>
      <c r="V42" s="29" t="str">
        <f t="shared" si="8"/>
        <v>PTE CHONG SIANG NATHAN</v>
      </c>
      <c r="W42" s="29" t="str">
        <f t="shared" si="8"/>
        <v>LCP EBRAHIM HAKEEM BIN AMEEHAR </v>
      </c>
      <c r="X42" s="29" t="str">
        <f t="shared" si="8"/>
        <v>LCP DYLAN TAN</v>
      </c>
      <c r="Y42" s="29" t="str">
        <f t="shared" si="8"/>
        <v>PTE SHYEIKH SALEH HUSSAIN BIN MOHAMMED SULAIMAN</v>
      </c>
      <c r="Z42" s="29" t="str">
        <f t="shared" si="8"/>
        <v>PTE BRYAN MARC MEHAR</v>
      </c>
      <c r="AA42" s="29" t="str">
        <f t="shared" si="8"/>
        <v>PTE SIDDARTH SREEKUMAR CHERUBAL </v>
      </c>
      <c r="AB42" s="29" t="str">
        <f t="shared" si="8"/>
        <v>PTE FATHUL HAKIM BIN MUHAMMAD FAUZI </v>
      </c>
      <c r="AC42" s="29" t="str">
        <f t="shared" si="8"/>
        <v>PTE JEREMIAH FOO JI SHUAN</v>
      </c>
      <c r="AD42" s="29" t="str">
        <f t="shared" si="8"/>
        <v>PTE WANG XINHANG</v>
      </c>
      <c r="AE42" s="29" t="str">
        <f t="shared" si="8"/>
        <v>CPL SHAVIN VALEN </v>
      </c>
      <c r="AF42" s="29" t="str">
        <f t="shared" si="8"/>
        <v>PTE GUO JUNQI LEO</v>
      </c>
      <c r="AG42" s="29" t="str">
        <f t="shared" si="8"/>
        <v>PTE CLARENCE ONG JUN YI</v>
      </c>
      <c r="AH42" s="29" t="str">
        <f t="shared" si="8"/>
        <v>CPL HUANG JIANHAO </v>
      </c>
      <c r="AI42" s="29" t="str">
        <f t="shared" si="8"/>
        <v>CPL AUSTIN MAXIMILLIAN KOLBE LIM KIM</v>
      </c>
      <c r="AJ42" s="29" t="str">
        <f t="shared" si="8"/>
        <v>LCP EBRAHIM HAKEEM BIN AMEEHAR </v>
      </c>
      <c r="AK42" s="29" t="str">
        <f t="shared" si="8"/>
        <v>PTE AKMAL AHMAD PUTRA BIN SAMAD</v>
      </c>
      <c r="AL42" s="29" t="str">
        <f t="shared" si="8"/>
        <v>CPL SHAVIN VALEN </v>
      </c>
      <c r="AM42" s="29" t="str">
        <f t="shared" si="8"/>
        <v>PTE WANG XINHANG</v>
      </c>
      <c r="AN42" s="29" t="str">
        <f t="shared" si="8"/>
        <v>3SG RYAN TAY RUI YANG</v>
      </c>
      <c r="AO42" s="29" t="str">
        <f t="shared" si="8"/>
        <v>PTE CHEONG JUN KAI, HARRY</v>
      </c>
      <c r="AP42" s="29" t="str">
        <f t="shared" si="8"/>
        <v>LCP OH EE BING</v>
      </c>
      <c r="AQ42" s="29" t="str">
        <f t="shared" si="8"/>
        <v>PTE MUHAMMAD HILAL IZDIHAR BIN MOHAMAD IZZUL SHAH</v>
      </c>
      <c r="AR42" s="29" t="str">
        <f t="shared" ref="AR42:AV42" si="9">IFERROR(INDEX($A$3:$A$38, MATCH(1, INDEX($F$3:$AV$38, 0, MATCH(AR2, $F$2:$AV$2, 0)), 0)), INDEX($A$3:$A$38, MATCH(1, INDEX($F$3:$AV$38, 0, MATCH(AR2&amp;" AM", $F$2:$AV$2, 0)), 0)))</f>
        <v>PTE SHYEIKH SALEH HUSSAIN BIN MOHAMMED SULAIMAN</v>
      </c>
      <c r="AS42" s="29" t="str">
        <f t="shared" si="9"/>
        <v>PTE SIDDARTH SREEKUMAR CHERUBAL </v>
      </c>
      <c r="AT42" s="29" t="str">
        <f t="shared" si="9"/>
        <v>PTE BRYAN MARC MEHAR</v>
      </c>
      <c r="AU42" s="29" t="str">
        <f t="shared" si="9"/>
        <v>REC RAFALE</v>
      </c>
      <c r="AV42" s="29" t="str">
        <f t="shared" si="9"/>
        <v>PTE CLARENCE ONG JUN YI</v>
      </c>
      <c r="AW42" s="29" t="str">
        <f t="array" ref="AW42">IFERROR(INDEX($A$3:$A$38, MATCH(1, INDEX($G$3:$AW$38, 0, MATCH(AS2, $G$2:$AZ$2, 0)), 0)), INDEX($A$3:$A$38, MATCH(1, INDEX($G$3:$AU$38, 0, MATCH(AS2&amp;" AM", $G$2:$AZ$2, 0)), 0)))</f>
        <v>PTE SIDDARTH SREEKUMAR CHERUBAL </v>
      </c>
      <c r="AX42" s="29" t="str">
        <f t="array" ref="AX42">IFERROR(INDEX($A$3:$A$38, MATCH(1, INDEX($G$3:$AU$38, 0, MATCH(AX2, $G$2:$AZ$2, 0)), 0)), INDEX($A$3:$A$38, MATCH(1, INDEX($G$3:$AU$38, 0, MATCH(AX2&amp;" AM", $G$2:$AZ$2, 0)), 0)))</f>
        <v>#N/A</v>
      </c>
      <c r="AY42" s="29" t="str">
        <f t="array" ref="AY42">IFERROR(INDEX($A$3:$A$37, MATCH(1, INDEX($G$3:$AU$37, 0, MATCH(M3, $G$2:$AZ$2, 0)), 0)), INDEX($A$3:$A$37, MATCH(1, INDEX($G$3:$AU$37, 0, MATCH(M3&amp;" AM", $G$2:$AZ$2, 0)), 0)))</f>
        <v>#N/A</v>
      </c>
      <c r="AZ42" s="29" t="str">
        <f t="array" ref="AZ42">IFERROR(INDEX($A$3:$A$37, MATCH(1, INDEX($G$3:$AU$37, 0, MATCH(P3, $G$2:$AZ$2, 0)), 0)), INDEX($A$3:$A$37, MATCH(1, INDEX($G$3:$AU$37, 0, MATCH(P3&amp;" AM", $G$2:$AZ$2, 0)), 0)))</f>
        <v>#N/A</v>
      </c>
      <c r="BA42" s="29" t="str">
        <f t="array" ref="BA42">IFERROR(INDEX($A$3:$A$37, MATCH(1, INDEX($G$3:$AU$37, 0, MATCH(#REF!, $G$2:$AZ$2, 0)), 0)), INDEX($A$3:$A$37, MATCH(1, INDEX($G$3:$AU$37, 0, MATCH(#REF!&amp;" AM", $G$2:$AZ$2, 0)), 0)))</f>
        <v>#REF!</v>
      </c>
      <c r="BB42" s="29" t="str">
        <f t="array" ref="BB42">IFERROR(INDEX($A$3:$A$37, MATCH(1, INDEX($G$3:$AU$37, 0, MATCH(O3, $G$2:$AZ$2, 0)), 0)), INDEX($A$3:$A$37, MATCH(1, INDEX($G$3:$AU$37, 0, MATCH(O3&amp;" AM", $G$2:$AZ$2, 0)), 0)))</f>
        <v>#N/A</v>
      </c>
    </row>
    <row r="43">
      <c r="E43" s="46" t="s">
        <v>72</v>
      </c>
      <c r="F43" s="28" t="str">
        <f t="shared" ref="F43:AQ43" si="10">INDEX($A$3:$A$38, MATCH("R", INDEX($F$3:$AQ$38, 0, MATCH(F2, $F$2:$AV$2, 0)), 0))</f>
        <v>PTE FATHUL HAKIM BIN MUHAMMAD FAUZI </v>
      </c>
      <c r="G43" s="28" t="str">
        <f t="shared" si="10"/>
        <v>PTE WANG XINHANG</v>
      </c>
      <c r="H43" s="28" t="str">
        <f t="shared" si="10"/>
        <v>CPL HUANG JIANHAO </v>
      </c>
      <c r="I43" s="28" t="str">
        <f t="shared" si="10"/>
        <v>PTE SHYEIKH SALEH HUSSAIN BIN MOHAMMED SULAIMAN</v>
      </c>
      <c r="J43" s="28" t="str">
        <f t="shared" si="10"/>
        <v>CPL HUANG JIANHAO </v>
      </c>
      <c r="K43" s="28" t="str">
        <f t="shared" si="10"/>
        <v>PTE FATHUL HAKIM BIN MUHAMMAD FAUZI </v>
      </c>
      <c r="L43" s="28" t="str">
        <f t="shared" si="10"/>
        <v>3SG RYAN TAY RUI YANG</v>
      </c>
      <c r="M43" s="28" t="str">
        <f t="shared" si="10"/>
        <v>LCP DYLAN TAN</v>
      </c>
      <c r="N43" s="28" t="str">
        <f t="shared" si="10"/>
        <v>LCP OH EE BING</v>
      </c>
      <c r="O43" s="28" t="str">
        <f t="shared" si="10"/>
        <v>LCP EBRAHIM HAKEEM BIN AMEEHAR </v>
      </c>
      <c r="P43" s="28" t="str">
        <f t="shared" si="10"/>
        <v>PTE SONG HAOYAN</v>
      </c>
      <c r="Q43" s="28" t="str">
        <f t="shared" si="10"/>
        <v>PTE GUO JUNQI LEO</v>
      </c>
      <c r="R43" s="28" t="str">
        <f t="shared" si="10"/>
        <v>3SG DARYL SEOW  SHI YU</v>
      </c>
      <c r="S43" s="28" t="str">
        <f t="shared" si="10"/>
        <v>PTE SIDDARTH SREEKUMAR CHERUBAL </v>
      </c>
      <c r="T43" s="28" t="str">
        <f t="shared" si="10"/>
        <v>PTE FATHUL HAKIM BIN MUHAMMAD FAUZI </v>
      </c>
      <c r="U43" s="28" t="str">
        <f t="shared" si="10"/>
        <v>REC RAFALE</v>
      </c>
      <c r="V43" s="28" t="str">
        <f t="shared" si="10"/>
        <v>3SG RYAN TAY RUI YANG</v>
      </c>
      <c r="W43" s="28" t="str">
        <f t="shared" si="10"/>
        <v>3SG DARYL SEOW  SHI YU</v>
      </c>
      <c r="X43" s="28" t="str">
        <f t="shared" si="10"/>
        <v>CPL HUANG JIANHAO </v>
      </c>
      <c r="Y43" s="28" t="str">
        <f t="shared" si="10"/>
        <v>LCP OH EE BING</v>
      </c>
      <c r="Z43" s="28" t="str">
        <f t="shared" si="10"/>
        <v>CPL AUSTIN MAXIMILLIAN KOLBE LIM KIM</v>
      </c>
      <c r="AA43" s="28" t="str">
        <f t="shared" si="10"/>
        <v>PTE BRYAN MARC MEHAR</v>
      </c>
      <c r="AB43" s="28" t="str">
        <f t="shared" si="10"/>
        <v>PTE MUHAMMAD NORSYAFIQ BIN SELAMAT</v>
      </c>
      <c r="AC43" s="28" t="str">
        <f t="shared" si="10"/>
        <v>LCP DYLAN TAN</v>
      </c>
      <c r="AD43" s="28" t="str">
        <f t="shared" si="10"/>
        <v>PTE CHONG SIANG NATHAN</v>
      </c>
      <c r="AE43" s="28" t="str">
        <f t="shared" si="10"/>
        <v>PTE CLARENCE ONG JUN YI</v>
      </c>
      <c r="AF43" s="28" t="str">
        <f t="shared" si="10"/>
        <v>PTE MUHAMMAD NUR HAKIM BIN SHAHARIZIN </v>
      </c>
      <c r="AG43" s="28" t="str">
        <f t="shared" si="10"/>
        <v>PTE MUHAMMAD HILAL IZDIHAR BIN MOHAMAD IZZUL SHAH</v>
      </c>
      <c r="AH43" s="28" t="str">
        <f t="shared" si="10"/>
        <v>PTE GUO JUNQI LEO</v>
      </c>
      <c r="AI43" s="28" t="str">
        <f t="shared" si="10"/>
        <v>LCP DYLAN TAN</v>
      </c>
      <c r="AJ43" s="28" t="str">
        <f t="shared" si="10"/>
        <v>PTE SHYEIKH SALEH HUSSAIN BIN MOHAMMED SULAIMAN</v>
      </c>
      <c r="AK43" s="28" t="str">
        <f t="shared" si="10"/>
        <v>PTE CLARENCE ONG JUN YI</v>
      </c>
      <c r="AL43" s="28" t="str">
        <f t="shared" si="10"/>
        <v>PTE CHONG SIANG NATHAN</v>
      </c>
      <c r="AM43" s="28" t="str">
        <f t="shared" si="10"/>
        <v>PTE SONG HAOYAN</v>
      </c>
      <c r="AN43" s="28" t="str">
        <f t="shared" si="10"/>
        <v>PTE WANG XINHANG</v>
      </c>
      <c r="AO43" s="28" t="str">
        <f t="shared" si="10"/>
        <v>PTE AKMAL AHMAD PUTRA BIN SAMAD</v>
      </c>
      <c r="AP43" s="28" t="str">
        <f t="shared" si="10"/>
        <v>LCP EBRAHIM HAKEEM BIN AMEEHAR </v>
      </c>
      <c r="AQ43" s="28" t="str">
        <f t="shared" si="10"/>
        <v>3SG RYAN TAY RUI YANG</v>
      </c>
      <c r="AR43" s="28" t="str">
        <f t="shared" ref="AR43:AV43" si="11">INDEX($A$3:$A$38, MATCH("R", INDEX($F$3:$AV$38, 0, MATCH(AR2, $F$2:$AV$2, 0)), 0))</f>
        <v>PTE JEREMIAH FOO JI SHUAN</v>
      </c>
      <c r="AS43" s="28" t="str">
        <f t="shared" si="11"/>
        <v>REC RAFALE</v>
      </c>
      <c r="AT43" s="28" t="str">
        <f t="shared" si="11"/>
        <v>CPL AUSTIN MAXIMILLIAN KOLBE LIM KIM</v>
      </c>
      <c r="AU43" s="28" t="str">
        <f t="shared" si="11"/>
        <v>PTE JEREMIAH FOO JI SHUAN</v>
      </c>
      <c r="AV43" s="28" t="str">
        <f t="shared" si="11"/>
        <v>PTE CHEONG JUN KAI, HARRY</v>
      </c>
      <c r="AW43" s="28" t="str">
        <f t="array" ref="AW43">INDEX($A$3:$A$38, MATCH("R", INDEX($G$3:$AW$38, 0, MATCH(AS2, $G$2:$AZ$2, 0)), 0))</f>
        <v>REC RAFALE</v>
      </c>
      <c r="AX43" s="28" t="str">
        <f t="array" ref="AX43">INDEX($A$3:$A$38, MATCH("R", INDEX($G$3:$AU$38, 0, MATCH(AX2, $G$2:$AZ$2, 0)), 0))</f>
        <v>#NUM!</v>
      </c>
      <c r="AY43" s="28" t="str">
        <f t="array" ref="AY43">INDEX($A$3:$A$37, MATCH("R", INDEX($G$3:$AU$37, 0, MATCH(M3, $G$2:$AZ$2, 0)), 0))</f>
        <v>#N/A</v>
      </c>
      <c r="AZ43" s="28" t="str">
        <f t="array" ref="AZ43">INDEX($A$3:$A$37, MATCH("R", INDEX($G$3:$AU$37, 0, MATCH(P3, $G$2:$AZ$2, 0)), 0))</f>
        <v>#N/A</v>
      </c>
      <c r="BA43" s="28" t="str">
        <f t="array" ref="BA43">INDEX($A$3:$A$37, MATCH("R", INDEX($G$3:$AU$37, 0, MATCH(#REF!, $G$2:$AZ$2, 0)), 0))</f>
        <v>#REF!</v>
      </c>
      <c r="BB43" s="28" t="str">
        <f t="array" ref="BB43">INDEX($A$3:$A$37, MATCH("R", INDEX($G$3:$AU$37, 0, MATCH(O3, $G$2:$AZ$2, 0)), 0))</f>
        <v>#N/A</v>
      </c>
    </row>
    <row r="44">
      <c r="A44" s="17" t="s">
        <v>232</v>
      </c>
      <c r="C44" s="49">
        <f>COUNTA($G$1:$AS1)</f>
        <v>39</v>
      </c>
      <c r="E44" s="46" t="s">
        <v>70</v>
      </c>
      <c r="F44" s="30" t="str">
        <f t="shared" ref="F44:AQ44" si="12">INDEX($A$3:$A$38, MATCH("R2", INDEX($F$3:$AQ$38, 0, MATCH(F2, $F$2:$AV$2, 0)), 0))</f>
        <v>3SG DARYL SEOW  SHI YU</v>
      </c>
      <c r="G44" s="30" t="str">
        <f t="shared" si="12"/>
        <v>PTE FATHUL HAKIM BIN MUHAMMAD FAUZI </v>
      </c>
      <c r="H44" s="30" t="str">
        <f t="shared" si="12"/>
        <v>CPL SHAVIN VALEN </v>
      </c>
      <c r="I44" s="30" t="str">
        <f t="shared" si="12"/>
        <v>PTE CHEONG JUN KAI, HARRY</v>
      </c>
      <c r="J44" s="30" t="str">
        <f t="shared" si="12"/>
        <v>CPL AUSTIN MAXIMILLIAN KOLBE LIM KIM</v>
      </c>
      <c r="K44" s="30" t="str">
        <f t="shared" si="12"/>
        <v>PTE JEREMIAH FOO JI SHUAN</v>
      </c>
      <c r="L44" s="30" t="str">
        <f t="shared" si="12"/>
        <v>PTE WANG XINHANG</v>
      </c>
      <c r="M44" s="30" t="str">
        <f t="shared" si="12"/>
        <v>3SG DARYL SEOW  SHI YU</v>
      </c>
      <c r="N44" s="30" t="str">
        <f t="shared" si="12"/>
        <v>PTE SHYEIKH SALEH HUSSAIN BIN MOHAMMED SULAIMAN</v>
      </c>
      <c r="O44" s="30" t="str">
        <f t="shared" si="12"/>
        <v>PTE BRYAN MARC MEHAR</v>
      </c>
      <c r="P44" s="30" t="str">
        <f t="shared" si="12"/>
        <v>CPL HUANG JIANHAO </v>
      </c>
      <c r="Q44" s="30" t="str">
        <f t="shared" si="12"/>
        <v>PTE FATHUL HAKIM BIN MUHAMMAD FAUZI </v>
      </c>
      <c r="R44" s="30" t="str">
        <f t="shared" si="12"/>
        <v>PTE MUHAMMAD NORSYAFIQ BIN SELAMAT</v>
      </c>
      <c r="S44" s="30" t="str">
        <f t="shared" si="12"/>
        <v>LCP DYLAN TAN</v>
      </c>
      <c r="T44" s="30" t="str">
        <f t="shared" si="12"/>
        <v>PTE MUHAMMAD NUR HAKIM BIN SHAHARIZIN </v>
      </c>
      <c r="U44" s="30" t="str">
        <f t="shared" si="12"/>
        <v>CPL AUSTIN MAXIMILLIAN KOLBE LIM KIM</v>
      </c>
      <c r="V44" s="30" t="str">
        <f t="shared" si="12"/>
        <v>PTE MUHAMMAD HILAL IZDIHAR BIN MOHAMAD IZZUL SHAH</v>
      </c>
      <c r="W44" s="30" t="str">
        <f t="shared" si="12"/>
        <v>PTE SONG HAOYAN</v>
      </c>
      <c r="X44" s="30" t="str">
        <f t="shared" si="12"/>
        <v>PTE CHONG SIANG NATHAN</v>
      </c>
      <c r="Y44" s="30" t="str">
        <f t="shared" si="12"/>
        <v>3SG ANISH VINAAYAK SIVASANKAR</v>
      </c>
      <c r="Z44" s="30" t="str">
        <f t="shared" si="12"/>
        <v>PTE GUO JUNQI LEO</v>
      </c>
      <c r="AA44" s="30" t="str">
        <f t="shared" si="12"/>
        <v>PTE MUHAMMAD NUR HAKIM BIN SHAHARIZIN </v>
      </c>
      <c r="AB44" s="30" t="str">
        <f t="shared" si="12"/>
        <v>PTE MUHAMMAD NUR HAKIM BIN SHAHARIZIN </v>
      </c>
      <c r="AC44" s="30" t="str">
        <f t="shared" si="12"/>
        <v>3SG ANISH VINAAYAK SIVASANKAR</v>
      </c>
      <c r="AD44" s="30" t="str">
        <f t="shared" si="12"/>
        <v>LCP EBRAHIM HAKEEM BIN AMEEHAR </v>
      </c>
      <c r="AE44" s="30" t="str">
        <f t="shared" si="12"/>
        <v>3SG RYAN TAY RUI YANG</v>
      </c>
      <c r="AF44" s="30" t="str">
        <f t="shared" si="12"/>
        <v>PTE SIDDARTH SREEKUMAR CHERUBAL </v>
      </c>
      <c r="AG44" s="30" t="str">
        <f t="shared" si="12"/>
        <v>PTE WANG XINHANG</v>
      </c>
      <c r="AH44" s="30" t="str">
        <f t="shared" si="12"/>
        <v>CPL SHAVIN VALEN </v>
      </c>
      <c r="AI44" s="30" t="str">
        <f t="shared" si="12"/>
        <v>PTE SIDDARTH SREEKUMAR CHERUBAL </v>
      </c>
      <c r="AJ44" s="30" t="str">
        <f t="shared" si="12"/>
        <v>PTE MUHAMMAD HILAL IZDIHAR BIN MOHAMAD IZZUL SHAH</v>
      </c>
      <c r="AK44" s="30" t="str">
        <f t="shared" si="12"/>
        <v>PTE BRYAN MARC MEHAR</v>
      </c>
      <c r="AL44" s="30" t="str">
        <f t="shared" si="12"/>
        <v>3SG RYAN TAY RUI YANG</v>
      </c>
      <c r="AM44" s="30" t="str">
        <f t="shared" si="12"/>
        <v>LCP OH EE BING</v>
      </c>
      <c r="AN44" s="30" t="str">
        <f t="shared" si="12"/>
        <v>PTE CLARENCE ONG JUN YI</v>
      </c>
      <c r="AO44" s="30" t="str">
        <f t="shared" si="12"/>
        <v>REC RAFALE</v>
      </c>
      <c r="AP44" s="30" t="str">
        <f t="shared" si="12"/>
        <v>3SG RYAN TAY RUI YANG</v>
      </c>
      <c r="AQ44" s="30" t="str">
        <f t="shared" si="12"/>
        <v>PTE CHEONG JUN KAI, HARRY</v>
      </c>
      <c r="AR44" s="30" t="str">
        <f t="shared" ref="AR44:AV44" si="13">INDEX($A$3:$A$38, MATCH("R2", INDEX($F$3:$AV$38, 0, MATCH(AR2, $F$2:$AV$2, 0)), 0))</f>
        <v>PTE MUHAMMAD NORSYAFIQ BIN SELAMAT</v>
      </c>
      <c r="AS44" s="30" t="str">
        <f t="shared" si="13"/>
        <v>PTE AKMAL AHMAD PUTRA BIN SAMAD</v>
      </c>
      <c r="AT44" s="30" t="str">
        <f t="shared" si="13"/>
        <v>PTE MUHAMMAD HILAL IZDIHAR BIN MOHAMAD IZZUL SHAH</v>
      </c>
      <c r="AU44" s="30" t="str">
        <f t="shared" si="13"/>
        <v>CPL SHAVIN VALEN </v>
      </c>
      <c r="AV44" s="30" t="str">
        <f t="shared" si="13"/>
        <v>3SG DARYL SEOW  SHI YU</v>
      </c>
      <c r="AW44" s="30" t="str">
        <f t="array" ref="AW44">INDEX($A$3:$A$38, MATCH("R2", INDEX($G$3:$AW$38, 0, MATCH(AS2, $G$2:$AZ$2, 0)), 0))</f>
        <v>PTE AKMAL AHMAD PUTRA BIN SAMAD</v>
      </c>
      <c r="AX44" s="30" t="str">
        <f t="array" ref="AX44">INDEX($A$3:$A$38, MATCH("R2", INDEX($G$3:$AU$38, 0, MATCH(AX2, $G$2:$AZ$2, 0)), 0))</f>
        <v>#NUM!</v>
      </c>
      <c r="AY44" s="30" t="str">
        <f t="array" ref="AY44">INDEX($A$3:$A$37, MATCH("R2", INDEX($G$3:$AU$37, 0, MATCH(M3, $G$2:$AZ$2, 0)), 0))</f>
        <v>#N/A</v>
      </c>
      <c r="AZ44" s="30" t="str">
        <f t="array" ref="AZ44">INDEX($A$3:$A$37, MATCH("R2", INDEX($G$3:$AU$37, 0, MATCH(P3, $G$2:$AZ$2, 0)), 0))</f>
        <v>#N/A</v>
      </c>
      <c r="BA44" s="30" t="str">
        <f t="array" ref="BA44">INDEX($A$3:$A$37, MATCH("R2", INDEX($G$3:$AU$37, 0, MATCH(#REF!, $G$2:$AZ$2, 0)), 0))</f>
        <v>#REF!</v>
      </c>
      <c r="BB44" s="30" t="str">
        <f t="array" ref="BB44">INDEX($A$3:$A$37, MATCH("R2", INDEX($G$3:$AU$37, 0, MATCH(O3, $G$2:$AZ$2, 0)), 0))</f>
        <v>#N/A</v>
      </c>
    </row>
    <row r="45">
      <c r="A45" s="17" t="s">
        <v>154</v>
      </c>
      <c r="C45" s="50">
        <f>SUBTOTAL(103, $A$3:$A$38)
</f>
        <v>25</v>
      </c>
      <c r="N45" s="31"/>
      <c r="O45" s="31"/>
    </row>
    <row r="46">
      <c r="J46" s="17"/>
      <c r="N46" s="31"/>
      <c r="O46" s="31"/>
    </row>
    <row r="47">
      <c r="O47" s="31"/>
    </row>
    <row r="48">
      <c r="A48" s="26" t="s">
        <v>118</v>
      </c>
      <c r="H48" s="17" t="s">
        <v>727</v>
      </c>
      <c r="I48" s="162"/>
      <c r="N48" s="47"/>
      <c r="O48" s="31"/>
    </row>
    <row r="49">
      <c r="A49" s="25" t="s">
        <v>119</v>
      </c>
      <c r="H49" s="17" t="s">
        <v>730</v>
      </c>
      <c r="K49" s="162"/>
      <c r="L49" s="17"/>
      <c r="N49" s="47"/>
      <c r="O49" s="31"/>
      <c r="U49" s="17" t="s">
        <v>825</v>
      </c>
    </row>
    <row r="50">
      <c r="A50" s="22" t="s">
        <v>120</v>
      </c>
      <c r="H50" s="17" t="s">
        <v>732</v>
      </c>
      <c r="N50" s="47" t="s">
        <v>778</v>
      </c>
      <c r="O50" s="47"/>
    </row>
    <row r="51">
      <c r="A51" s="20" t="s">
        <v>121</v>
      </c>
      <c r="M51" s="47"/>
      <c r="N51" s="47"/>
      <c r="O51" s="47"/>
    </row>
    <row r="52">
      <c r="A52" s="23" t="s">
        <v>122</v>
      </c>
      <c r="H52" s="17" t="s">
        <v>826</v>
      </c>
      <c r="M52" s="47"/>
      <c r="N52" s="47" t="s">
        <v>745</v>
      </c>
    </row>
    <row r="53">
      <c r="A53" s="14" t="s">
        <v>123</v>
      </c>
      <c r="H53" s="17" t="s">
        <v>827</v>
      </c>
      <c r="M53" s="47"/>
      <c r="N53" s="47" t="s">
        <v>784</v>
      </c>
      <c r="O53" s="31"/>
    </row>
    <row r="54">
      <c r="A54" s="9" t="s">
        <v>125</v>
      </c>
      <c r="N54" s="31"/>
      <c r="O54" s="31"/>
    </row>
    <row r="55">
      <c r="A55" s="44" t="s">
        <v>126</v>
      </c>
      <c r="C55" s="31"/>
      <c r="N55" s="47"/>
      <c r="O55" s="31"/>
    </row>
    <row r="56">
      <c r="A56" s="62" t="s">
        <v>741</v>
      </c>
      <c r="N56" s="47"/>
      <c r="O56" s="31"/>
      <c r="Q56" s="17" t="s">
        <v>774</v>
      </c>
      <c r="R56" s="17" t="s">
        <v>775</v>
      </c>
      <c r="S56" s="17" t="s">
        <v>776</v>
      </c>
      <c r="T56" s="17" t="s">
        <v>777</v>
      </c>
    </row>
    <row r="57">
      <c r="A57" s="70" t="s">
        <v>233</v>
      </c>
      <c r="N57" s="47"/>
      <c r="O57" s="31"/>
      <c r="S57" s="17" t="s">
        <v>828</v>
      </c>
    </row>
    <row r="58">
      <c r="A58" s="69" t="s">
        <v>234</v>
      </c>
      <c r="N58" s="47"/>
      <c r="O58" s="47"/>
      <c r="S58" s="17" t="s">
        <v>829</v>
      </c>
    </row>
    <row r="59">
      <c r="A59" s="27" t="s">
        <v>124</v>
      </c>
      <c r="N59" s="47"/>
      <c r="O59" s="31"/>
    </row>
    <row r="60">
      <c r="A60" s="24" t="s">
        <v>528</v>
      </c>
      <c r="N60" s="47"/>
      <c r="O60" s="31"/>
    </row>
    <row r="61">
      <c r="N61" s="47"/>
      <c r="O61" s="31"/>
    </row>
    <row r="69">
      <c r="N69" s="31"/>
      <c r="O69" s="31"/>
    </row>
    <row r="70">
      <c r="N70" s="31"/>
      <c r="O70" s="31"/>
    </row>
    <row r="71">
      <c r="N71" s="31"/>
      <c r="O71" s="31"/>
    </row>
    <row r="72">
      <c r="N72" s="31"/>
      <c r="O72" s="31"/>
    </row>
    <row r="73">
      <c r="N73" s="31"/>
      <c r="O73" s="31"/>
    </row>
    <row r="74">
      <c r="N74" s="31"/>
      <c r="O74" s="31"/>
    </row>
    <row r="75">
      <c r="N75" s="31"/>
      <c r="O75" s="31"/>
    </row>
    <row r="76">
      <c r="N76" s="31"/>
      <c r="O76" s="31"/>
    </row>
    <row r="77">
      <c r="N77" s="31"/>
      <c r="O77" s="31"/>
    </row>
    <row r="78">
      <c r="N78" s="31"/>
      <c r="O78" s="31"/>
    </row>
    <row r="79">
      <c r="N79" s="31"/>
      <c r="O79" s="31"/>
    </row>
    <row r="80">
      <c r="N80" s="31"/>
      <c r="O80" s="31"/>
    </row>
    <row r="81">
      <c r="N81" s="31"/>
      <c r="O81" s="31"/>
    </row>
    <row r="82">
      <c r="N82" s="31"/>
      <c r="O82" s="31"/>
    </row>
    <row r="83">
      <c r="N83" s="31"/>
      <c r="O83" s="31"/>
    </row>
    <row r="84">
      <c r="N84" s="31"/>
      <c r="O84" s="31"/>
    </row>
    <row r="85">
      <c r="N85" s="31"/>
      <c r="O85" s="31"/>
    </row>
    <row r="86">
      <c r="N86" s="31"/>
      <c r="O86" s="31"/>
    </row>
    <row r="87">
      <c r="N87" s="31"/>
      <c r="O87" s="31"/>
    </row>
    <row r="88">
      <c r="N88" s="31"/>
      <c r="O88" s="31"/>
    </row>
    <row r="89">
      <c r="N89" s="31"/>
      <c r="O89" s="31"/>
    </row>
    <row r="90">
      <c r="N90" s="31"/>
      <c r="O90" s="31"/>
    </row>
    <row r="91">
      <c r="N91" s="31"/>
      <c r="O91" s="31"/>
    </row>
    <row r="92">
      <c r="N92" s="31"/>
      <c r="O92" s="31"/>
    </row>
    <row r="93">
      <c r="N93" s="31"/>
      <c r="O93" s="31"/>
    </row>
    <row r="94">
      <c r="N94" s="31"/>
      <c r="O94" s="31"/>
    </row>
    <row r="95">
      <c r="N95" s="31"/>
      <c r="O95" s="31"/>
    </row>
    <row r="96">
      <c r="N96" s="31"/>
      <c r="O96" s="31"/>
    </row>
    <row r="97">
      <c r="N97" s="31"/>
      <c r="O97" s="31"/>
    </row>
    <row r="98">
      <c r="N98" s="31"/>
      <c r="O98" s="31"/>
    </row>
    <row r="99">
      <c r="N99" s="31"/>
      <c r="O99" s="31"/>
    </row>
    <row r="100">
      <c r="N100" s="31"/>
      <c r="O100" s="31"/>
    </row>
    <row r="101">
      <c r="N101" s="31"/>
      <c r="O101" s="31"/>
    </row>
    <row r="102">
      <c r="N102" s="31"/>
      <c r="O102" s="31"/>
    </row>
    <row r="103">
      <c r="N103" s="31"/>
      <c r="O103" s="31"/>
    </row>
    <row r="104">
      <c r="N104" s="31"/>
      <c r="O104" s="31"/>
    </row>
    <row r="105">
      <c r="N105" s="31"/>
      <c r="O105" s="31"/>
    </row>
    <row r="106">
      <c r="N106" s="31"/>
      <c r="O106" s="31"/>
    </row>
    <row r="107">
      <c r="N107" s="31"/>
      <c r="O107" s="31"/>
    </row>
    <row r="108">
      <c r="N108" s="31"/>
      <c r="O108" s="31"/>
    </row>
    <row r="109">
      <c r="N109" s="31"/>
      <c r="O109" s="31"/>
    </row>
    <row r="110">
      <c r="N110" s="31"/>
      <c r="O110" s="31"/>
    </row>
    <row r="111">
      <c r="N111" s="31"/>
      <c r="O111" s="31"/>
    </row>
    <row r="112">
      <c r="N112" s="31"/>
      <c r="O112" s="31"/>
    </row>
    <row r="113">
      <c r="N113" s="31"/>
      <c r="O113" s="31"/>
    </row>
    <row r="114">
      <c r="N114" s="31"/>
      <c r="O114" s="31"/>
    </row>
    <row r="115">
      <c r="N115" s="31"/>
      <c r="O115" s="31"/>
    </row>
    <row r="116">
      <c r="N116" s="31"/>
      <c r="O116" s="31"/>
    </row>
    <row r="117">
      <c r="N117" s="31"/>
      <c r="O117" s="31"/>
    </row>
    <row r="118">
      <c r="N118" s="31"/>
      <c r="O118" s="31"/>
    </row>
    <row r="119">
      <c r="N119" s="31"/>
      <c r="O119" s="31"/>
    </row>
    <row r="120">
      <c r="N120" s="31"/>
      <c r="O120" s="31"/>
    </row>
    <row r="121">
      <c r="N121" s="31"/>
      <c r="O121" s="31"/>
    </row>
    <row r="122">
      <c r="N122" s="31"/>
      <c r="O122" s="31"/>
    </row>
    <row r="123">
      <c r="N123" s="31"/>
      <c r="O123" s="31"/>
    </row>
    <row r="124">
      <c r="N124" s="31"/>
      <c r="O124" s="31"/>
    </row>
    <row r="125">
      <c r="N125" s="31"/>
      <c r="O125" s="31"/>
    </row>
    <row r="126">
      <c r="N126" s="31"/>
      <c r="O126" s="31"/>
    </row>
    <row r="127">
      <c r="N127" s="31"/>
      <c r="O127" s="31"/>
    </row>
    <row r="128">
      <c r="N128" s="31"/>
      <c r="O128" s="31"/>
    </row>
    <row r="129">
      <c r="N129" s="31"/>
      <c r="O129" s="31"/>
    </row>
    <row r="130">
      <c r="N130" s="31"/>
      <c r="O130" s="31"/>
    </row>
    <row r="131">
      <c r="N131" s="31"/>
      <c r="O131" s="31"/>
    </row>
    <row r="132">
      <c r="N132" s="31"/>
      <c r="O132" s="31"/>
    </row>
    <row r="133">
      <c r="N133" s="31"/>
      <c r="O133" s="31"/>
    </row>
    <row r="134">
      <c r="N134" s="31"/>
      <c r="O134" s="31"/>
    </row>
    <row r="135">
      <c r="N135" s="31"/>
      <c r="O135" s="31"/>
    </row>
    <row r="136">
      <c r="N136" s="31"/>
      <c r="O136" s="31"/>
    </row>
    <row r="137">
      <c r="N137" s="31"/>
      <c r="O137" s="31"/>
    </row>
    <row r="138">
      <c r="N138" s="31"/>
      <c r="O138" s="31"/>
    </row>
    <row r="139">
      <c r="N139" s="31"/>
      <c r="O139" s="31"/>
    </row>
    <row r="140">
      <c r="N140" s="31"/>
      <c r="O140" s="31"/>
    </row>
    <row r="141">
      <c r="N141" s="31"/>
      <c r="O141" s="31"/>
    </row>
    <row r="142">
      <c r="N142" s="31"/>
      <c r="O142" s="31"/>
    </row>
    <row r="143">
      <c r="N143" s="31"/>
      <c r="O143" s="31"/>
    </row>
    <row r="144">
      <c r="N144" s="31"/>
      <c r="O144" s="31"/>
    </row>
    <row r="145">
      <c r="N145" s="31"/>
      <c r="O145" s="31"/>
    </row>
    <row r="146">
      <c r="N146" s="31"/>
      <c r="O146" s="31"/>
    </row>
    <row r="147">
      <c r="N147" s="31"/>
      <c r="O147" s="31"/>
    </row>
    <row r="148">
      <c r="N148" s="31"/>
      <c r="O148" s="31"/>
    </row>
    <row r="149">
      <c r="N149" s="31"/>
      <c r="O149" s="31"/>
    </row>
    <row r="150">
      <c r="N150" s="31"/>
      <c r="O150" s="31"/>
    </row>
    <row r="151">
      <c r="N151" s="31"/>
      <c r="O151" s="31"/>
    </row>
    <row r="152">
      <c r="N152" s="31"/>
      <c r="O152" s="31"/>
    </row>
    <row r="153">
      <c r="N153" s="31"/>
      <c r="O153" s="31"/>
    </row>
    <row r="154">
      <c r="N154" s="31"/>
      <c r="O154" s="31"/>
    </row>
    <row r="155">
      <c r="N155" s="31"/>
      <c r="O155" s="31"/>
    </row>
    <row r="156">
      <c r="N156" s="31"/>
      <c r="O156" s="31"/>
    </row>
    <row r="157">
      <c r="N157" s="31"/>
      <c r="O157" s="31"/>
    </row>
    <row r="158">
      <c r="N158" s="31"/>
      <c r="O158" s="31"/>
    </row>
    <row r="159">
      <c r="N159" s="31"/>
      <c r="O159" s="31"/>
    </row>
    <row r="160">
      <c r="N160" s="31"/>
      <c r="O160" s="31"/>
    </row>
    <row r="161">
      <c r="N161" s="31"/>
      <c r="O161" s="31"/>
    </row>
    <row r="162">
      <c r="N162" s="31"/>
      <c r="O162" s="31"/>
    </row>
    <row r="163">
      <c r="N163" s="31"/>
      <c r="O163" s="31"/>
    </row>
    <row r="164">
      <c r="N164" s="31"/>
      <c r="O164" s="31"/>
    </row>
    <row r="165">
      <c r="N165" s="31"/>
      <c r="O165" s="31"/>
    </row>
    <row r="166">
      <c r="N166" s="31"/>
      <c r="O166" s="31"/>
    </row>
    <row r="167">
      <c r="N167" s="31"/>
      <c r="O167" s="31"/>
    </row>
    <row r="168">
      <c r="N168" s="31"/>
      <c r="O168" s="31"/>
    </row>
    <row r="169">
      <c r="N169" s="31"/>
      <c r="O169" s="31"/>
    </row>
    <row r="170">
      <c r="N170" s="31"/>
      <c r="O170" s="31"/>
    </row>
    <row r="171">
      <c r="N171" s="31"/>
      <c r="O171" s="31"/>
    </row>
    <row r="172">
      <c r="N172" s="31"/>
      <c r="O172" s="31"/>
    </row>
    <row r="173">
      <c r="N173" s="31"/>
      <c r="O173" s="31"/>
    </row>
    <row r="174">
      <c r="N174" s="31"/>
      <c r="O174" s="31"/>
    </row>
    <row r="175">
      <c r="N175" s="31"/>
      <c r="O175" s="31"/>
    </row>
    <row r="176">
      <c r="N176" s="31"/>
      <c r="O176" s="31"/>
    </row>
    <row r="177">
      <c r="N177" s="31"/>
      <c r="O177" s="31"/>
    </row>
    <row r="178">
      <c r="N178" s="31"/>
      <c r="O178" s="31"/>
    </row>
    <row r="179">
      <c r="N179" s="31"/>
      <c r="O179" s="31"/>
    </row>
    <row r="180">
      <c r="N180" s="31"/>
      <c r="O180" s="31"/>
    </row>
    <row r="181">
      <c r="N181" s="31"/>
      <c r="O181" s="31"/>
    </row>
    <row r="182">
      <c r="N182" s="31"/>
      <c r="O182" s="31"/>
    </row>
    <row r="183">
      <c r="N183" s="31"/>
      <c r="O183" s="31"/>
    </row>
    <row r="184">
      <c r="N184" s="31"/>
      <c r="O184" s="31"/>
    </row>
    <row r="185">
      <c r="N185" s="31"/>
      <c r="O185" s="31"/>
    </row>
    <row r="186">
      <c r="N186" s="31"/>
      <c r="O186" s="31"/>
    </row>
    <row r="187">
      <c r="N187" s="31"/>
      <c r="O187" s="31"/>
    </row>
    <row r="188">
      <c r="N188" s="31"/>
      <c r="O188" s="31"/>
    </row>
    <row r="189">
      <c r="N189" s="31"/>
      <c r="O189" s="31"/>
    </row>
    <row r="190">
      <c r="N190" s="31"/>
      <c r="O190" s="31"/>
    </row>
    <row r="191">
      <c r="N191" s="31"/>
      <c r="O191" s="31"/>
    </row>
    <row r="192">
      <c r="N192" s="31"/>
      <c r="O192" s="31"/>
    </row>
    <row r="193">
      <c r="N193" s="31"/>
      <c r="O193" s="31"/>
    </row>
    <row r="194">
      <c r="N194" s="31"/>
      <c r="O194" s="31"/>
    </row>
    <row r="195">
      <c r="N195" s="31"/>
      <c r="O195" s="31"/>
    </row>
    <row r="196">
      <c r="N196" s="31"/>
      <c r="O196" s="31"/>
    </row>
    <row r="197">
      <c r="N197" s="31"/>
      <c r="O197" s="31"/>
    </row>
    <row r="198">
      <c r="N198" s="31"/>
      <c r="O198" s="31"/>
    </row>
    <row r="199">
      <c r="N199" s="31"/>
      <c r="O199" s="31"/>
    </row>
    <row r="200">
      <c r="N200" s="31"/>
      <c r="O200" s="31"/>
    </row>
    <row r="201">
      <c r="N201" s="31"/>
      <c r="O201" s="31"/>
    </row>
    <row r="202">
      <c r="N202" s="31"/>
      <c r="O202" s="31"/>
    </row>
    <row r="203">
      <c r="N203" s="31"/>
      <c r="O203" s="31"/>
    </row>
    <row r="204">
      <c r="N204" s="31"/>
      <c r="O204" s="31"/>
    </row>
    <row r="205">
      <c r="N205" s="31"/>
      <c r="O205" s="31"/>
    </row>
    <row r="206">
      <c r="N206" s="31"/>
      <c r="O206" s="31"/>
    </row>
    <row r="207">
      <c r="N207" s="31"/>
      <c r="O207" s="31"/>
    </row>
    <row r="208">
      <c r="N208" s="31"/>
      <c r="O208" s="31"/>
    </row>
    <row r="209">
      <c r="N209" s="31"/>
      <c r="O209" s="31"/>
    </row>
    <row r="210">
      <c r="N210" s="31"/>
      <c r="O210" s="31"/>
    </row>
    <row r="211">
      <c r="N211" s="31"/>
      <c r="O211" s="31"/>
    </row>
    <row r="212">
      <c r="N212" s="31"/>
      <c r="O212" s="31"/>
    </row>
    <row r="213">
      <c r="N213" s="31"/>
      <c r="O213" s="31"/>
    </row>
    <row r="214">
      <c r="N214" s="31"/>
      <c r="O214" s="31"/>
    </row>
    <row r="215">
      <c r="N215" s="31"/>
      <c r="O215" s="31"/>
    </row>
    <row r="216">
      <c r="N216" s="31"/>
      <c r="O216" s="31"/>
    </row>
    <row r="217">
      <c r="N217" s="31"/>
      <c r="O217" s="31"/>
    </row>
    <row r="218">
      <c r="N218" s="31"/>
      <c r="O218" s="31"/>
    </row>
    <row r="219">
      <c r="N219" s="31"/>
      <c r="O219" s="31"/>
    </row>
    <row r="220">
      <c r="N220" s="31"/>
      <c r="O220" s="31"/>
    </row>
    <row r="221">
      <c r="N221" s="31"/>
      <c r="O221" s="31"/>
    </row>
    <row r="222">
      <c r="N222" s="31"/>
      <c r="O222" s="31"/>
    </row>
    <row r="223">
      <c r="N223" s="31"/>
      <c r="O223" s="31"/>
    </row>
    <row r="224">
      <c r="N224" s="31"/>
      <c r="O224" s="31"/>
    </row>
    <row r="225">
      <c r="N225" s="31"/>
      <c r="O225" s="31"/>
    </row>
    <row r="226">
      <c r="N226" s="31"/>
      <c r="O226" s="31"/>
    </row>
    <row r="227">
      <c r="N227" s="31"/>
      <c r="O227" s="31"/>
    </row>
    <row r="228">
      <c r="N228" s="31"/>
      <c r="O228" s="31"/>
    </row>
    <row r="229">
      <c r="N229" s="31"/>
      <c r="O229" s="31"/>
    </row>
    <row r="230">
      <c r="N230" s="31"/>
      <c r="O230" s="31"/>
    </row>
    <row r="231">
      <c r="N231" s="31"/>
      <c r="O231" s="31"/>
    </row>
    <row r="232">
      <c r="N232" s="31"/>
      <c r="O232" s="31"/>
    </row>
    <row r="233">
      <c r="N233" s="31"/>
      <c r="O233" s="31"/>
    </row>
    <row r="234">
      <c r="N234" s="31"/>
      <c r="O234" s="31"/>
    </row>
    <row r="235">
      <c r="N235" s="31"/>
      <c r="O235" s="31"/>
    </row>
    <row r="236">
      <c r="N236" s="31"/>
      <c r="O236" s="31"/>
    </row>
    <row r="237">
      <c r="N237" s="31"/>
      <c r="O237" s="31"/>
    </row>
    <row r="238">
      <c r="N238" s="31"/>
      <c r="O238" s="31"/>
    </row>
    <row r="239">
      <c r="N239" s="31"/>
      <c r="O239" s="31"/>
    </row>
    <row r="240">
      <c r="N240" s="31"/>
      <c r="O240" s="31"/>
    </row>
    <row r="241">
      <c r="N241" s="31"/>
      <c r="O241" s="31"/>
    </row>
    <row r="242">
      <c r="N242" s="31"/>
      <c r="O242" s="31"/>
    </row>
    <row r="243">
      <c r="N243" s="31"/>
      <c r="O243" s="31"/>
    </row>
    <row r="244">
      <c r="N244" s="31"/>
      <c r="O244" s="31"/>
    </row>
    <row r="245">
      <c r="N245" s="31"/>
      <c r="O245" s="31"/>
    </row>
    <row r="246">
      <c r="N246" s="31"/>
      <c r="O246" s="31"/>
    </row>
    <row r="247">
      <c r="N247" s="31"/>
      <c r="O247" s="31"/>
    </row>
    <row r="248">
      <c r="N248" s="31"/>
      <c r="O248" s="31"/>
    </row>
    <row r="249">
      <c r="N249" s="31"/>
      <c r="O249" s="31"/>
    </row>
    <row r="250">
      <c r="N250" s="31"/>
      <c r="O250" s="31"/>
    </row>
    <row r="251">
      <c r="N251" s="31"/>
      <c r="O251" s="31"/>
    </row>
    <row r="252">
      <c r="N252" s="31"/>
      <c r="O252" s="31"/>
    </row>
    <row r="253">
      <c r="N253" s="31"/>
      <c r="O253" s="31"/>
    </row>
    <row r="254">
      <c r="N254" s="31"/>
      <c r="O254" s="31"/>
    </row>
    <row r="255">
      <c r="N255" s="31"/>
      <c r="O255" s="31"/>
    </row>
    <row r="256">
      <c r="N256" s="31"/>
      <c r="O256" s="31"/>
    </row>
    <row r="257">
      <c r="N257" s="31"/>
      <c r="O257" s="31"/>
    </row>
    <row r="258">
      <c r="N258" s="31"/>
      <c r="O258" s="31"/>
    </row>
    <row r="259">
      <c r="N259" s="31"/>
      <c r="O259" s="31"/>
    </row>
    <row r="260">
      <c r="N260" s="31"/>
      <c r="O260" s="31"/>
    </row>
    <row r="261">
      <c r="N261" s="31"/>
      <c r="O261" s="31"/>
    </row>
    <row r="262">
      <c r="N262" s="31"/>
      <c r="O262" s="31"/>
    </row>
    <row r="263">
      <c r="N263" s="31"/>
      <c r="O263" s="31"/>
    </row>
    <row r="264">
      <c r="N264" s="31"/>
      <c r="O264" s="31"/>
    </row>
    <row r="265">
      <c r="N265" s="31"/>
      <c r="O265" s="31"/>
    </row>
    <row r="266">
      <c r="N266" s="31"/>
      <c r="O266" s="31"/>
    </row>
    <row r="267">
      <c r="N267" s="31"/>
      <c r="O267" s="31"/>
    </row>
    <row r="268">
      <c r="N268" s="31"/>
      <c r="O268" s="31"/>
    </row>
    <row r="269">
      <c r="N269" s="31"/>
      <c r="O269" s="31"/>
    </row>
    <row r="270">
      <c r="N270" s="31"/>
      <c r="O270" s="31"/>
    </row>
    <row r="271">
      <c r="N271" s="31"/>
      <c r="O271" s="31"/>
    </row>
    <row r="272">
      <c r="N272" s="31"/>
      <c r="O272" s="31"/>
    </row>
    <row r="273">
      <c r="N273" s="31"/>
      <c r="O273" s="31"/>
    </row>
    <row r="274">
      <c r="N274" s="31"/>
      <c r="O274" s="31"/>
    </row>
    <row r="275">
      <c r="N275" s="31"/>
      <c r="O275" s="31"/>
    </row>
    <row r="276">
      <c r="N276" s="31"/>
      <c r="O276" s="31"/>
    </row>
    <row r="277">
      <c r="N277" s="31"/>
      <c r="O277" s="31"/>
    </row>
    <row r="278">
      <c r="N278" s="31"/>
      <c r="O278" s="31"/>
    </row>
    <row r="279">
      <c r="N279" s="31"/>
      <c r="O279" s="31"/>
    </row>
    <row r="280">
      <c r="N280" s="31"/>
      <c r="O280" s="31"/>
    </row>
    <row r="281">
      <c r="N281" s="31"/>
      <c r="O281" s="31"/>
    </row>
    <row r="282">
      <c r="N282" s="31"/>
      <c r="O282" s="31"/>
    </row>
    <row r="283">
      <c r="N283" s="31"/>
      <c r="O283" s="31"/>
    </row>
    <row r="284">
      <c r="N284" s="31"/>
      <c r="O284" s="31"/>
    </row>
    <row r="285">
      <c r="N285" s="31"/>
      <c r="O285" s="31"/>
    </row>
    <row r="286">
      <c r="N286" s="31"/>
      <c r="O286" s="31"/>
    </row>
    <row r="287">
      <c r="N287" s="31"/>
      <c r="O287" s="31"/>
    </row>
    <row r="288">
      <c r="N288" s="31"/>
      <c r="O288" s="31"/>
    </row>
    <row r="289">
      <c r="N289" s="31"/>
      <c r="O289" s="31"/>
    </row>
    <row r="290">
      <c r="N290" s="31"/>
      <c r="O290" s="31"/>
    </row>
    <row r="291">
      <c r="N291" s="31"/>
      <c r="O291" s="31"/>
    </row>
    <row r="292">
      <c r="N292" s="31"/>
      <c r="O292" s="31"/>
    </row>
    <row r="293">
      <c r="N293" s="31"/>
      <c r="O293" s="31"/>
    </row>
    <row r="294">
      <c r="N294" s="31"/>
      <c r="O294" s="31"/>
    </row>
    <row r="295">
      <c r="N295" s="31"/>
      <c r="O295" s="31"/>
    </row>
    <row r="296">
      <c r="N296" s="31"/>
      <c r="O296" s="31"/>
    </row>
    <row r="297">
      <c r="N297" s="31"/>
      <c r="O297" s="31"/>
    </row>
    <row r="298">
      <c r="N298" s="31"/>
      <c r="O298" s="31"/>
    </row>
    <row r="299">
      <c r="N299" s="31"/>
      <c r="O299" s="31"/>
    </row>
    <row r="300">
      <c r="N300" s="31"/>
      <c r="O300" s="31"/>
    </row>
    <row r="301">
      <c r="N301" s="31"/>
      <c r="O301" s="31"/>
    </row>
    <row r="302">
      <c r="N302" s="31"/>
      <c r="O302" s="31"/>
    </row>
    <row r="303">
      <c r="N303" s="31"/>
      <c r="O303" s="31"/>
    </row>
    <row r="304">
      <c r="N304" s="31"/>
      <c r="O304" s="31"/>
    </row>
    <row r="305">
      <c r="N305" s="31"/>
      <c r="O305" s="31"/>
    </row>
    <row r="306">
      <c r="N306" s="31"/>
      <c r="O306" s="31"/>
    </row>
    <row r="307">
      <c r="N307" s="31"/>
      <c r="O307" s="31"/>
    </row>
    <row r="308">
      <c r="N308" s="31"/>
      <c r="O308" s="31"/>
    </row>
    <row r="309">
      <c r="N309" s="31"/>
      <c r="O309" s="31"/>
    </row>
    <row r="310">
      <c r="N310" s="31"/>
      <c r="O310" s="31"/>
    </row>
    <row r="311">
      <c r="N311" s="31"/>
      <c r="O311" s="31"/>
    </row>
    <row r="312">
      <c r="N312" s="31"/>
      <c r="O312" s="31"/>
    </row>
    <row r="313">
      <c r="N313" s="31"/>
      <c r="O313" s="31"/>
    </row>
    <row r="314">
      <c r="N314" s="31"/>
      <c r="O314" s="31"/>
    </row>
    <row r="315">
      <c r="N315" s="31"/>
      <c r="O315" s="31"/>
    </row>
    <row r="316">
      <c r="N316" s="31"/>
      <c r="O316" s="31"/>
    </row>
    <row r="317">
      <c r="N317" s="31"/>
      <c r="O317" s="31"/>
    </row>
    <row r="318">
      <c r="N318" s="31"/>
      <c r="O318" s="31"/>
    </row>
    <row r="319">
      <c r="N319" s="31"/>
      <c r="O319" s="31"/>
    </row>
    <row r="320">
      <c r="N320" s="31"/>
      <c r="O320" s="31"/>
    </row>
    <row r="321">
      <c r="N321" s="31"/>
      <c r="O321" s="31"/>
    </row>
    <row r="322">
      <c r="N322" s="31"/>
      <c r="O322" s="31"/>
    </row>
    <row r="323">
      <c r="N323" s="31"/>
      <c r="O323" s="31"/>
    </row>
    <row r="324">
      <c r="N324" s="31"/>
      <c r="O324" s="31"/>
    </row>
    <row r="325">
      <c r="N325" s="31"/>
      <c r="O325" s="31"/>
    </row>
    <row r="326">
      <c r="N326" s="31"/>
      <c r="O326" s="31"/>
    </row>
    <row r="327">
      <c r="N327" s="31"/>
      <c r="O327" s="31"/>
    </row>
    <row r="328">
      <c r="N328" s="31"/>
      <c r="O328" s="31"/>
    </row>
    <row r="329">
      <c r="N329" s="31"/>
      <c r="O329" s="31"/>
    </row>
    <row r="330">
      <c r="N330" s="31"/>
      <c r="O330" s="31"/>
    </row>
    <row r="331">
      <c r="N331" s="31"/>
      <c r="O331" s="31"/>
    </row>
    <row r="332">
      <c r="N332" s="31"/>
      <c r="O332" s="31"/>
    </row>
    <row r="333">
      <c r="N333" s="31"/>
      <c r="O333" s="31"/>
    </row>
    <row r="334">
      <c r="N334" s="31"/>
      <c r="O334" s="31"/>
    </row>
    <row r="335">
      <c r="N335" s="31"/>
      <c r="O335" s="31"/>
    </row>
    <row r="336">
      <c r="N336" s="31"/>
      <c r="O336" s="31"/>
    </row>
    <row r="337">
      <c r="N337" s="31"/>
      <c r="O337" s="31"/>
    </row>
    <row r="338">
      <c r="N338" s="31"/>
      <c r="O338" s="31"/>
    </row>
    <row r="339">
      <c r="N339" s="31"/>
      <c r="O339" s="31"/>
    </row>
    <row r="340">
      <c r="N340" s="31"/>
      <c r="O340" s="31"/>
    </row>
    <row r="341">
      <c r="N341" s="31"/>
      <c r="O341" s="31"/>
    </row>
    <row r="342">
      <c r="N342" s="31"/>
      <c r="O342" s="31"/>
    </row>
    <row r="343">
      <c r="N343" s="31"/>
      <c r="O343" s="31"/>
    </row>
    <row r="344">
      <c r="N344" s="31"/>
      <c r="O344" s="31"/>
    </row>
    <row r="345">
      <c r="N345" s="31"/>
      <c r="O345" s="31"/>
    </row>
    <row r="346">
      <c r="N346" s="31"/>
      <c r="O346" s="31"/>
    </row>
    <row r="347">
      <c r="N347" s="31"/>
      <c r="O347" s="31"/>
    </row>
    <row r="348">
      <c r="N348" s="31"/>
      <c r="O348" s="31"/>
    </row>
    <row r="349">
      <c r="N349" s="31"/>
      <c r="O349" s="31"/>
    </row>
    <row r="350">
      <c r="N350" s="31"/>
      <c r="O350" s="31"/>
    </row>
    <row r="351">
      <c r="N351" s="31"/>
      <c r="O351" s="31"/>
    </row>
    <row r="352">
      <c r="N352" s="31"/>
      <c r="O352" s="31"/>
    </row>
    <row r="353">
      <c r="N353" s="31"/>
      <c r="O353" s="31"/>
    </row>
    <row r="354">
      <c r="N354" s="31"/>
      <c r="O354" s="31"/>
    </row>
    <row r="355">
      <c r="N355" s="31"/>
      <c r="O355" s="31"/>
    </row>
    <row r="356">
      <c r="N356" s="31"/>
      <c r="O356" s="31"/>
    </row>
    <row r="357">
      <c r="N357" s="31"/>
      <c r="O357" s="31"/>
    </row>
    <row r="358">
      <c r="N358" s="31"/>
      <c r="O358" s="31"/>
    </row>
    <row r="359">
      <c r="N359" s="31"/>
      <c r="O359" s="31"/>
    </row>
    <row r="360">
      <c r="N360" s="31"/>
      <c r="O360" s="31"/>
    </row>
    <row r="361">
      <c r="N361" s="31"/>
      <c r="O361" s="31"/>
    </row>
    <row r="362">
      <c r="N362" s="31"/>
      <c r="O362" s="31"/>
    </row>
    <row r="363">
      <c r="N363" s="31"/>
      <c r="O363" s="31"/>
    </row>
    <row r="364">
      <c r="N364" s="31"/>
      <c r="O364" s="31"/>
    </row>
    <row r="365">
      <c r="N365" s="31"/>
      <c r="O365" s="31"/>
    </row>
    <row r="366">
      <c r="N366" s="31"/>
      <c r="O366" s="31"/>
    </row>
    <row r="367">
      <c r="N367" s="31"/>
      <c r="O367" s="31"/>
    </row>
    <row r="368">
      <c r="N368" s="31"/>
      <c r="O368" s="31"/>
    </row>
    <row r="369">
      <c r="N369" s="31"/>
      <c r="O369" s="31"/>
    </row>
    <row r="370">
      <c r="N370" s="31"/>
      <c r="O370" s="31"/>
    </row>
    <row r="371">
      <c r="N371" s="31"/>
      <c r="O371" s="31"/>
    </row>
    <row r="372">
      <c r="N372" s="31"/>
      <c r="O372" s="31"/>
    </row>
    <row r="373">
      <c r="N373" s="31"/>
      <c r="O373" s="31"/>
    </row>
    <row r="374">
      <c r="N374" s="31"/>
      <c r="O374" s="31"/>
    </row>
    <row r="375">
      <c r="N375" s="31"/>
      <c r="O375" s="31"/>
    </row>
    <row r="376">
      <c r="N376" s="31"/>
      <c r="O376" s="31"/>
    </row>
    <row r="377">
      <c r="N377" s="31"/>
      <c r="O377" s="31"/>
    </row>
    <row r="378">
      <c r="N378" s="31"/>
      <c r="O378" s="31"/>
    </row>
    <row r="379">
      <c r="N379" s="31"/>
      <c r="O379" s="31"/>
    </row>
    <row r="380">
      <c r="N380" s="31"/>
      <c r="O380" s="31"/>
    </row>
    <row r="381">
      <c r="N381" s="31"/>
      <c r="O381" s="31"/>
    </row>
    <row r="382">
      <c r="N382" s="31"/>
      <c r="O382" s="31"/>
    </row>
    <row r="383">
      <c r="N383" s="31"/>
      <c r="O383" s="31"/>
    </row>
    <row r="384">
      <c r="N384" s="31"/>
      <c r="O384" s="31"/>
    </row>
    <row r="385">
      <c r="N385" s="31"/>
      <c r="O385" s="31"/>
    </row>
    <row r="386">
      <c r="N386" s="31"/>
      <c r="O386" s="31"/>
    </row>
    <row r="387">
      <c r="N387" s="31"/>
      <c r="O387" s="31"/>
    </row>
    <row r="388">
      <c r="N388" s="31"/>
      <c r="O388" s="31"/>
    </row>
    <row r="389">
      <c r="N389" s="31"/>
      <c r="O389" s="31"/>
    </row>
    <row r="390">
      <c r="N390" s="31"/>
      <c r="O390" s="31"/>
    </row>
    <row r="391">
      <c r="N391" s="31"/>
      <c r="O391" s="31"/>
    </row>
    <row r="392">
      <c r="N392" s="31"/>
      <c r="O392" s="31"/>
    </row>
    <row r="393">
      <c r="N393" s="31"/>
      <c r="O393" s="31"/>
    </row>
    <row r="394">
      <c r="N394" s="31"/>
      <c r="O394" s="31"/>
    </row>
    <row r="395">
      <c r="N395" s="31"/>
      <c r="O395" s="31"/>
    </row>
    <row r="396">
      <c r="N396" s="31"/>
      <c r="O396" s="31"/>
    </row>
    <row r="397">
      <c r="N397" s="31"/>
      <c r="O397" s="31"/>
    </row>
    <row r="398">
      <c r="N398" s="31"/>
      <c r="O398" s="31"/>
    </row>
    <row r="399">
      <c r="N399" s="31"/>
      <c r="O399" s="31"/>
    </row>
    <row r="400">
      <c r="N400" s="31"/>
      <c r="O400" s="31"/>
    </row>
    <row r="401">
      <c r="N401" s="31"/>
      <c r="O401" s="31"/>
    </row>
    <row r="402">
      <c r="N402" s="31"/>
      <c r="O402" s="31"/>
    </row>
    <row r="403">
      <c r="N403" s="31"/>
      <c r="O403" s="31"/>
    </row>
    <row r="404">
      <c r="N404" s="31"/>
      <c r="O404" s="31"/>
    </row>
    <row r="405">
      <c r="N405" s="31"/>
      <c r="O405" s="31"/>
    </row>
    <row r="406">
      <c r="N406" s="31"/>
      <c r="O406" s="31"/>
    </row>
    <row r="407">
      <c r="N407" s="31"/>
      <c r="O407" s="31"/>
    </row>
    <row r="408">
      <c r="N408" s="31"/>
      <c r="O408" s="31"/>
    </row>
    <row r="409">
      <c r="N409" s="31"/>
      <c r="O409" s="31"/>
    </row>
    <row r="410">
      <c r="N410" s="31"/>
      <c r="O410" s="31"/>
    </row>
    <row r="411">
      <c r="N411" s="31"/>
      <c r="O411" s="31"/>
    </row>
    <row r="412">
      <c r="N412" s="31"/>
      <c r="O412" s="31"/>
    </row>
    <row r="413">
      <c r="N413" s="31"/>
      <c r="O413" s="31"/>
    </row>
    <row r="414">
      <c r="N414" s="31"/>
      <c r="O414" s="31"/>
    </row>
    <row r="415">
      <c r="N415" s="31"/>
      <c r="O415" s="31"/>
    </row>
    <row r="416">
      <c r="N416" s="31"/>
      <c r="O416" s="31"/>
    </row>
    <row r="417">
      <c r="N417" s="31"/>
      <c r="O417" s="31"/>
    </row>
    <row r="418">
      <c r="N418" s="31"/>
      <c r="O418" s="31"/>
    </row>
    <row r="419">
      <c r="N419" s="31"/>
      <c r="O419" s="31"/>
    </row>
    <row r="420">
      <c r="N420" s="31"/>
      <c r="O420" s="31"/>
    </row>
    <row r="421">
      <c r="N421" s="31"/>
      <c r="O421" s="31"/>
    </row>
    <row r="422">
      <c r="N422" s="31"/>
      <c r="O422" s="31"/>
    </row>
    <row r="423">
      <c r="N423" s="31"/>
      <c r="O423" s="31"/>
    </row>
    <row r="424">
      <c r="N424" s="31"/>
      <c r="O424" s="31"/>
    </row>
    <row r="425">
      <c r="N425" s="31"/>
      <c r="O425" s="31"/>
    </row>
    <row r="426">
      <c r="N426" s="31"/>
      <c r="O426" s="31"/>
    </row>
    <row r="427">
      <c r="N427" s="31"/>
      <c r="O427" s="31"/>
    </row>
    <row r="428">
      <c r="N428" s="31"/>
      <c r="O428" s="31"/>
    </row>
    <row r="429">
      <c r="N429" s="31"/>
      <c r="O429" s="31"/>
    </row>
    <row r="430">
      <c r="N430" s="31"/>
      <c r="O430" s="31"/>
    </row>
    <row r="431">
      <c r="N431" s="31"/>
      <c r="O431" s="31"/>
    </row>
    <row r="432">
      <c r="N432" s="31"/>
      <c r="O432" s="31"/>
    </row>
    <row r="433">
      <c r="N433" s="31"/>
      <c r="O433" s="31"/>
    </row>
    <row r="434">
      <c r="N434" s="31"/>
      <c r="O434" s="31"/>
    </row>
    <row r="435">
      <c r="N435" s="31"/>
      <c r="O435" s="31"/>
    </row>
    <row r="436">
      <c r="N436" s="31"/>
      <c r="O436" s="31"/>
    </row>
    <row r="437">
      <c r="N437" s="31"/>
      <c r="O437" s="31"/>
    </row>
    <row r="438">
      <c r="N438" s="31"/>
      <c r="O438" s="31"/>
    </row>
    <row r="439">
      <c r="N439" s="31"/>
      <c r="O439" s="31"/>
    </row>
    <row r="440">
      <c r="N440" s="31"/>
      <c r="O440" s="31"/>
    </row>
    <row r="441">
      <c r="N441" s="31"/>
      <c r="O441" s="31"/>
    </row>
    <row r="442">
      <c r="N442" s="31"/>
      <c r="O442" s="31"/>
    </row>
    <row r="443">
      <c r="N443" s="31"/>
      <c r="O443" s="31"/>
    </row>
    <row r="444">
      <c r="N444" s="31"/>
      <c r="O444" s="31"/>
    </row>
    <row r="445">
      <c r="N445" s="31"/>
      <c r="O445" s="31"/>
    </row>
    <row r="446">
      <c r="N446" s="31"/>
      <c r="O446" s="31"/>
    </row>
    <row r="447">
      <c r="N447" s="31"/>
      <c r="O447" s="31"/>
    </row>
    <row r="448">
      <c r="N448" s="31"/>
      <c r="O448" s="31"/>
    </row>
    <row r="449">
      <c r="N449" s="31"/>
      <c r="O449" s="31"/>
    </row>
    <row r="450">
      <c r="N450" s="31"/>
      <c r="O450" s="31"/>
    </row>
    <row r="451">
      <c r="N451" s="31"/>
      <c r="O451" s="31"/>
    </row>
    <row r="452">
      <c r="N452" s="31"/>
      <c r="O452" s="31"/>
    </row>
    <row r="453">
      <c r="N453" s="31"/>
      <c r="O453" s="31"/>
    </row>
    <row r="454">
      <c r="N454" s="31"/>
      <c r="O454" s="31"/>
    </row>
    <row r="455">
      <c r="N455" s="31"/>
      <c r="O455" s="31"/>
    </row>
    <row r="456">
      <c r="N456" s="31"/>
      <c r="O456" s="31"/>
    </row>
    <row r="457">
      <c r="N457" s="31"/>
      <c r="O457" s="31"/>
    </row>
    <row r="458">
      <c r="N458" s="31"/>
      <c r="O458" s="31"/>
    </row>
    <row r="459">
      <c r="N459" s="31"/>
      <c r="O459" s="31"/>
    </row>
    <row r="460">
      <c r="N460" s="31"/>
      <c r="O460" s="31"/>
    </row>
    <row r="461">
      <c r="N461" s="31"/>
      <c r="O461" s="31"/>
    </row>
    <row r="462">
      <c r="N462" s="31"/>
      <c r="O462" s="31"/>
    </row>
    <row r="463">
      <c r="N463" s="31"/>
      <c r="O463" s="31"/>
    </row>
    <row r="464">
      <c r="N464" s="31"/>
      <c r="O464" s="31"/>
    </row>
    <row r="465">
      <c r="N465" s="31"/>
      <c r="O465" s="31"/>
    </row>
    <row r="466">
      <c r="N466" s="31"/>
      <c r="O466" s="31"/>
    </row>
    <row r="467">
      <c r="N467" s="31"/>
      <c r="O467" s="31"/>
    </row>
    <row r="468">
      <c r="N468" s="31"/>
      <c r="O468" s="31"/>
    </row>
    <row r="469">
      <c r="N469" s="31"/>
      <c r="O469" s="31"/>
    </row>
    <row r="470">
      <c r="N470" s="31"/>
      <c r="O470" s="31"/>
    </row>
    <row r="471">
      <c r="N471" s="31"/>
      <c r="O471" s="31"/>
    </row>
    <row r="472">
      <c r="N472" s="31"/>
      <c r="O472" s="31"/>
    </row>
    <row r="473">
      <c r="N473" s="31"/>
      <c r="O473" s="31"/>
    </row>
    <row r="474">
      <c r="N474" s="31"/>
      <c r="O474" s="31"/>
    </row>
    <row r="475">
      <c r="N475" s="31"/>
      <c r="O475" s="31"/>
    </row>
    <row r="476">
      <c r="N476" s="31"/>
      <c r="O476" s="31"/>
    </row>
    <row r="477">
      <c r="N477" s="31"/>
      <c r="O477" s="31"/>
    </row>
    <row r="478">
      <c r="N478" s="31"/>
      <c r="O478" s="31"/>
    </row>
    <row r="479">
      <c r="N479" s="31"/>
      <c r="O479" s="31"/>
    </row>
    <row r="480">
      <c r="N480" s="31"/>
      <c r="O480" s="31"/>
    </row>
    <row r="481">
      <c r="N481" s="31"/>
      <c r="O481" s="31"/>
    </row>
    <row r="482">
      <c r="N482" s="31"/>
      <c r="O482" s="31"/>
    </row>
    <row r="483">
      <c r="N483" s="31"/>
      <c r="O483" s="31"/>
    </row>
    <row r="484">
      <c r="N484" s="31"/>
      <c r="O484" s="31"/>
    </row>
    <row r="485">
      <c r="N485" s="31"/>
      <c r="O485" s="31"/>
    </row>
    <row r="486">
      <c r="N486" s="31"/>
      <c r="O486" s="31"/>
    </row>
    <row r="487">
      <c r="N487" s="31"/>
      <c r="O487" s="31"/>
    </row>
    <row r="488">
      <c r="N488" s="31"/>
      <c r="O488" s="31"/>
    </row>
    <row r="489">
      <c r="N489" s="31"/>
      <c r="O489" s="31"/>
    </row>
    <row r="490">
      <c r="N490" s="31"/>
      <c r="O490" s="31"/>
    </row>
    <row r="491">
      <c r="N491" s="31"/>
      <c r="O491" s="31"/>
    </row>
    <row r="492">
      <c r="N492" s="31"/>
      <c r="O492" s="31"/>
    </row>
    <row r="493">
      <c r="N493" s="31"/>
      <c r="O493" s="31"/>
    </row>
    <row r="494">
      <c r="N494" s="31"/>
      <c r="O494" s="31"/>
    </row>
    <row r="495">
      <c r="N495" s="31"/>
      <c r="O495" s="31"/>
    </row>
    <row r="496">
      <c r="N496" s="31"/>
      <c r="O496" s="31"/>
    </row>
    <row r="497">
      <c r="N497" s="31"/>
      <c r="O497" s="31"/>
    </row>
    <row r="498">
      <c r="N498" s="31"/>
      <c r="O498" s="31"/>
    </row>
    <row r="499">
      <c r="N499" s="31"/>
      <c r="O499" s="31"/>
    </row>
    <row r="500">
      <c r="N500" s="31"/>
      <c r="O500" s="31"/>
    </row>
    <row r="501">
      <c r="N501" s="31"/>
      <c r="O501" s="31"/>
    </row>
    <row r="502">
      <c r="N502" s="31"/>
      <c r="O502" s="31"/>
    </row>
    <row r="503">
      <c r="N503" s="31"/>
      <c r="O503" s="31"/>
    </row>
    <row r="504">
      <c r="N504" s="31"/>
      <c r="O504" s="31"/>
    </row>
    <row r="505">
      <c r="N505" s="31"/>
      <c r="O505" s="31"/>
    </row>
    <row r="506">
      <c r="N506" s="31"/>
      <c r="O506" s="31"/>
    </row>
    <row r="507">
      <c r="N507" s="31"/>
      <c r="O507" s="31"/>
    </row>
    <row r="508">
      <c r="N508" s="31"/>
      <c r="O508" s="31"/>
    </row>
    <row r="509">
      <c r="N509" s="31"/>
      <c r="O509" s="31"/>
    </row>
    <row r="510">
      <c r="N510" s="31"/>
      <c r="O510" s="31"/>
    </row>
    <row r="511">
      <c r="N511" s="31"/>
      <c r="O511" s="31"/>
    </row>
    <row r="512">
      <c r="N512" s="31"/>
      <c r="O512" s="31"/>
    </row>
    <row r="513">
      <c r="N513" s="31"/>
      <c r="O513" s="31"/>
    </row>
    <row r="514">
      <c r="N514" s="31"/>
      <c r="O514" s="31"/>
    </row>
    <row r="515">
      <c r="N515" s="31"/>
      <c r="O515" s="31"/>
    </row>
    <row r="516">
      <c r="N516" s="31"/>
      <c r="O516" s="31"/>
    </row>
    <row r="517">
      <c r="N517" s="31"/>
      <c r="O517" s="31"/>
    </row>
    <row r="518">
      <c r="N518" s="31"/>
      <c r="O518" s="31"/>
    </row>
    <row r="519">
      <c r="N519" s="31"/>
      <c r="O519" s="31"/>
    </row>
    <row r="520">
      <c r="N520" s="31"/>
      <c r="O520" s="31"/>
    </row>
    <row r="521">
      <c r="N521" s="31"/>
      <c r="O521" s="31"/>
    </row>
    <row r="522">
      <c r="N522" s="31"/>
      <c r="O522" s="31"/>
    </row>
    <row r="523">
      <c r="N523" s="31"/>
      <c r="O523" s="31"/>
    </row>
    <row r="524">
      <c r="N524" s="31"/>
      <c r="O524" s="31"/>
    </row>
    <row r="525">
      <c r="N525" s="31"/>
      <c r="O525" s="31"/>
    </row>
    <row r="526">
      <c r="N526" s="31"/>
      <c r="O526" s="31"/>
    </row>
    <row r="527">
      <c r="N527" s="31"/>
      <c r="O527" s="31"/>
    </row>
    <row r="528">
      <c r="N528" s="31"/>
      <c r="O528" s="31"/>
    </row>
    <row r="529">
      <c r="N529" s="31"/>
      <c r="O529" s="31"/>
    </row>
    <row r="530">
      <c r="N530" s="31"/>
      <c r="O530" s="31"/>
    </row>
    <row r="531">
      <c r="N531" s="31"/>
      <c r="O531" s="31"/>
    </row>
    <row r="532">
      <c r="N532" s="31"/>
      <c r="O532" s="31"/>
    </row>
    <row r="533">
      <c r="N533" s="31"/>
      <c r="O533" s="31"/>
    </row>
    <row r="534">
      <c r="N534" s="31"/>
      <c r="O534" s="31"/>
    </row>
    <row r="535">
      <c r="N535" s="31"/>
      <c r="O535" s="31"/>
    </row>
    <row r="536">
      <c r="N536" s="31"/>
      <c r="O536" s="31"/>
    </row>
    <row r="537">
      <c r="N537" s="31"/>
      <c r="O537" s="31"/>
    </row>
    <row r="538">
      <c r="N538" s="31"/>
      <c r="O538" s="31"/>
    </row>
    <row r="539">
      <c r="N539" s="31"/>
      <c r="O539" s="31"/>
    </row>
    <row r="540">
      <c r="N540" s="31"/>
      <c r="O540" s="31"/>
    </row>
    <row r="541">
      <c r="N541" s="31"/>
      <c r="O541" s="31"/>
    </row>
    <row r="542">
      <c r="N542" s="31"/>
      <c r="O542" s="31"/>
    </row>
    <row r="543">
      <c r="N543" s="31"/>
      <c r="O543" s="31"/>
    </row>
    <row r="544">
      <c r="N544" s="31"/>
      <c r="O544" s="31"/>
    </row>
    <row r="545">
      <c r="N545" s="31"/>
      <c r="O545" s="31"/>
    </row>
    <row r="546">
      <c r="N546" s="31"/>
      <c r="O546" s="31"/>
    </row>
    <row r="547">
      <c r="N547" s="31"/>
      <c r="O547" s="31"/>
    </row>
    <row r="548">
      <c r="N548" s="31"/>
      <c r="O548" s="31"/>
    </row>
    <row r="549">
      <c r="N549" s="31"/>
      <c r="O549" s="31"/>
    </row>
    <row r="550">
      <c r="N550" s="31"/>
      <c r="O550" s="31"/>
    </row>
    <row r="551">
      <c r="N551" s="31"/>
      <c r="O551" s="31"/>
    </row>
    <row r="552">
      <c r="N552" s="31"/>
      <c r="O552" s="31"/>
    </row>
    <row r="553">
      <c r="N553" s="31"/>
      <c r="O553" s="31"/>
    </row>
    <row r="554">
      <c r="N554" s="31"/>
      <c r="O554" s="31"/>
    </row>
    <row r="555">
      <c r="N555" s="31"/>
      <c r="O555" s="31"/>
    </row>
    <row r="556">
      <c r="N556" s="31"/>
      <c r="O556" s="31"/>
    </row>
    <row r="557">
      <c r="N557" s="31"/>
      <c r="O557" s="31"/>
    </row>
    <row r="558">
      <c r="N558" s="31"/>
      <c r="O558" s="31"/>
    </row>
    <row r="559">
      <c r="N559" s="31"/>
      <c r="O559" s="31"/>
    </row>
    <row r="560">
      <c r="N560" s="31"/>
      <c r="O560" s="31"/>
    </row>
    <row r="561">
      <c r="N561" s="31"/>
      <c r="O561" s="31"/>
    </row>
    <row r="562">
      <c r="N562" s="31"/>
      <c r="O562" s="31"/>
    </row>
    <row r="563">
      <c r="N563" s="31"/>
      <c r="O563" s="31"/>
    </row>
    <row r="564">
      <c r="N564" s="31"/>
      <c r="O564" s="31"/>
    </row>
    <row r="565">
      <c r="N565" s="31"/>
      <c r="O565" s="31"/>
    </row>
    <row r="566">
      <c r="N566" s="31"/>
      <c r="O566" s="31"/>
    </row>
    <row r="567">
      <c r="N567" s="31"/>
      <c r="O567" s="31"/>
    </row>
    <row r="568">
      <c r="N568" s="31"/>
      <c r="O568" s="31"/>
    </row>
    <row r="569">
      <c r="N569" s="31"/>
      <c r="O569" s="31"/>
    </row>
    <row r="570">
      <c r="N570" s="31"/>
      <c r="O570" s="31"/>
    </row>
    <row r="571">
      <c r="N571" s="31"/>
      <c r="O571" s="31"/>
    </row>
    <row r="572">
      <c r="N572" s="31"/>
      <c r="O572" s="31"/>
    </row>
    <row r="573">
      <c r="N573" s="31"/>
      <c r="O573" s="31"/>
    </row>
    <row r="574">
      <c r="N574" s="31"/>
      <c r="O574" s="31"/>
    </row>
    <row r="575">
      <c r="N575" s="31"/>
      <c r="O575" s="31"/>
    </row>
    <row r="576">
      <c r="N576" s="31"/>
      <c r="O576" s="31"/>
    </row>
    <row r="577">
      <c r="N577" s="31"/>
      <c r="O577" s="31"/>
    </row>
    <row r="578">
      <c r="N578" s="31"/>
      <c r="O578" s="31"/>
    </row>
    <row r="579">
      <c r="N579" s="31"/>
      <c r="O579" s="31"/>
    </row>
    <row r="580">
      <c r="N580" s="31"/>
      <c r="O580" s="31"/>
    </row>
    <row r="581">
      <c r="N581" s="31"/>
      <c r="O581" s="31"/>
    </row>
    <row r="582">
      <c r="N582" s="31"/>
      <c r="O582" s="31"/>
    </row>
    <row r="583">
      <c r="N583" s="31"/>
      <c r="O583" s="31"/>
    </row>
    <row r="584">
      <c r="N584" s="31"/>
      <c r="O584" s="31"/>
    </row>
    <row r="585">
      <c r="N585" s="31"/>
      <c r="O585" s="31"/>
    </row>
    <row r="586">
      <c r="N586" s="31"/>
      <c r="O586" s="31"/>
    </row>
    <row r="587">
      <c r="N587" s="31"/>
      <c r="O587" s="31"/>
    </row>
    <row r="588">
      <c r="N588" s="31"/>
      <c r="O588" s="31"/>
    </row>
    <row r="589">
      <c r="N589" s="31"/>
      <c r="O589" s="31"/>
    </row>
    <row r="590">
      <c r="N590" s="31"/>
      <c r="O590" s="31"/>
    </row>
    <row r="591">
      <c r="N591" s="31"/>
      <c r="O591" s="31"/>
    </row>
    <row r="592">
      <c r="N592" s="31"/>
      <c r="O592" s="31"/>
    </row>
    <row r="593">
      <c r="N593" s="31"/>
      <c r="O593" s="31"/>
    </row>
    <row r="594">
      <c r="N594" s="31"/>
      <c r="O594" s="31"/>
    </row>
    <row r="595">
      <c r="N595" s="31"/>
      <c r="O595" s="31"/>
    </row>
    <row r="596">
      <c r="N596" s="31"/>
      <c r="O596" s="31"/>
    </row>
    <row r="597">
      <c r="N597" s="31"/>
      <c r="O597" s="31"/>
    </row>
    <row r="598">
      <c r="N598" s="31"/>
      <c r="O598" s="31"/>
    </row>
    <row r="599">
      <c r="N599" s="31"/>
      <c r="O599" s="31"/>
    </row>
    <row r="600">
      <c r="N600" s="31"/>
      <c r="O600" s="31"/>
    </row>
    <row r="601">
      <c r="N601" s="31"/>
      <c r="O601" s="31"/>
    </row>
    <row r="602">
      <c r="N602" s="31"/>
      <c r="O602" s="31"/>
    </row>
    <row r="603">
      <c r="N603" s="31"/>
      <c r="O603" s="31"/>
    </row>
    <row r="604">
      <c r="N604" s="31"/>
      <c r="O604" s="31"/>
    </row>
    <row r="605">
      <c r="N605" s="31"/>
      <c r="O605" s="31"/>
    </row>
    <row r="606">
      <c r="N606" s="31"/>
      <c r="O606" s="31"/>
    </row>
    <row r="607">
      <c r="N607" s="31"/>
      <c r="O607" s="31"/>
    </row>
    <row r="608">
      <c r="N608" s="31"/>
      <c r="O608" s="31"/>
    </row>
    <row r="609">
      <c r="N609" s="31"/>
      <c r="O609" s="31"/>
    </row>
    <row r="610">
      <c r="N610" s="31"/>
      <c r="O610" s="31"/>
    </row>
    <row r="611">
      <c r="N611" s="31"/>
      <c r="O611" s="31"/>
    </row>
    <row r="612">
      <c r="N612" s="31"/>
      <c r="O612" s="31"/>
    </row>
    <row r="613">
      <c r="N613" s="31"/>
      <c r="O613" s="31"/>
    </row>
    <row r="614">
      <c r="N614" s="31"/>
      <c r="O614" s="31"/>
    </row>
    <row r="615">
      <c r="N615" s="31"/>
      <c r="O615" s="31"/>
    </row>
    <row r="616">
      <c r="N616" s="31"/>
      <c r="O616" s="31"/>
    </row>
    <row r="617">
      <c r="N617" s="31"/>
      <c r="O617" s="31"/>
    </row>
    <row r="618">
      <c r="N618" s="31"/>
      <c r="O618" s="31"/>
    </row>
    <row r="619">
      <c r="N619" s="31"/>
      <c r="O619" s="31"/>
    </row>
    <row r="620">
      <c r="N620" s="31"/>
      <c r="O620" s="31"/>
    </row>
    <row r="621">
      <c r="N621" s="31"/>
      <c r="O621" s="31"/>
    </row>
    <row r="622">
      <c r="N622" s="31"/>
      <c r="O622" s="31"/>
    </row>
    <row r="623">
      <c r="N623" s="31"/>
      <c r="O623" s="31"/>
    </row>
    <row r="624">
      <c r="N624" s="31"/>
      <c r="O624" s="31"/>
    </row>
    <row r="625">
      <c r="N625" s="31"/>
      <c r="O625" s="31"/>
    </row>
    <row r="626">
      <c r="N626" s="31"/>
      <c r="O626" s="31"/>
    </row>
    <row r="627">
      <c r="N627" s="31"/>
      <c r="O627" s="31"/>
    </row>
    <row r="628">
      <c r="N628" s="31"/>
      <c r="O628" s="31"/>
    </row>
    <row r="629">
      <c r="N629" s="31"/>
      <c r="O629" s="31"/>
    </row>
    <row r="630">
      <c r="N630" s="31"/>
      <c r="O630" s="31"/>
    </row>
    <row r="631">
      <c r="N631" s="31"/>
      <c r="O631" s="31"/>
    </row>
    <row r="632">
      <c r="N632" s="31"/>
      <c r="O632" s="31"/>
    </row>
    <row r="633">
      <c r="N633" s="31"/>
      <c r="O633" s="31"/>
    </row>
    <row r="634">
      <c r="N634" s="31"/>
      <c r="O634" s="31"/>
    </row>
    <row r="635">
      <c r="N635" s="31"/>
      <c r="O635" s="31"/>
    </row>
    <row r="636">
      <c r="N636" s="31"/>
      <c r="O636" s="31"/>
    </row>
    <row r="637">
      <c r="N637" s="31"/>
      <c r="O637" s="31"/>
    </row>
    <row r="638">
      <c r="N638" s="31"/>
      <c r="O638" s="31"/>
    </row>
    <row r="639">
      <c r="N639" s="31"/>
      <c r="O639" s="31"/>
    </row>
    <row r="640">
      <c r="N640" s="31"/>
      <c r="O640" s="31"/>
    </row>
    <row r="641">
      <c r="N641" s="31"/>
      <c r="O641" s="31"/>
    </row>
    <row r="642">
      <c r="N642" s="31"/>
      <c r="O642" s="31"/>
    </row>
    <row r="643">
      <c r="N643" s="31"/>
      <c r="O643" s="31"/>
    </row>
    <row r="644">
      <c r="N644" s="31"/>
      <c r="O644" s="31"/>
    </row>
    <row r="645">
      <c r="N645" s="31"/>
      <c r="O645" s="31"/>
    </row>
    <row r="646">
      <c r="N646" s="31"/>
      <c r="O646" s="31"/>
    </row>
    <row r="647">
      <c r="N647" s="31"/>
      <c r="O647" s="31"/>
    </row>
    <row r="648">
      <c r="N648" s="31"/>
      <c r="O648" s="31"/>
    </row>
    <row r="649">
      <c r="N649" s="31"/>
      <c r="O649" s="31"/>
    </row>
    <row r="650">
      <c r="N650" s="31"/>
      <c r="O650" s="31"/>
    </row>
    <row r="651">
      <c r="N651" s="31"/>
      <c r="O651" s="31"/>
    </row>
    <row r="652">
      <c r="N652" s="31"/>
      <c r="O652" s="31"/>
    </row>
    <row r="653">
      <c r="N653" s="31"/>
      <c r="O653" s="31"/>
    </row>
    <row r="654">
      <c r="N654" s="31"/>
      <c r="O654" s="31"/>
    </row>
    <row r="655">
      <c r="N655" s="31"/>
      <c r="O655" s="31"/>
    </row>
    <row r="656">
      <c r="N656" s="31"/>
      <c r="O656" s="31"/>
    </row>
    <row r="657">
      <c r="N657" s="31"/>
      <c r="O657" s="31"/>
    </row>
    <row r="658">
      <c r="N658" s="31"/>
      <c r="O658" s="31"/>
    </row>
    <row r="659">
      <c r="N659" s="31"/>
      <c r="O659" s="31"/>
    </row>
    <row r="660">
      <c r="N660" s="31"/>
      <c r="O660" s="31"/>
    </row>
    <row r="661">
      <c r="N661" s="31"/>
      <c r="O661" s="31"/>
    </row>
    <row r="662">
      <c r="N662" s="31"/>
      <c r="O662" s="31"/>
    </row>
    <row r="663">
      <c r="N663" s="31"/>
      <c r="O663" s="31"/>
    </row>
    <row r="664">
      <c r="N664" s="31"/>
      <c r="O664" s="31"/>
    </row>
    <row r="665">
      <c r="N665" s="31"/>
      <c r="O665" s="31"/>
    </row>
    <row r="666">
      <c r="N666" s="31"/>
      <c r="O666" s="31"/>
    </row>
    <row r="667">
      <c r="N667" s="31"/>
      <c r="O667" s="31"/>
    </row>
    <row r="668">
      <c r="N668" s="31"/>
      <c r="O668" s="31"/>
    </row>
    <row r="669">
      <c r="N669" s="31"/>
      <c r="O669" s="31"/>
    </row>
    <row r="670">
      <c r="N670" s="31"/>
      <c r="O670" s="31"/>
    </row>
    <row r="671">
      <c r="N671" s="31"/>
      <c r="O671" s="31"/>
    </row>
    <row r="672">
      <c r="N672" s="31"/>
      <c r="O672" s="31"/>
    </row>
    <row r="673">
      <c r="N673" s="31"/>
      <c r="O673" s="31"/>
    </row>
    <row r="674">
      <c r="N674" s="31"/>
      <c r="O674" s="31"/>
    </row>
    <row r="675">
      <c r="N675" s="31"/>
      <c r="O675" s="31"/>
    </row>
    <row r="676">
      <c r="N676" s="31"/>
      <c r="O676" s="31"/>
    </row>
    <row r="677">
      <c r="N677" s="31"/>
      <c r="O677" s="31"/>
    </row>
    <row r="678">
      <c r="N678" s="31"/>
      <c r="O678" s="31"/>
    </row>
    <row r="679">
      <c r="N679" s="31"/>
      <c r="O679" s="31"/>
    </row>
    <row r="680">
      <c r="N680" s="31"/>
      <c r="O680" s="31"/>
    </row>
    <row r="681">
      <c r="N681" s="31"/>
      <c r="O681" s="31"/>
    </row>
    <row r="682">
      <c r="N682" s="31"/>
      <c r="O682" s="31"/>
    </row>
    <row r="683">
      <c r="N683" s="31"/>
      <c r="O683" s="31"/>
    </row>
    <row r="684">
      <c r="N684" s="31"/>
      <c r="O684" s="31"/>
    </row>
    <row r="685">
      <c r="N685" s="31"/>
      <c r="O685" s="31"/>
    </row>
    <row r="686">
      <c r="N686" s="31"/>
      <c r="O686" s="31"/>
    </row>
    <row r="687">
      <c r="N687" s="31"/>
      <c r="O687" s="31"/>
    </row>
    <row r="688">
      <c r="N688" s="31"/>
      <c r="O688" s="31"/>
    </row>
    <row r="689">
      <c r="N689" s="31"/>
      <c r="O689" s="31"/>
    </row>
    <row r="690">
      <c r="N690" s="31"/>
      <c r="O690" s="31"/>
    </row>
    <row r="691">
      <c r="N691" s="31"/>
      <c r="O691" s="31"/>
    </row>
    <row r="692">
      <c r="N692" s="31"/>
      <c r="O692" s="31"/>
    </row>
    <row r="693">
      <c r="N693" s="31"/>
      <c r="O693" s="31"/>
    </row>
    <row r="694">
      <c r="N694" s="31"/>
      <c r="O694" s="31"/>
    </row>
    <row r="695">
      <c r="N695" s="31"/>
      <c r="O695" s="31"/>
    </row>
    <row r="696">
      <c r="N696" s="31"/>
      <c r="O696" s="31"/>
    </row>
    <row r="697">
      <c r="N697" s="31"/>
      <c r="O697" s="31"/>
    </row>
    <row r="698">
      <c r="N698" s="31"/>
      <c r="O698" s="31"/>
    </row>
    <row r="699">
      <c r="N699" s="31"/>
      <c r="O699" s="31"/>
    </row>
    <row r="700">
      <c r="N700" s="31"/>
      <c r="O700" s="31"/>
    </row>
    <row r="701">
      <c r="N701" s="31"/>
      <c r="O701" s="31"/>
    </row>
    <row r="702">
      <c r="N702" s="31"/>
      <c r="O702" s="31"/>
    </row>
    <row r="703">
      <c r="N703" s="31"/>
      <c r="O703" s="31"/>
    </row>
    <row r="704">
      <c r="N704" s="31"/>
      <c r="O704" s="31"/>
    </row>
    <row r="705">
      <c r="N705" s="31"/>
      <c r="O705" s="31"/>
    </row>
    <row r="706">
      <c r="N706" s="31"/>
      <c r="O706" s="31"/>
    </row>
    <row r="707">
      <c r="N707" s="31"/>
      <c r="O707" s="31"/>
    </row>
    <row r="708">
      <c r="N708" s="31"/>
      <c r="O708" s="31"/>
    </row>
    <row r="709">
      <c r="N709" s="31"/>
      <c r="O709" s="31"/>
    </row>
    <row r="710">
      <c r="N710" s="31"/>
      <c r="O710" s="31"/>
    </row>
    <row r="711">
      <c r="N711" s="31"/>
      <c r="O711" s="31"/>
    </row>
    <row r="712">
      <c r="N712" s="31"/>
      <c r="O712" s="31"/>
    </row>
    <row r="713">
      <c r="N713" s="31"/>
      <c r="O713" s="31"/>
    </row>
    <row r="714">
      <c r="N714" s="31"/>
      <c r="O714" s="31"/>
    </row>
    <row r="715">
      <c r="N715" s="31"/>
      <c r="O715" s="31"/>
    </row>
    <row r="716">
      <c r="N716" s="31"/>
      <c r="O716" s="31"/>
    </row>
    <row r="717">
      <c r="N717" s="31"/>
      <c r="O717" s="31"/>
    </row>
    <row r="718">
      <c r="N718" s="31"/>
      <c r="O718" s="31"/>
    </row>
    <row r="719">
      <c r="N719" s="31"/>
      <c r="O719" s="31"/>
    </row>
    <row r="720">
      <c r="N720" s="31"/>
      <c r="O720" s="31"/>
    </row>
    <row r="721">
      <c r="N721" s="31"/>
      <c r="O721" s="31"/>
    </row>
    <row r="722">
      <c r="N722" s="31"/>
      <c r="O722" s="31"/>
    </row>
    <row r="723">
      <c r="N723" s="31"/>
      <c r="O723" s="31"/>
    </row>
    <row r="724">
      <c r="N724" s="31"/>
      <c r="O724" s="31"/>
    </row>
    <row r="725">
      <c r="N725" s="31"/>
      <c r="O725" s="31"/>
    </row>
    <row r="726">
      <c r="N726" s="31"/>
      <c r="O726" s="31"/>
    </row>
    <row r="727">
      <c r="N727" s="31"/>
      <c r="O727" s="31"/>
    </row>
    <row r="728">
      <c r="N728" s="31"/>
      <c r="O728" s="31"/>
    </row>
    <row r="729">
      <c r="N729" s="31"/>
      <c r="O729" s="31"/>
    </row>
    <row r="730">
      <c r="N730" s="31"/>
      <c r="O730" s="31"/>
    </row>
    <row r="731">
      <c r="N731" s="31"/>
      <c r="O731" s="31"/>
    </row>
    <row r="732">
      <c r="N732" s="31"/>
      <c r="O732" s="31"/>
    </row>
    <row r="733">
      <c r="N733" s="31"/>
      <c r="O733" s="31"/>
    </row>
    <row r="734">
      <c r="N734" s="31"/>
      <c r="O734" s="31"/>
    </row>
    <row r="735">
      <c r="N735" s="31"/>
      <c r="O735" s="31"/>
    </row>
    <row r="736">
      <c r="N736" s="31"/>
      <c r="O736" s="31"/>
    </row>
    <row r="737">
      <c r="N737" s="31"/>
      <c r="O737" s="31"/>
    </row>
    <row r="738">
      <c r="N738" s="31"/>
      <c r="O738" s="31"/>
    </row>
    <row r="739">
      <c r="N739" s="31"/>
      <c r="O739" s="31"/>
    </row>
    <row r="740">
      <c r="N740" s="31"/>
      <c r="O740" s="31"/>
    </row>
    <row r="741">
      <c r="N741" s="31"/>
      <c r="O741" s="31"/>
    </row>
    <row r="742">
      <c r="N742" s="31"/>
      <c r="O742" s="31"/>
    </row>
    <row r="743">
      <c r="N743" s="31"/>
      <c r="O743" s="31"/>
    </row>
    <row r="744">
      <c r="N744" s="31"/>
      <c r="O744" s="31"/>
    </row>
    <row r="745">
      <c r="N745" s="31"/>
      <c r="O745" s="31"/>
    </row>
    <row r="746">
      <c r="N746" s="31"/>
      <c r="O746" s="31"/>
    </row>
    <row r="747">
      <c r="N747" s="31"/>
      <c r="O747" s="31"/>
    </row>
    <row r="748">
      <c r="N748" s="31"/>
      <c r="O748" s="31"/>
    </row>
    <row r="749">
      <c r="N749" s="31"/>
      <c r="O749" s="31"/>
    </row>
    <row r="750">
      <c r="N750" s="31"/>
      <c r="O750" s="31"/>
    </row>
    <row r="751">
      <c r="N751" s="31"/>
      <c r="O751" s="31"/>
    </row>
    <row r="752">
      <c r="N752" s="31"/>
      <c r="O752" s="31"/>
    </row>
    <row r="753">
      <c r="N753" s="31"/>
      <c r="O753" s="31"/>
    </row>
    <row r="754">
      <c r="N754" s="31"/>
      <c r="O754" s="31"/>
    </row>
    <row r="755">
      <c r="N755" s="31"/>
      <c r="O755" s="31"/>
    </row>
    <row r="756">
      <c r="N756" s="31"/>
      <c r="O756" s="31"/>
    </row>
    <row r="757">
      <c r="N757" s="31"/>
      <c r="O757" s="31"/>
    </row>
    <row r="758">
      <c r="N758" s="31"/>
      <c r="O758" s="31"/>
    </row>
    <row r="759">
      <c r="N759" s="31"/>
      <c r="O759" s="31"/>
    </row>
    <row r="760">
      <c r="N760" s="31"/>
      <c r="O760" s="31"/>
    </row>
    <row r="761">
      <c r="N761" s="31"/>
      <c r="O761" s="31"/>
    </row>
    <row r="762">
      <c r="N762" s="31"/>
      <c r="O762" s="31"/>
    </row>
    <row r="763">
      <c r="N763" s="31"/>
      <c r="O763" s="31"/>
    </row>
    <row r="764">
      <c r="N764" s="31"/>
      <c r="O764" s="31"/>
    </row>
    <row r="765">
      <c r="N765" s="31"/>
      <c r="O765" s="31"/>
    </row>
    <row r="766">
      <c r="N766" s="31"/>
      <c r="O766" s="31"/>
    </row>
    <row r="767">
      <c r="N767" s="31"/>
      <c r="O767" s="31"/>
    </row>
    <row r="768">
      <c r="N768" s="31"/>
      <c r="O768" s="31"/>
    </row>
    <row r="769">
      <c r="N769" s="31"/>
      <c r="O769" s="31"/>
    </row>
    <row r="770">
      <c r="N770" s="31"/>
      <c r="O770" s="31"/>
    </row>
    <row r="771">
      <c r="N771" s="31"/>
      <c r="O771" s="31"/>
    </row>
    <row r="772">
      <c r="N772" s="31"/>
      <c r="O772" s="31"/>
    </row>
    <row r="773">
      <c r="N773" s="31"/>
      <c r="O773" s="31"/>
    </row>
    <row r="774">
      <c r="N774" s="31"/>
      <c r="O774" s="31"/>
    </row>
    <row r="775">
      <c r="N775" s="31"/>
      <c r="O775" s="31"/>
    </row>
    <row r="776">
      <c r="N776" s="31"/>
      <c r="O776" s="31"/>
    </row>
    <row r="777">
      <c r="N777" s="31"/>
      <c r="O777" s="31"/>
    </row>
    <row r="778">
      <c r="N778" s="31"/>
      <c r="O778" s="31"/>
    </row>
    <row r="779">
      <c r="N779" s="31"/>
      <c r="O779" s="31"/>
    </row>
    <row r="780">
      <c r="N780" s="31"/>
      <c r="O780" s="31"/>
    </row>
    <row r="781">
      <c r="N781" s="31"/>
      <c r="O781" s="31"/>
    </row>
    <row r="782">
      <c r="N782" s="31"/>
      <c r="O782" s="31"/>
    </row>
    <row r="783">
      <c r="N783" s="31"/>
      <c r="O783" s="31"/>
    </row>
    <row r="784">
      <c r="N784" s="31"/>
      <c r="O784" s="31"/>
    </row>
    <row r="785">
      <c r="N785" s="31"/>
      <c r="O785" s="31"/>
    </row>
    <row r="786">
      <c r="N786" s="31"/>
      <c r="O786" s="31"/>
    </row>
    <row r="787">
      <c r="N787" s="31"/>
      <c r="O787" s="31"/>
    </row>
    <row r="788">
      <c r="N788" s="31"/>
      <c r="O788" s="31"/>
    </row>
    <row r="789">
      <c r="N789" s="31"/>
      <c r="O789" s="31"/>
    </row>
    <row r="790">
      <c r="N790" s="31"/>
      <c r="O790" s="31"/>
    </row>
    <row r="791">
      <c r="N791" s="31"/>
      <c r="O791" s="31"/>
    </row>
    <row r="792">
      <c r="N792" s="31"/>
      <c r="O792" s="31"/>
    </row>
    <row r="793">
      <c r="N793" s="31"/>
      <c r="O793" s="31"/>
    </row>
    <row r="794">
      <c r="N794" s="31"/>
      <c r="O794" s="31"/>
    </row>
    <row r="795">
      <c r="N795" s="31"/>
      <c r="O795" s="31"/>
    </row>
    <row r="796">
      <c r="N796" s="31"/>
      <c r="O796" s="31"/>
    </row>
    <row r="797">
      <c r="N797" s="31"/>
      <c r="O797" s="31"/>
    </row>
    <row r="798">
      <c r="N798" s="31"/>
      <c r="O798" s="31"/>
    </row>
    <row r="799">
      <c r="N799" s="31"/>
      <c r="O799" s="31"/>
    </row>
    <row r="800">
      <c r="N800" s="31"/>
      <c r="O800" s="31"/>
    </row>
    <row r="801">
      <c r="N801" s="31"/>
      <c r="O801" s="31"/>
    </row>
    <row r="802">
      <c r="N802" s="31"/>
      <c r="O802" s="31"/>
    </row>
    <row r="803">
      <c r="N803" s="31"/>
      <c r="O803" s="31"/>
    </row>
    <row r="804">
      <c r="N804" s="31"/>
      <c r="O804" s="31"/>
    </row>
    <row r="805">
      <c r="N805" s="31"/>
      <c r="O805" s="31"/>
    </row>
    <row r="806">
      <c r="N806" s="31"/>
      <c r="O806" s="31"/>
    </row>
    <row r="807">
      <c r="N807" s="31"/>
      <c r="O807" s="31"/>
    </row>
    <row r="808">
      <c r="N808" s="31"/>
      <c r="O808" s="31"/>
    </row>
    <row r="809">
      <c r="N809" s="31"/>
      <c r="O809" s="31"/>
    </row>
    <row r="810">
      <c r="N810" s="31"/>
      <c r="O810" s="31"/>
    </row>
    <row r="811">
      <c r="N811" s="31"/>
      <c r="O811" s="31"/>
    </row>
    <row r="812">
      <c r="N812" s="31"/>
      <c r="O812" s="31"/>
    </row>
    <row r="813">
      <c r="N813" s="31"/>
      <c r="O813" s="31"/>
    </row>
    <row r="814">
      <c r="N814" s="31"/>
      <c r="O814" s="31"/>
    </row>
    <row r="815">
      <c r="N815" s="31"/>
      <c r="O815" s="31"/>
    </row>
    <row r="816">
      <c r="N816" s="31"/>
      <c r="O816" s="31"/>
    </row>
    <row r="817">
      <c r="N817" s="31"/>
      <c r="O817" s="31"/>
    </row>
    <row r="818">
      <c r="N818" s="31"/>
      <c r="O818" s="31"/>
    </row>
    <row r="819">
      <c r="N819" s="31"/>
      <c r="O819" s="31"/>
    </row>
    <row r="820">
      <c r="N820" s="31"/>
      <c r="O820" s="31"/>
    </row>
    <row r="821">
      <c r="N821" s="31"/>
      <c r="O821" s="31"/>
    </row>
    <row r="822">
      <c r="N822" s="31"/>
      <c r="O822" s="31"/>
    </row>
    <row r="823">
      <c r="N823" s="31"/>
      <c r="O823" s="31"/>
    </row>
    <row r="824">
      <c r="N824" s="31"/>
      <c r="O824" s="31"/>
    </row>
    <row r="825">
      <c r="N825" s="31"/>
      <c r="O825" s="31"/>
    </row>
    <row r="826">
      <c r="N826" s="31"/>
      <c r="O826" s="31"/>
    </row>
    <row r="827">
      <c r="N827" s="31"/>
      <c r="O827" s="31"/>
    </row>
    <row r="828">
      <c r="N828" s="31"/>
      <c r="O828" s="31"/>
    </row>
    <row r="829">
      <c r="N829" s="31"/>
      <c r="O829" s="31"/>
    </row>
    <row r="830">
      <c r="N830" s="31"/>
      <c r="O830" s="31"/>
    </row>
    <row r="831">
      <c r="N831" s="31"/>
      <c r="O831" s="31"/>
    </row>
    <row r="832">
      <c r="N832" s="31"/>
      <c r="O832" s="31"/>
    </row>
    <row r="833">
      <c r="N833" s="31"/>
      <c r="O833" s="31"/>
    </row>
    <row r="834">
      <c r="N834" s="31"/>
      <c r="O834" s="31"/>
    </row>
    <row r="835">
      <c r="N835" s="31"/>
      <c r="O835" s="31"/>
    </row>
    <row r="836">
      <c r="N836" s="31"/>
      <c r="O836" s="31"/>
    </row>
    <row r="837">
      <c r="N837" s="31"/>
      <c r="O837" s="31"/>
    </row>
    <row r="838">
      <c r="N838" s="31"/>
      <c r="O838" s="31"/>
    </row>
    <row r="839">
      <c r="N839" s="31"/>
      <c r="O839" s="31"/>
    </row>
    <row r="840">
      <c r="N840" s="31"/>
      <c r="O840" s="31"/>
    </row>
    <row r="841">
      <c r="N841" s="31"/>
      <c r="O841" s="31"/>
    </row>
    <row r="842">
      <c r="N842" s="31"/>
      <c r="O842" s="31"/>
    </row>
    <row r="843">
      <c r="N843" s="31"/>
      <c r="O843" s="31"/>
    </row>
    <row r="844">
      <c r="N844" s="31"/>
      <c r="O844" s="31"/>
    </row>
    <row r="845">
      <c r="N845" s="31"/>
      <c r="O845" s="31"/>
    </row>
    <row r="846">
      <c r="N846" s="31"/>
      <c r="O846" s="31"/>
    </row>
    <row r="847">
      <c r="N847" s="31"/>
      <c r="O847" s="31"/>
    </row>
    <row r="848">
      <c r="N848" s="31"/>
      <c r="O848" s="31"/>
    </row>
    <row r="849">
      <c r="N849" s="31"/>
      <c r="O849" s="31"/>
    </row>
    <row r="850">
      <c r="N850" s="31"/>
      <c r="O850" s="31"/>
    </row>
    <row r="851">
      <c r="N851" s="31"/>
      <c r="O851" s="31"/>
    </row>
    <row r="852">
      <c r="N852" s="31"/>
      <c r="O852" s="31"/>
    </row>
    <row r="853">
      <c r="N853" s="31"/>
      <c r="O853" s="31"/>
    </row>
    <row r="854">
      <c r="N854" s="31"/>
      <c r="O854" s="31"/>
    </row>
    <row r="855">
      <c r="N855" s="31"/>
      <c r="O855" s="31"/>
    </row>
    <row r="856">
      <c r="N856" s="31"/>
      <c r="O856" s="31"/>
    </row>
    <row r="857">
      <c r="N857" s="31"/>
      <c r="O857" s="31"/>
    </row>
    <row r="858">
      <c r="N858" s="31"/>
      <c r="O858" s="31"/>
    </row>
    <row r="859">
      <c r="N859" s="31"/>
      <c r="O859" s="31"/>
    </row>
    <row r="860">
      <c r="N860" s="31"/>
      <c r="O860" s="31"/>
    </row>
    <row r="861">
      <c r="N861" s="31"/>
      <c r="O861" s="31"/>
    </row>
    <row r="862">
      <c r="N862" s="31"/>
      <c r="O862" s="31"/>
    </row>
    <row r="863">
      <c r="N863" s="31"/>
      <c r="O863" s="31"/>
    </row>
    <row r="864">
      <c r="N864" s="31"/>
      <c r="O864" s="31"/>
    </row>
    <row r="865">
      <c r="N865" s="31"/>
      <c r="O865" s="31"/>
    </row>
    <row r="866">
      <c r="N866" s="31"/>
      <c r="O866" s="31"/>
    </row>
    <row r="867">
      <c r="N867" s="31"/>
      <c r="O867" s="31"/>
    </row>
    <row r="868">
      <c r="N868" s="31"/>
      <c r="O868" s="31"/>
    </row>
    <row r="869">
      <c r="N869" s="31"/>
      <c r="O869" s="31"/>
    </row>
    <row r="870">
      <c r="N870" s="31"/>
      <c r="O870" s="31"/>
    </row>
    <row r="871">
      <c r="N871" s="31"/>
      <c r="O871" s="31"/>
    </row>
    <row r="872">
      <c r="N872" s="31"/>
      <c r="O872" s="31"/>
    </row>
    <row r="873">
      <c r="N873" s="31"/>
      <c r="O873" s="31"/>
    </row>
    <row r="874">
      <c r="N874" s="31"/>
      <c r="O874" s="31"/>
    </row>
    <row r="875">
      <c r="N875" s="31"/>
      <c r="O875" s="31"/>
    </row>
    <row r="876">
      <c r="N876" s="31"/>
      <c r="O876" s="31"/>
    </row>
    <row r="877">
      <c r="N877" s="31"/>
      <c r="O877" s="31"/>
    </row>
    <row r="878">
      <c r="N878" s="31"/>
      <c r="O878" s="31"/>
    </row>
    <row r="879">
      <c r="N879" s="31"/>
      <c r="O879" s="31"/>
    </row>
    <row r="880">
      <c r="N880" s="31"/>
      <c r="O880" s="31"/>
    </row>
    <row r="881">
      <c r="N881" s="31"/>
      <c r="O881" s="31"/>
    </row>
    <row r="882">
      <c r="N882" s="31"/>
      <c r="O882" s="31"/>
    </row>
    <row r="883">
      <c r="N883" s="31"/>
      <c r="O883" s="31"/>
    </row>
    <row r="884">
      <c r="N884" s="31"/>
      <c r="O884" s="31"/>
    </row>
    <row r="885">
      <c r="N885" s="31"/>
      <c r="O885" s="31"/>
    </row>
    <row r="886">
      <c r="N886" s="31"/>
      <c r="O886" s="31"/>
    </row>
    <row r="887">
      <c r="N887" s="31"/>
      <c r="O887" s="31"/>
    </row>
    <row r="888">
      <c r="N888" s="31"/>
      <c r="O888" s="31"/>
    </row>
    <row r="889">
      <c r="N889" s="31"/>
      <c r="O889" s="31"/>
    </row>
    <row r="890">
      <c r="N890" s="31"/>
      <c r="O890" s="31"/>
    </row>
    <row r="891">
      <c r="N891" s="31"/>
      <c r="O891" s="31"/>
    </row>
    <row r="892">
      <c r="N892" s="31"/>
      <c r="O892" s="31"/>
    </row>
    <row r="893">
      <c r="N893" s="31"/>
      <c r="O893" s="31"/>
    </row>
    <row r="894">
      <c r="N894" s="31"/>
      <c r="O894" s="31"/>
    </row>
    <row r="895">
      <c r="N895" s="31"/>
      <c r="O895" s="31"/>
    </row>
    <row r="896">
      <c r="N896" s="31"/>
      <c r="O896" s="31"/>
    </row>
    <row r="897">
      <c r="N897" s="31"/>
      <c r="O897" s="31"/>
    </row>
    <row r="898">
      <c r="N898" s="31"/>
      <c r="O898" s="31"/>
    </row>
    <row r="899">
      <c r="N899" s="31"/>
      <c r="O899" s="31"/>
    </row>
    <row r="900">
      <c r="N900" s="31"/>
      <c r="O900" s="31"/>
    </row>
    <row r="901">
      <c r="N901" s="31"/>
      <c r="O901" s="31"/>
    </row>
    <row r="902">
      <c r="N902" s="31"/>
      <c r="O902" s="31"/>
    </row>
    <row r="903">
      <c r="N903" s="31"/>
      <c r="O903" s="31"/>
    </row>
    <row r="904">
      <c r="N904" s="31"/>
      <c r="O904" s="31"/>
    </row>
    <row r="905">
      <c r="N905" s="31"/>
      <c r="O905" s="31"/>
    </row>
    <row r="906">
      <c r="N906" s="31"/>
      <c r="O906" s="31"/>
    </row>
    <row r="907">
      <c r="N907" s="31"/>
      <c r="O907" s="31"/>
    </row>
    <row r="908">
      <c r="N908" s="31"/>
      <c r="O908" s="31"/>
    </row>
    <row r="909">
      <c r="N909" s="31"/>
      <c r="O909" s="31"/>
    </row>
    <row r="910">
      <c r="N910" s="31"/>
      <c r="O910" s="31"/>
    </row>
    <row r="911">
      <c r="N911" s="31"/>
      <c r="O911" s="31"/>
    </row>
    <row r="912">
      <c r="N912" s="31"/>
      <c r="O912" s="31"/>
    </row>
    <row r="913">
      <c r="N913" s="31"/>
      <c r="O913" s="31"/>
    </row>
    <row r="914">
      <c r="N914" s="31"/>
      <c r="O914" s="31"/>
    </row>
    <row r="915">
      <c r="N915" s="31"/>
      <c r="O915" s="31"/>
    </row>
    <row r="916">
      <c r="N916" s="31"/>
      <c r="O916" s="31"/>
    </row>
    <row r="917">
      <c r="N917" s="31"/>
      <c r="O917" s="31"/>
    </row>
    <row r="918">
      <c r="N918" s="31"/>
      <c r="O918" s="31"/>
    </row>
    <row r="919">
      <c r="N919" s="31"/>
      <c r="O919" s="31"/>
    </row>
    <row r="920">
      <c r="N920" s="31"/>
      <c r="O920" s="31"/>
    </row>
    <row r="921">
      <c r="N921" s="31"/>
      <c r="O921" s="31"/>
    </row>
    <row r="922">
      <c r="N922" s="31"/>
      <c r="O922" s="31"/>
    </row>
    <row r="923">
      <c r="N923" s="31"/>
      <c r="O923" s="31"/>
    </row>
    <row r="924">
      <c r="N924" s="31"/>
      <c r="O924" s="31"/>
    </row>
    <row r="925">
      <c r="N925" s="31"/>
      <c r="O925" s="31"/>
    </row>
    <row r="926">
      <c r="N926" s="31"/>
      <c r="O926" s="31"/>
    </row>
    <row r="927">
      <c r="N927" s="31"/>
      <c r="O927" s="31"/>
    </row>
    <row r="928">
      <c r="N928" s="31"/>
      <c r="O928" s="31"/>
    </row>
    <row r="929">
      <c r="N929" s="31"/>
      <c r="O929" s="31"/>
    </row>
    <row r="930">
      <c r="N930" s="31"/>
      <c r="O930" s="31"/>
    </row>
    <row r="931">
      <c r="N931" s="31"/>
      <c r="O931" s="31"/>
    </row>
    <row r="932">
      <c r="N932" s="31"/>
      <c r="O932" s="31"/>
    </row>
    <row r="933">
      <c r="N933" s="31"/>
      <c r="O933" s="31"/>
    </row>
    <row r="934">
      <c r="N934" s="31"/>
      <c r="O934" s="31"/>
    </row>
    <row r="935">
      <c r="N935" s="31"/>
      <c r="O935" s="31"/>
    </row>
    <row r="936">
      <c r="N936" s="31"/>
      <c r="O936" s="31"/>
    </row>
    <row r="937">
      <c r="N937" s="31"/>
      <c r="O937" s="31"/>
    </row>
    <row r="938">
      <c r="N938" s="31"/>
      <c r="O938" s="31"/>
    </row>
    <row r="939">
      <c r="N939" s="31"/>
      <c r="O939" s="31"/>
    </row>
    <row r="940">
      <c r="N940" s="31"/>
      <c r="O940" s="31"/>
    </row>
    <row r="941">
      <c r="N941" s="31"/>
      <c r="O941" s="31"/>
    </row>
    <row r="942">
      <c r="N942" s="31"/>
      <c r="O942" s="31"/>
    </row>
    <row r="943">
      <c r="N943" s="31"/>
      <c r="O943" s="31"/>
    </row>
    <row r="944">
      <c r="N944" s="31"/>
      <c r="O944" s="31"/>
    </row>
    <row r="945">
      <c r="N945" s="31"/>
      <c r="O945" s="31"/>
    </row>
    <row r="946">
      <c r="N946" s="31"/>
      <c r="O946" s="31"/>
    </row>
    <row r="947">
      <c r="N947" s="31"/>
      <c r="O947" s="31"/>
    </row>
    <row r="948">
      <c r="N948" s="31"/>
      <c r="O948" s="31"/>
    </row>
    <row r="949">
      <c r="N949" s="31"/>
      <c r="O949" s="31"/>
    </row>
    <row r="950">
      <c r="N950" s="31"/>
      <c r="O950" s="31"/>
    </row>
    <row r="951">
      <c r="N951" s="31"/>
      <c r="O951" s="31"/>
    </row>
    <row r="952">
      <c r="N952" s="31"/>
      <c r="O952" s="31"/>
    </row>
    <row r="953">
      <c r="N953" s="31"/>
      <c r="O953" s="31"/>
    </row>
    <row r="954">
      <c r="N954" s="31"/>
      <c r="O954" s="31"/>
    </row>
    <row r="955">
      <c r="N955" s="31"/>
      <c r="O955" s="31"/>
    </row>
    <row r="956">
      <c r="N956" s="31"/>
      <c r="O956" s="31"/>
    </row>
    <row r="957">
      <c r="N957" s="31"/>
      <c r="O957" s="31"/>
    </row>
    <row r="958">
      <c r="N958" s="31"/>
      <c r="O958" s="31"/>
    </row>
    <row r="959">
      <c r="N959" s="31"/>
      <c r="O959" s="31"/>
    </row>
    <row r="960">
      <c r="N960" s="31"/>
      <c r="O960" s="31"/>
    </row>
    <row r="961">
      <c r="N961" s="31"/>
      <c r="O961" s="31"/>
    </row>
    <row r="962">
      <c r="N962" s="31"/>
      <c r="O962" s="31"/>
    </row>
    <row r="963">
      <c r="N963" s="31"/>
      <c r="O963" s="31"/>
    </row>
    <row r="964">
      <c r="N964" s="31"/>
      <c r="O964" s="31"/>
    </row>
    <row r="965">
      <c r="N965" s="31"/>
      <c r="O965" s="31"/>
    </row>
    <row r="966">
      <c r="N966" s="31"/>
      <c r="O966" s="31"/>
    </row>
    <row r="967">
      <c r="N967" s="31"/>
      <c r="O967" s="31"/>
    </row>
    <row r="968">
      <c r="N968" s="31"/>
      <c r="O968" s="31"/>
    </row>
    <row r="969">
      <c r="N969" s="31"/>
      <c r="O969" s="31"/>
    </row>
    <row r="970">
      <c r="N970" s="31"/>
      <c r="O970" s="31"/>
    </row>
    <row r="971">
      <c r="N971" s="31"/>
      <c r="O971" s="31"/>
    </row>
    <row r="972">
      <c r="N972" s="31"/>
      <c r="O972" s="31"/>
    </row>
    <row r="973">
      <c r="N973" s="31"/>
      <c r="O973" s="31"/>
    </row>
    <row r="974">
      <c r="N974" s="31"/>
      <c r="O974" s="31"/>
    </row>
    <row r="975">
      <c r="N975" s="31"/>
      <c r="O975" s="31"/>
    </row>
    <row r="976">
      <c r="N976" s="31"/>
      <c r="O976" s="31"/>
    </row>
    <row r="977">
      <c r="N977" s="31"/>
      <c r="O977" s="31"/>
    </row>
    <row r="978">
      <c r="N978" s="31"/>
      <c r="O978" s="31"/>
    </row>
    <row r="979">
      <c r="N979" s="31"/>
      <c r="O979" s="31"/>
    </row>
    <row r="980">
      <c r="N980" s="31"/>
      <c r="O980" s="31"/>
    </row>
    <row r="981">
      <c r="N981" s="31"/>
      <c r="O981" s="31"/>
    </row>
    <row r="982">
      <c r="N982" s="31"/>
      <c r="O982" s="31"/>
    </row>
    <row r="983">
      <c r="N983" s="31"/>
      <c r="O983" s="31"/>
    </row>
    <row r="984">
      <c r="N984" s="31"/>
      <c r="O984" s="31"/>
    </row>
    <row r="985">
      <c r="N985" s="31"/>
      <c r="O985" s="31"/>
    </row>
    <row r="986">
      <c r="N986" s="31"/>
      <c r="O986" s="31"/>
    </row>
    <row r="987">
      <c r="N987" s="31"/>
      <c r="O987" s="31"/>
    </row>
    <row r="988">
      <c r="N988" s="31"/>
      <c r="O988" s="31"/>
    </row>
    <row r="989">
      <c r="N989" s="31"/>
      <c r="O989" s="31"/>
    </row>
    <row r="990">
      <c r="N990" s="31"/>
      <c r="O990" s="31"/>
    </row>
    <row r="991">
      <c r="N991" s="31"/>
      <c r="O991" s="31"/>
    </row>
    <row r="992">
      <c r="N992" s="31"/>
      <c r="O992" s="31"/>
    </row>
    <row r="993">
      <c r="N993" s="31"/>
      <c r="O993" s="31"/>
    </row>
    <row r="994">
      <c r="N994" s="31"/>
      <c r="O994" s="31"/>
    </row>
    <row r="995">
      <c r="N995" s="31"/>
      <c r="O995" s="31"/>
    </row>
    <row r="996">
      <c r="N996" s="31"/>
      <c r="O996" s="31"/>
    </row>
    <row r="997">
      <c r="N997" s="31"/>
      <c r="O997" s="31"/>
    </row>
    <row r="998">
      <c r="N998" s="31"/>
      <c r="O998" s="31"/>
    </row>
    <row r="999">
      <c r="N999" s="31"/>
      <c r="O999" s="31"/>
    </row>
  </sheetData>
  <mergeCells count="5">
    <mergeCell ref="A1:A2"/>
    <mergeCell ref="B1:B2"/>
    <mergeCell ref="C1:C2"/>
    <mergeCell ref="D1:D2"/>
    <mergeCell ref="E1:E2"/>
  </mergeCells>
  <conditionalFormatting sqref="AX3:AX38 AY3:BB31 AY35 BB35 H39">
    <cfRule type="cellIs" dxfId="3" priority="1" operator="equal">
      <formula>1</formula>
    </cfRule>
  </conditionalFormatting>
  <conditionalFormatting sqref="AX3:AX38 AY8 BB8 BA25:BB25 AY35 BB35 AY37:BB37 H39">
    <cfRule type="cellIs" dxfId="4" priority="2" operator="equal">
      <formula>"R"</formula>
    </cfRule>
  </conditionalFormatting>
  <conditionalFormatting sqref="B3:B31 C3:C38 B37">
    <cfRule type="cellIs" dxfId="5" priority="3" operator="greaterThanOrEqual">
      <formula>3</formula>
    </cfRule>
  </conditionalFormatting>
  <conditionalFormatting sqref="B3:B24 B26:B31 B37">
    <cfRule type="cellIs" dxfId="6" priority="4" operator="lessThan">
      <formula>1</formula>
    </cfRule>
  </conditionalFormatting>
  <conditionalFormatting sqref="B3:B32 C3:C41 B37">
    <cfRule type="cellIs" dxfId="7" priority="5" operator="equal">
      <formula>0</formula>
    </cfRule>
  </conditionalFormatting>
  <conditionalFormatting sqref="B3:B31 C3:C38 B37">
    <cfRule type="cellIs" dxfId="8" priority="6" operator="lessThan">
      <formula>2</formula>
    </cfRule>
  </conditionalFormatting>
  <conditionalFormatting sqref="B3:B31 C3:C38 B37">
    <cfRule type="cellIs" dxfId="9" priority="7" operator="lessThan">
      <formula>3</formula>
    </cfRule>
  </conditionalFormatting>
  <conditionalFormatting sqref="B3:B32 C3:C41 B37">
    <cfRule type="containsBlanks" dxfId="6" priority="8">
      <formula>LEN(TRIM(B3))=0</formula>
    </cfRule>
  </conditionalFormatting>
  <conditionalFormatting sqref="AX3:AX38 AY8 BB8 BA25:BB25 AY35 BB35 AY37:BB37 H39">
    <cfRule type="cellIs" dxfId="10" priority="9" operator="equal">
      <formula>"R2"</formula>
    </cfRule>
  </conditionalFormatting>
  <conditionalFormatting sqref="F39:BB41">
    <cfRule type="cellIs" dxfId="7" priority="10" operator="lessThan">
      <formula>1</formula>
    </cfRule>
  </conditionalFormatting>
  <conditionalFormatting sqref="F39:G39 H39:H40 I39:BB39">
    <cfRule type="cellIs" dxfId="3" priority="11" operator="equal">
      <formula>1</formula>
    </cfRule>
  </conditionalFormatting>
  <conditionalFormatting sqref="F39:BB41">
    <cfRule type="cellIs" dxfId="11" priority="12" operator="greaterThan">
      <formula>1</formula>
    </cfRule>
  </conditionalFormatting>
  <conditionalFormatting sqref="D3:E41">
    <cfRule type="cellIs" dxfId="9" priority="13" operator="equal">
      <formula>1</formula>
    </cfRule>
  </conditionalFormatting>
  <conditionalFormatting sqref="AX25:BB25 AX33:BB36 AX38:BB41 F39:AW41">
    <cfRule type="cellIs" dxfId="7" priority="14" operator="lessThan">
      <formula>1</formula>
    </cfRule>
  </conditionalFormatting>
  <conditionalFormatting sqref="AX25:BB25 AX33:BB36 AX38:BB41 F39:AW41">
    <cfRule type="cellIs" dxfId="12" priority="15" operator="equal">
      <formula>1</formula>
    </cfRule>
  </conditionalFormatting>
  <conditionalFormatting sqref="AX25:BB25 AX33:BB36 AX38:BB41 F39:AW41">
    <cfRule type="cellIs" dxfId="11" priority="16" operator="greaterThan">
      <formula>1</formula>
    </cfRule>
  </conditionalFormatting>
  <conditionalFormatting sqref="D3:D41 E3:E38">
    <cfRule type="cellIs" dxfId="7" priority="17" operator="equal">
      <formula>0</formula>
    </cfRule>
  </conditionalFormatting>
  <conditionalFormatting sqref="D3:D41 E3:E38">
    <cfRule type="cellIs" dxfId="4" priority="18" operator="equal">
      <formula>2</formula>
    </cfRule>
  </conditionalFormatting>
  <conditionalFormatting sqref="C44">
    <cfRule type="notContainsBlanks" dxfId="3" priority="19">
      <formula>LEN(TRIM(C44))&gt;0</formula>
    </cfRule>
  </conditionalFormatting>
  <conditionalFormatting sqref="AR2:BB2">
    <cfRule type="containsText" dxfId="13" priority="20" operator="containsText" text="(PAM)">
      <formula>NOT(ISERROR(SEARCH(("(PAM)"),(AR2))))</formula>
    </cfRule>
  </conditionalFormatting>
  <conditionalFormatting sqref="AR2:BB2">
    <cfRule type="containsText" dxfId="13" priority="21" operator="containsText" text="(PPM)">
      <formula>NOT(ISERROR(SEARCH(("(PPM)"),(AR2))))</formula>
    </cfRule>
  </conditionalFormatting>
  <conditionalFormatting sqref="F2:BB2">
    <cfRule type="containsText" dxfId="13" priority="22" operator="containsText" text="PAM">
      <formula>NOT(ISERROR(SEARCH(("PAM"),(F2))))</formula>
    </cfRule>
  </conditionalFormatting>
  <conditionalFormatting sqref="F2:BB2">
    <cfRule type="containsText" dxfId="13" priority="23" operator="containsText" text="PPM">
      <formula>NOT(ISERROR(SEARCH(("PPM"),(F2))))</formula>
    </cfRule>
  </conditionalFormatting>
  <conditionalFormatting sqref="F2:BB2">
    <cfRule type="containsText" dxfId="11" priority="24" operator="containsText" text="(AM)">
      <formula>NOT(ISERROR(SEARCH(("(AM)"),(F2))))</formula>
    </cfRule>
  </conditionalFormatting>
  <conditionalFormatting sqref="F2:BB2">
    <cfRule type="containsText" dxfId="7" priority="25" operator="containsText" text="(PM)">
      <formula>NOT(ISERROR(SEARCH(("(PM)"),(F2))))</formula>
    </cfRule>
  </conditionalFormatting>
  <conditionalFormatting sqref="F2:BB2">
    <cfRule type="notContainsText" dxfId="15" priority="26" operator="notContains" text="(AM)">
      <formula>ISERROR(SEARCH(("(AM)"),(F2)))</formula>
    </cfRule>
  </conditionalFormatting>
  <conditionalFormatting sqref="F2:BB2">
    <cfRule type="notContainsText" dxfId="15" priority="27" operator="notContains" text="(PM)">
      <formula>ISERROR(SEARCH(("(PM)"),(F2)))</formula>
    </cfRule>
  </conditionalFormatting>
  <conditionalFormatting sqref="F2:BB2">
    <cfRule type="notContainsText" dxfId="15" priority="28" operator="notContains" text="(PM)">
      <formula>ISERROR(SEARCH(("(PM)"),(F2)))</formula>
    </cfRule>
  </conditionalFormatting>
  <conditionalFormatting sqref="F3:AV38">
    <cfRule type="cellIs" dxfId="3" priority="29" operator="equal">
      <formula>1</formula>
    </cfRule>
  </conditionalFormatting>
  <conditionalFormatting sqref="F3:AV38">
    <cfRule type="cellIs" dxfId="4" priority="30" operator="equal">
      <formula>"r"</formula>
    </cfRule>
  </conditionalFormatting>
  <conditionalFormatting sqref="F3:AV38">
    <cfRule type="cellIs" dxfId="10" priority="31" operator="equal">
      <formula>"r2"</formula>
    </cfRule>
  </conditionalFormatting>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5"/>
  </cols>
  <sheetData>
    <row r="1">
      <c r="A1" s="174" t="s">
        <v>0</v>
      </c>
      <c r="B1" s="175" t="s">
        <v>830</v>
      </c>
      <c r="G1" s="175" t="s">
        <v>831</v>
      </c>
    </row>
    <row r="2" ht="42.75" customHeight="1">
      <c r="B2" s="175" t="s">
        <v>832</v>
      </c>
      <c r="C2" s="175" t="s">
        <v>833</v>
      </c>
      <c r="D2" s="175" t="s">
        <v>834</v>
      </c>
      <c r="E2" s="175" t="s">
        <v>835</v>
      </c>
      <c r="F2" s="176" t="s">
        <v>836</v>
      </c>
      <c r="G2" s="175" t="s">
        <v>832</v>
      </c>
      <c r="H2" s="175" t="s">
        <v>833</v>
      </c>
      <c r="I2" s="175" t="s">
        <v>834</v>
      </c>
      <c r="J2" s="175" t="s">
        <v>835</v>
      </c>
      <c r="K2" s="175" t="s">
        <v>836</v>
      </c>
    </row>
    <row r="3">
      <c r="A3" s="177" t="s">
        <v>626</v>
      </c>
      <c r="B3" s="178">
        <v>0.0</v>
      </c>
      <c r="C3" s="17">
        <v>2.0</v>
      </c>
      <c r="D3" s="17">
        <v>2.0</v>
      </c>
      <c r="E3" s="179">
        <f t="shared" ref="E3:E27" si="1">sum(B3:D3)/3</f>
        <v>1.333333333</v>
      </c>
      <c r="F3" s="180"/>
      <c r="G3" s="178">
        <v>2.0</v>
      </c>
      <c r="H3" s="17">
        <v>2.0</v>
      </c>
      <c r="I3" s="17">
        <v>3.0</v>
      </c>
      <c r="J3" s="179">
        <f t="shared" ref="J3:J27" si="2">sum(G3:I3)/3</f>
        <v>2.333333333</v>
      </c>
      <c r="K3" s="180"/>
    </row>
    <row r="4">
      <c r="A4" s="181" t="s">
        <v>501</v>
      </c>
      <c r="B4" s="17">
        <v>2.0</v>
      </c>
      <c r="C4" s="17">
        <v>1.0</v>
      </c>
      <c r="D4" s="17">
        <v>1.0</v>
      </c>
      <c r="E4" s="179">
        <f t="shared" si="1"/>
        <v>1.333333333</v>
      </c>
      <c r="F4" s="182"/>
      <c r="G4" s="17">
        <v>2.0</v>
      </c>
      <c r="H4" s="17">
        <v>3.0</v>
      </c>
      <c r="I4" s="17">
        <v>4.0</v>
      </c>
      <c r="J4" s="179">
        <f t="shared" si="2"/>
        <v>3</v>
      </c>
      <c r="K4" s="182"/>
    </row>
    <row r="5">
      <c r="A5" s="181" t="s">
        <v>502</v>
      </c>
      <c r="B5" s="17">
        <v>3.0</v>
      </c>
      <c r="C5" s="17">
        <v>0.0</v>
      </c>
      <c r="D5" s="17">
        <v>1.0</v>
      </c>
      <c r="E5" s="179">
        <f t="shared" si="1"/>
        <v>1.333333333</v>
      </c>
      <c r="F5" s="182"/>
      <c r="G5" s="17">
        <v>2.0</v>
      </c>
      <c r="H5" s="17">
        <v>3.0</v>
      </c>
      <c r="I5" s="17">
        <v>3.0</v>
      </c>
      <c r="J5" s="179">
        <f t="shared" si="2"/>
        <v>2.666666667</v>
      </c>
      <c r="K5" s="182"/>
    </row>
    <row r="6">
      <c r="A6" s="183" t="s">
        <v>503</v>
      </c>
      <c r="B6" s="17">
        <v>1.0</v>
      </c>
      <c r="C6" s="17">
        <v>1.0</v>
      </c>
      <c r="D6" s="17">
        <v>2.0</v>
      </c>
      <c r="E6" s="179">
        <f t="shared" si="1"/>
        <v>1.333333333</v>
      </c>
      <c r="F6" s="182"/>
      <c r="G6" s="17">
        <v>3.0</v>
      </c>
      <c r="H6" s="17">
        <v>3.0</v>
      </c>
      <c r="I6" s="17">
        <v>3.0</v>
      </c>
      <c r="J6" s="179">
        <f t="shared" si="2"/>
        <v>3</v>
      </c>
      <c r="K6" s="182"/>
    </row>
    <row r="7">
      <c r="A7" s="184" t="s">
        <v>672</v>
      </c>
      <c r="B7" s="17">
        <v>1.0</v>
      </c>
      <c r="C7" s="17">
        <v>2.0</v>
      </c>
      <c r="D7" s="17">
        <v>2.0</v>
      </c>
      <c r="E7" s="179">
        <f t="shared" si="1"/>
        <v>1.666666667</v>
      </c>
      <c r="F7" s="182"/>
      <c r="G7" s="17">
        <v>3.0</v>
      </c>
      <c r="H7" s="17">
        <v>3.0</v>
      </c>
      <c r="I7" s="17">
        <v>2.0</v>
      </c>
      <c r="J7" s="179">
        <f t="shared" si="2"/>
        <v>2.666666667</v>
      </c>
      <c r="K7" s="182"/>
    </row>
    <row r="8">
      <c r="A8" s="181" t="s">
        <v>507</v>
      </c>
      <c r="B8" s="17">
        <v>1.0</v>
      </c>
      <c r="C8" s="17">
        <v>2.0</v>
      </c>
      <c r="D8" s="17">
        <v>1.0</v>
      </c>
      <c r="E8" s="179">
        <f t="shared" si="1"/>
        <v>1.333333333</v>
      </c>
      <c r="F8" s="182"/>
      <c r="G8" s="17">
        <v>4.0</v>
      </c>
      <c r="H8" s="17">
        <v>3.0</v>
      </c>
      <c r="I8" s="17">
        <v>4.0</v>
      </c>
      <c r="J8" s="179">
        <f t="shared" si="2"/>
        <v>3.666666667</v>
      </c>
      <c r="K8" s="182"/>
    </row>
    <row r="9">
      <c r="A9" s="185" t="s">
        <v>508</v>
      </c>
      <c r="B9" s="17">
        <v>1.0</v>
      </c>
      <c r="C9" s="17">
        <v>2.0</v>
      </c>
      <c r="D9" s="17">
        <v>2.0</v>
      </c>
      <c r="E9" s="179">
        <f t="shared" si="1"/>
        <v>1.666666667</v>
      </c>
      <c r="F9" s="182"/>
      <c r="G9" s="17">
        <v>3.0</v>
      </c>
      <c r="H9" s="17">
        <v>3.0</v>
      </c>
      <c r="I9" s="17">
        <v>3.0</v>
      </c>
      <c r="J9" s="179">
        <f t="shared" si="2"/>
        <v>3</v>
      </c>
      <c r="K9" s="182"/>
    </row>
    <row r="10">
      <c r="A10" s="186" t="s">
        <v>766</v>
      </c>
      <c r="B10" s="17" t="s">
        <v>837</v>
      </c>
      <c r="C10" s="17">
        <v>0.0</v>
      </c>
      <c r="D10" s="17">
        <v>1.0</v>
      </c>
      <c r="E10" s="179">
        <f t="shared" si="1"/>
        <v>0.3333333333</v>
      </c>
      <c r="F10" s="182">
        <v>0.5</v>
      </c>
      <c r="G10" s="17" t="s">
        <v>837</v>
      </c>
      <c r="H10" s="17">
        <v>3.0</v>
      </c>
      <c r="I10" s="17">
        <v>2.0</v>
      </c>
      <c r="J10" s="179">
        <f t="shared" si="2"/>
        <v>1.666666667</v>
      </c>
      <c r="K10" s="182">
        <v>2.5</v>
      </c>
    </row>
    <row r="11">
      <c r="A11" s="187" t="s">
        <v>725</v>
      </c>
      <c r="B11" s="17">
        <v>1.0</v>
      </c>
      <c r="C11" s="17">
        <v>2.0</v>
      </c>
      <c r="D11" s="17">
        <v>1.0</v>
      </c>
      <c r="E11" s="179">
        <f t="shared" si="1"/>
        <v>1.333333333</v>
      </c>
      <c r="F11" s="182"/>
      <c r="G11" s="17">
        <v>2.0</v>
      </c>
      <c r="H11" s="17">
        <v>2.0</v>
      </c>
      <c r="I11" s="17">
        <v>4.0</v>
      </c>
      <c r="J11" s="179">
        <f t="shared" si="2"/>
        <v>2.666666667</v>
      </c>
      <c r="K11" s="182"/>
    </row>
    <row r="12">
      <c r="A12" s="185" t="s">
        <v>471</v>
      </c>
      <c r="B12" s="17">
        <v>0.0</v>
      </c>
      <c r="C12" s="17" t="s">
        <v>837</v>
      </c>
      <c r="D12" s="17">
        <v>3.0</v>
      </c>
      <c r="E12" s="179">
        <f t="shared" si="1"/>
        <v>1</v>
      </c>
      <c r="F12" s="182">
        <v>1.5</v>
      </c>
      <c r="G12" s="17">
        <v>3.0</v>
      </c>
      <c r="H12" s="17" t="s">
        <v>837</v>
      </c>
      <c r="I12" s="17">
        <v>3.0</v>
      </c>
      <c r="J12" s="179">
        <f t="shared" si="2"/>
        <v>2</v>
      </c>
      <c r="K12" s="182">
        <v>3.0</v>
      </c>
    </row>
    <row r="13">
      <c r="A13" s="186" t="s">
        <v>511</v>
      </c>
      <c r="B13" s="17">
        <v>2.0</v>
      </c>
      <c r="C13" s="17">
        <v>1.0</v>
      </c>
      <c r="D13" s="17">
        <v>2.0</v>
      </c>
      <c r="E13" s="179">
        <f t="shared" si="1"/>
        <v>1.666666667</v>
      </c>
      <c r="F13" s="182"/>
      <c r="G13" s="17">
        <v>2.0</v>
      </c>
      <c r="H13" s="17">
        <v>4.0</v>
      </c>
      <c r="I13" s="17">
        <v>3.0</v>
      </c>
      <c r="J13" s="179">
        <f t="shared" si="2"/>
        <v>3</v>
      </c>
      <c r="K13" s="182"/>
    </row>
    <row r="14">
      <c r="A14" s="184" t="s">
        <v>627</v>
      </c>
      <c r="B14" s="17">
        <v>1.0</v>
      </c>
      <c r="C14" s="17">
        <v>1.0</v>
      </c>
      <c r="D14" s="17">
        <v>2.0</v>
      </c>
      <c r="E14" s="179">
        <f t="shared" si="1"/>
        <v>1.333333333</v>
      </c>
      <c r="F14" s="182"/>
      <c r="G14" s="17">
        <v>3.0</v>
      </c>
      <c r="H14" s="17">
        <v>2.0</v>
      </c>
      <c r="I14" s="17">
        <v>3.0</v>
      </c>
      <c r="J14" s="179">
        <f t="shared" si="2"/>
        <v>2.666666667</v>
      </c>
      <c r="K14" s="182"/>
    </row>
    <row r="15">
      <c r="A15" s="187" t="s">
        <v>550</v>
      </c>
      <c r="B15" s="17">
        <v>1.0</v>
      </c>
      <c r="C15" s="17">
        <v>1.0</v>
      </c>
      <c r="D15" s="17">
        <v>1.0</v>
      </c>
      <c r="E15" s="179">
        <f t="shared" si="1"/>
        <v>1</v>
      </c>
      <c r="F15" s="182"/>
      <c r="G15" s="17">
        <v>3.0</v>
      </c>
      <c r="H15" s="17">
        <v>3.0</v>
      </c>
      <c r="I15" s="17">
        <v>4.0</v>
      </c>
      <c r="J15" s="179">
        <f t="shared" si="2"/>
        <v>3.333333333</v>
      </c>
      <c r="K15" s="182"/>
    </row>
    <row r="16">
      <c r="A16" s="181" t="s">
        <v>551</v>
      </c>
      <c r="B16" s="17">
        <v>1.0</v>
      </c>
      <c r="C16" s="17">
        <v>1.0</v>
      </c>
      <c r="D16" s="17">
        <v>1.0</v>
      </c>
      <c r="E16" s="179">
        <f t="shared" si="1"/>
        <v>1</v>
      </c>
      <c r="F16" s="182"/>
      <c r="G16" s="17">
        <v>0.0</v>
      </c>
      <c r="H16" s="17">
        <v>3.0</v>
      </c>
      <c r="I16" s="17">
        <v>4.0</v>
      </c>
      <c r="J16" s="179">
        <f t="shared" si="2"/>
        <v>2.333333333</v>
      </c>
      <c r="K16" s="182"/>
    </row>
    <row r="17">
      <c r="A17" s="188" t="s">
        <v>673</v>
      </c>
      <c r="B17" s="17">
        <v>3.0</v>
      </c>
      <c r="C17" s="17" t="s">
        <v>837</v>
      </c>
      <c r="D17" s="17">
        <v>1.0</v>
      </c>
      <c r="E17" s="179">
        <f t="shared" si="1"/>
        <v>1.333333333</v>
      </c>
      <c r="F17" s="182">
        <v>2.0</v>
      </c>
      <c r="G17" s="17">
        <v>3.0</v>
      </c>
      <c r="H17" s="17" t="s">
        <v>837</v>
      </c>
      <c r="I17" s="17">
        <v>3.0</v>
      </c>
      <c r="J17" s="179">
        <f t="shared" si="2"/>
        <v>2</v>
      </c>
      <c r="K17" s="182">
        <v>3.0</v>
      </c>
    </row>
    <row r="18">
      <c r="A18" s="181" t="s">
        <v>514</v>
      </c>
      <c r="B18" s="17">
        <v>1.0</v>
      </c>
      <c r="C18" s="17">
        <v>2.0</v>
      </c>
      <c r="D18" s="17">
        <v>1.0</v>
      </c>
      <c r="E18" s="179">
        <f t="shared" si="1"/>
        <v>1.333333333</v>
      </c>
      <c r="F18" s="182"/>
      <c r="G18" s="17">
        <v>1.0</v>
      </c>
      <c r="H18" s="17">
        <v>3.0</v>
      </c>
      <c r="I18" s="17">
        <v>3.0</v>
      </c>
      <c r="J18" s="179">
        <f t="shared" si="2"/>
        <v>2.333333333</v>
      </c>
      <c r="K18" s="182"/>
    </row>
    <row r="19">
      <c r="A19" s="181" t="s">
        <v>515</v>
      </c>
      <c r="B19" s="17">
        <v>2.0</v>
      </c>
      <c r="C19" s="17">
        <v>1.0</v>
      </c>
      <c r="D19" s="17">
        <v>1.0</v>
      </c>
      <c r="E19" s="179">
        <f t="shared" si="1"/>
        <v>1.333333333</v>
      </c>
      <c r="F19" s="182"/>
      <c r="G19" s="17">
        <v>7.0</v>
      </c>
      <c r="H19" s="17">
        <v>5.0</v>
      </c>
      <c r="I19" s="17">
        <v>6.0</v>
      </c>
      <c r="J19" s="179">
        <f t="shared" si="2"/>
        <v>6</v>
      </c>
      <c r="K19" s="182"/>
    </row>
    <row r="20">
      <c r="A20" s="189" t="s">
        <v>516</v>
      </c>
      <c r="B20" s="17">
        <v>0.0</v>
      </c>
      <c r="C20" s="17">
        <v>1.0</v>
      </c>
      <c r="D20" s="17">
        <v>3.0</v>
      </c>
      <c r="E20" s="179">
        <f t="shared" si="1"/>
        <v>1.333333333</v>
      </c>
      <c r="F20" s="182"/>
      <c r="G20" s="17">
        <v>0.0</v>
      </c>
      <c r="H20" s="17">
        <v>3.0</v>
      </c>
      <c r="I20" s="17">
        <v>3.0</v>
      </c>
      <c r="J20" s="179">
        <f t="shared" si="2"/>
        <v>2</v>
      </c>
      <c r="K20" s="182"/>
    </row>
    <row r="21">
      <c r="A21" s="190" t="s">
        <v>519</v>
      </c>
      <c r="B21" s="17">
        <v>2.0</v>
      </c>
      <c r="C21" s="17">
        <v>1.0</v>
      </c>
      <c r="D21" s="17">
        <v>1.0</v>
      </c>
      <c r="E21" s="179">
        <f t="shared" si="1"/>
        <v>1.333333333</v>
      </c>
      <c r="F21" s="182"/>
      <c r="G21" s="17">
        <v>2.0</v>
      </c>
      <c r="H21" s="17">
        <v>3.0</v>
      </c>
      <c r="I21" s="17">
        <v>4.0</v>
      </c>
      <c r="J21" s="179">
        <f t="shared" si="2"/>
        <v>3</v>
      </c>
      <c r="K21" s="182"/>
    </row>
    <row r="22">
      <c r="A22" s="184" t="s">
        <v>475</v>
      </c>
      <c r="B22" s="17">
        <v>0.0</v>
      </c>
      <c r="C22" s="17">
        <v>1.0</v>
      </c>
      <c r="D22" s="17">
        <v>2.0</v>
      </c>
      <c r="E22" s="179">
        <f t="shared" si="1"/>
        <v>1</v>
      </c>
      <c r="F22" s="182"/>
      <c r="G22" s="17">
        <v>3.0</v>
      </c>
      <c r="H22" s="17">
        <v>3.0</v>
      </c>
      <c r="I22" s="17">
        <v>3.0</v>
      </c>
      <c r="J22" s="179">
        <f t="shared" si="2"/>
        <v>3</v>
      </c>
      <c r="K22" s="182"/>
    </row>
    <row r="23">
      <c r="A23" s="190" t="s">
        <v>674</v>
      </c>
      <c r="B23" s="17">
        <v>1.0</v>
      </c>
      <c r="C23" s="17">
        <v>1.0</v>
      </c>
      <c r="D23" s="17">
        <v>2.0</v>
      </c>
      <c r="E23" s="179">
        <f t="shared" si="1"/>
        <v>1.333333333</v>
      </c>
      <c r="F23" s="191"/>
      <c r="G23" s="17">
        <v>3.0</v>
      </c>
      <c r="H23" s="17">
        <v>3.0</v>
      </c>
      <c r="I23" s="17">
        <v>4.0</v>
      </c>
      <c r="J23" s="179">
        <f t="shared" si="2"/>
        <v>3.333333333</v>
      </c>
      <c r="K23" s="182"/>
    </row>
    <row r="24">
      <c r="A24" s="14" t="s">
        <v>767</v>
      </c>
      <c r="B24" s="17" t="s">
        <v>837</v>
      </c>
      <c r="C24" s="17">
        <v>1.0</v>
      </c>
      <c r="D24" s="17">
        <v>2.0</v>
      </c>
      <c r="E24" s="179">
        <f t="shared" si="1"/>
        <v>1</v>
      </c>
      <c r="F24" s="182">
        <v>1.5</v>
      </c>
      <c r="G24" s="17" t="s">
        <v>837</v>
      </c>
      <c r="H24" s="17">
        <v>3.0</v>
      </c>
      <c r="I24" s="17">
        <v>3.0</v>
      </c>
      <c r="J24" s="179">
        <f t="shared" si="2"/>
        <v>2</v>
      </c>
      <c r="K24" s="182">
        <v>3.0</v>
      </c>
    </row>
    <row r="25">
      <c r="A25" s="192" t="s">
        <v>523</v>
      </c>
      <c r="B25" s="17">
        <v>1.0</v>
      </c>
      <c r="C25" s="17">
        <v>2.0</v>
      </c>
      <c r="D25" s="17">
        <v>1.0</v>
      </c>
      <c r="E25" s="179">
        <f t="shared" si="1"/>
        <v>1.333333333</v>
      </c>
      <c r="F25" s="182"/>
      <c r="G25" s="17">
        <v>3.0</v>
      </c>
      <c r="H25" s="17">
        <v>3.0</v>
      </c>
      <c r="I25" s="17">
        <v>3.0</v>
      </c>
      <c r="J25" s="179">
        <f t="shared" si="2"/>
        <v>3</v>
      </c>
      <c r="K25" s="182"/>
    </row>
    <row r="26">
      <c r="A26" s="188" t="s">
        <v>524</v>
      </c>
      <c r="B26" s="17">
        <v>2.0</v>
      </c>
      <c r="C26" s="17">
        <v>2.0</v>
      </c>
      <c r="D26" s="17">
        <v>1.0</v>
      </c>
      <c r="E26" s="179">
        <f t="shared" si="1"/>
        <v>1.666666667</v>
      </c>
      <c r="F26" s="182"/>
      <c r="G26" s="17">
        <v>3.0</v>
      </c>
      <c r="H26" s="17">
        <v>3.0</v>
      </c>
      <c r="I26" s="17">
        <v>3.0</v>
      </c>
      <c r="J26" s="179">
        <f t="shared" si="2"/>
        <v>3</v>
      </c>
      <c r="K26" s="182"/>
    </row>
    <row r="27">
      <c r="A27" s="177" t="s">
        <v>481</v>
      </c>
      <c r="B27" s="193">
        <v>2.0</v>
      </c>
      <c r="C27" s="17" t="s">
        <v>837</v>
      </c>
      <c r="D27" s="17">
        <v>3.0</v>
      </c>
      <c r="E27" s="179">
        <f t="shared" si="1"/>
        <v>1.666666667</v>
      </c>
      <c r="F27" s="194">
        <v>2.5</v>
      </c>
      <c r="G27" s="193">
        <v>2.0</v>
      </c>
      <c r="H27" s="17" t="s">
        <v>837</v>
      </c>
      <c r="I27" s="17">
        <v>4.0</v>
      </c>
      <c r="J27" s="179">
        <f t="shared" si="2"/>
        <v>2</v>
      </c>
      <c r="K27" s="194">
        <v>3.0</v>
      </c>
    </row>
    <row r="29">
      <c r="A29" s="195" t="s">
        <v>838</v>
      </c>
      <c r="B29" s="196">
        <v>1.53</v>
      </c>
      <c r="C29" s="17">
        <v>1.33</v>
      </c>
      <c r="D29" s="17">
        <v>1.48</v>
      </c>
      <c r="E29" s="197">
        <f>sum(B29:D29)/3</f>
        <v>1.446666667</v>
      </c>
      <c r="F29" s="198"/>
      <c r="G29" s="196">
        <v>2.85</v>
      </c>
      <c r="H29" s="17">
        <v>2.82</v>
      </c>
      <c r="I29" s="17">
        <v>3.36</v>
      </c>
      <c r="J29" s="199">
        <f>sum(G29:I29)/3</f>
        <v>3.01</v>
      </c>
      <c r="K29" s="200"/>
    </row>
    <row r="40">
      <c r="C40" s="17" t="s">
        <v>839</v>
      </c>
    </row>
    <row r="41">
      <c r="A41" s="17" t="s">
        <v>840</v>
      </c>
    </row>
    <row r="43">
      <c r="C43" s="17" t="s">
        <v>841</v>
      </c>
      <c r="K43" s="174" t="s">
        <v>0</v>
      </c>
      <c r="L43" s="175" t="s">
        <v>830</v>
      </c>
      <c r="Q43" s="175" t="s">
        <v>831</v>
      </c>
    </row>
    <row r="44">
      <c r="L44" s="175" t="s">
        <v>842</v>
      </c>
      <c r="M44" s="175" t="s">
        <v>843</v>
      </c>
      <c r="N44" s="175" t="s">
        <v>832</v>
      </c>
      <c r="O44" s="175" t="s">
        <v>835</v>
      </c>
      <c r="P44" s="175" t="s">
        <v>836</v>
      </c>
      <c r="Q44" s="175" t="s">
        <v>844</v>
      </c>
      <c r="R44" s="175" t="s">
        <v>843</v>
      </c>
      <c r="S44" s="175" t="s">
        <v>832</v>
      </c>
      <c r="T44" s="175" t="s">
        <v>835</v>
      </c>
      <c r="U44" s="175" t="s">
        <v>836</v>
      </c>
    </row>
    <row r="45">
      <c r="K45" s="177" t="s">
        <v>626</v>
      </c>
      <c r="L45" s="201">
        <v>1.0</v>
      </c>
      <c r="M45" s="178">
        <v>2.0</v>
      </c>
      <c r="N45" s="178">
        <v>0.0</v>
      </c>
      <c r="O45" s="179">
        <f t="shared" ref="O45:O75" si="3">sum(L45:N45)/3</f>
        <v>1</v>
      </c>
      <c r="P45" s="178" t="s">
        <v>845</v>
      </c>
      <c r="Q45" s="201">
        <v>2.0</v>
      </c>
      <c r="R45" s="178">
        <v>3.0</v>
      </c>
      <c r="S45" s="178">
        <v>2.0</v>
      </c>
      <c r="T45" s="179">
        <f t="shared" ref="T45:T75" si="4">sum(Q45:S45)/3</f>
        <v>2.333333333</v>
      </c>
      <c r="U45" s="180"/>
    </row>
    <row r="46">
      <c r="C46" s="17" t="s">
        <v>846</v>
      </c>
      <c r="K46" s="181" t="s">
        <v>501</v>
      </c>
      <c r="L46" s="202">
        <v>1.0</v>
      </c>
      <c r="M46" s="17">
        <v>1.0</v>
      </c>
      <c r="N46" s="17">
        <v>2.0</v>
      </c>
      <c r="O46" s="203">
        <f t="shared" si="3"/>
        <v>1.333333333</v>
      </c>
      <c r="P46" s="17"/>
      <c r="Q46" s="202">
        <v>3.0</v>
      </c>
      <c r="R46" s="17">
        <v>3.0</v>
      </c>
      <c r="S46" s="17">
        <v>2.0</v>
      </c>
      <c r="T46" s="203">
        <f t="shared" si="4"/>
        <v>2.666666667</v>
      </c>
      <c r="U46" s="182"/>
    </row>
    <row r="47">
      <c r="K47" s="181" t="s">
        <v>502</v>
      </c>
      <c r="L47" s="202">
        <v>0.0</v>
      </c>
      <c r="M47" s="17">
        <v>1.0</v>
      </c>
      <c r="N47" s="17">
        <v>3.0</v>
      </c>
      <c r="O47" s="203">
        <f t="shared" si="3"/>
        <v>1.333333333</v>
      </c>
      <c r="P47" s="17"/>
      <c r="Q47" s="202">
        <v>1.0</v>
      </c>
      <c r="R47" s="17">
        <v>2.0</v>
      </c>
      <c r="S47" s="17">
        <v>2.0</v>
      </c>
      <c r="T47" s="203">
        <f t="shared" si="4"/>
        <v>1.666666667</v>
      </c>
      <c r="U47" s="182"/>
    </row>
    <row r="48">
      <c r="K48" s="183" t="s">
        <v>503</v>
      </c>
      <c r="L48" s="202">
        <v>2.0</v>
      </c>
      <c r="M48" s="17">
        <v>2.0</v>
      </c>
      <c r="N48" s="17">
        <v>1.0</v>
      </c>
      <c r="O48" s="203">
        <f t="shared" si="3"/>
        <v>1.666666667</v>
      </c>
      <c r="P48" s="17"/>
      <c r="Q48" s="202">
        <v>3.0</v>
      </c>
      <c r="R48" s="17">
        <v>2.0</v>
      </c>
      <c r="S48" s="17">
        <v>3.0</v>
      </c>
      <c r="T48" s="203">
        <f t="shared" si="4"/>
        <v>2.666666667</v>
      </c>
      <c r="U48" s="182"/>
    </row>
    <row r="49">
      <c r="C49" s="17" t="s">
        <v>847</v>
      </c>
      <c r="K49" s="183" t="s">
        <v>504</v>
      </c>
      <c r="L49" s="202">
        <v>1.0</v>
      </c>
      <c r="M49" s="17">
        <v>1.0</v>
      </c>
      <c r="N49" s="17">
        <v>1.0</v>
      </c>
      <c r="O49" s="203">
        <f t="shared" si="3"/>
        <v>1</v>
      </c>
      <c r="P49" s="17" t="s">
        <v>848</v>
      </c>
      <c r="Q49" s="202">
        <v>1.0</v>
      </c>
      <c r="R49" s="17">
        <v>2.0</v>
      </c>
      <c r="S49" s="17">
        <v>3.0</v>
      </c>
      <c r="T49" s="203">
        <f t="shared" si="4"/>
        <v>2</v>
      </c>
      <c r="U49" s="182"/>
    </row>
    <row r="50">
      <c r="K50" s="184" t="s">
        <v>672</v>
      </c>
      <c r="L50" s="202">
        <v>1.0</v>
      </c>
      <c r="M50" s="17">
        <v>1.0</v>
      </c>
      <c r="N50" s="17">
        <v>1.0</v>
      </c>
      <c r="O50" s="203">
        <f t="shared" si="3"/>
        <v>1</v>
      </c>
      <c r="P50" s="17" t="s">
        <v>849</v>
      </c>
      <c r="Q50" s="202">
        <v>4.0</v>
      </c>
      <c r="R50" s="17">
        <v>3.0</v>
      </c>
      <c r="S50" s="17">
        <v>3.0</v>
      </c>
      <c r="T50" s="203">
        <f t="shared" si="4"/>
        <v>3.333333333</v>
      </c>
      <c r="U50" s="182"/>
    </row>
    <row r="51">
      <c r="K51" s="187" t="s">
        <v>586</v>
      </c>
      <c r="L51" s="202">
        <v>1.0</v>
      </c>
      <c r="M51" s="17">
        <v>1.0</v>
      </c>
      <c r="N51" s="17">
        <v>2.0</v>
      </c>
      <c r="O51" s="203">
        <f t="shared" si="3"/>
        <v>1.333333333</v>
      </c>
      <c r="P51" s="17"/>
      <c r="Q51" s="202">
        <v>3.0</v>
      </c>
      <c r="R51" s="17">
        <v>3.0</v>
      </c>
      <c r="S51" s="17">
        <v>3.0</v>
      </c>
      <c r="T51" s="203">
        <f t="shared" si="4"/>
        <v>3</v>
      </c>
      <c r="U51" s="182"/>
    </row>
    <row r="52">
      <c r="C52" s="17" t="s">
        <v>850</v>
      </c>
      <c r="K52" s="181" t="s">
        <v>507</v>
      </c>
      <c r="L52" s="202">
        <v>1.0</v>
      </c>
      <c r="M52" s="17">
        <v>1.0</v>
      </c>
      <c r="N52" s="17">
        <v>1.0</v>
      </c>
      <c r="O52" s="203">
        <f t="shared" si="3"/>
        <v>1</v>
      </c>
      <c r="P52" s="17"/>
      <c r="Q52" s="202">
        <v>2.0</v>
      </c>
      <c r="R52" s="17">
        <v>1.0</v>
      </c>
      <c r="S52" s="17">
        <v>4.0</v>
      </c>
      <c r="T52" s="203">
        <f t="shared" si="4"/>
        <v>2.333333333</v>
      </c>
      <c r="U52" s="182"/>
    </row>
    <row r="53">
      <c r="K53" s="185" t="s">
        <v>508</v>
      </c>
      <c r="L53" s="202">
        <v>1.0</v>
      </c>
      <c r="M53" s="17">
        <v>2.0</v>
      </c>
      <c r="N53" s="17">
        <v>1.0</v>
      </c>
      <c r="O53" s="203">
        <f t="shared" si="3"/>
        <v>1.333333333</v>
      </c>
      <c r="P53" s="17"/>
      <c r="Q53" s="202">
        <v>3.0</v>
      </c>
      <c r="R53" s="17">
        <v>2.0</v>
      </c>
      <c r="S53" s="17">
        <v>3.0</v>
      </c>
      <c r="T53" s="203">
        <f t="shared" si="4"/>
        <v>2.666666667</v>
      </c>
      <c r="U53" s="182"/>
    </row>
    <row r="54">
      <c r="K54" s="187" t="s">
        <v>725</v>
      </c>
      <c r="L54" s="202">
        <v>1.0</v>
      </c>
      <c r="M54" s="17">
        <v>0.0</v>
      </c>
      <c r="N54" s="17">
        <v>1.0</v>
      </c>
      <c r="O54" s="203">
        <f t="shared" si="3"/>
        <v>0.6666666667</v>
      </c>
      <c r="P54" s="17"/>
      <c r="Q54" s="202">
        <v>2.0</v>
      </c>
      <c r="R54" s="17">
        <v>1.0</v>
      </c>
      <c r="S54" s="17">
        <v>2.0</v>
      </c>
      <c r="T54" s="203">
        <f t="shared" si="4"/>
        <v>1.666666667</v>
      </c>
      <c r="U54" s="182"/>
    </row>
    <row r="55">
      <c r="K55" s="185" t="s">
        <v>471</v>
      </c>
      <c r="L55" s="202">
        <v>0.0</v>
      </c>
      <c r="M55" s="17">
        <v>1.0</v>
      </c>
      <c r="N55" s="17">
        <v>0.0</v>
      </c>
      <c r="O55" s="203">
        <f t="shared" si="3"/>
        <v>0.3333333333</v>
      </c>
      <c r="P55" s="17" t="s">
        <v>851</v>
      </c>
      <c r="Q55" s="202">
        <v>1.0</v>
      </c>
      <c r="R55" s="17">
        <v>2.0</v>
      </c>
      <c r="S55" s="17">
        <v>3.0</v>
      </c>
      <c r="T55" s="203">
        <f t="shared" si="4"/>
        <v>2</v>
      </c>
      <c r="U55" s="182"/>
    </row>
    <row r="56">
      <c r="C56" s="17" t="s">
        <v>852</v>
      </c>
      <c r="K56" s="186" t="s">
        <v>511</v>
      </c>
      <c r="L56" s="202">
        <v>2.0</v>
      </c>
      <c r="M56" s="17">
        <v>1.0</v>
      </c>
      <c r="N56" s="17">
        <v>2.0</v>
      </c>
      <c r="O56" s="203">
        <f t="shared" si="3"/>
        <v>1.666666667</v>
      </c>
      <c r="P56" s="17"/>
      <c r="Q56" s="202">
        <v>2.0</v>
      </c>
      <c r="R56" s="17">
        <v>4.0</v>
      </c>
      <c r="S56" s="17">
        <v>2.0</v>
      </c>
      <c r="T56" s="203">
        <f t="shared" si="4"/>
        <v>2.666666667</v>
      </c>
      <c r="U56" s="182"/>
    </row>
    <row r="57">
      <c r="K57" s="184" t="s">
        <v>627</v>
      </c>
      <c r="L57" s="202">
        <v>1.0</v>
      </c>
      <c r="M57" s="17">
        <v>1.0</v>
      </c>
      <c r="N57" s="17">
        <v>1.0</v>
      </c>
      <c r="O57" s="203">
        <f t="shared" si="3"/>
        <v>1</v>
      </c>
      <c r="P57" s="17"/>
      <c r="Q57" s="202">
        <v>1.0</v>
      </c>
      <c r="R57" s="17">
        <v>2.0</v>
      </c>
      <c r="S57" s="17">
        <v>3.0</v>
      </c>
      <c r="T57" s="203">
        <f t="shared" si="4"/>
        <v>2</v>
      </c>
      <c r="U57" s="182"/>
    </row>
    <row r="58">
      <c r="C58" s="17" t="s">
        <v>853</v>
      </c>
      <c r="K58" s="187" t="s">
        <v>550</v>
      </c>
      <c r="L58" s="202">
        <v>1.0</v>
      </c>
      <c r="M58" s="17">
        <v>3.0</v>
      </c>
      <c r="N58" s="17">
        <v>1.0</v>
      </c>
      <c r="O58" s="203">
        <f t="shared" si="3"/>
        <v>1.666666667</v>
      </c>
      <c r="P58" s="17"/>
      <c r="Q58" s="202">
        <v>3.0</v>
      </c>
      <c r="R58" s="17">
        <v>1.0</v>
      </c>
      <c r="S58" s="17">
        <v>3.0</v>
      </c>
      <c r="T58" s="203">
        <f t="shared" si="4"/>
        <v>2.333333333</v>
      </c>
      <c r="U58" s="182"/>
    </row>
    <row r="59">
      <c r="K59" s="181" t="s">
        <v>551</v>
      </c>
      <c r="L59" s="202">
        <v>2.0</v>
      </c>
      <c r="M59" s="17">
        <v>1.0</v>
      </c>
      <c r="N59" s="17">
        <v>1.0</v>
      </c>
      <c r="O59" s="203">
        <f t="shared" si="3"/>
        <v>1.333333333</v>
      </c>
      <c r="P59" s="17"/>
      <c r="Q59" s="202">
        <v>4.0</v>
      </c>
      <c r="R59" s="17">
        <v>2.0</v>
      </c>
      <c r="S59" s="17">
        <v>0.0</v>
      </c>
      <c r="T59" s="203">
        <f t="shared" si="4"/>
        <v>2</v>
      </c>
      <c r="U59" s="182"/>
    </row>
    <row r="60">
      <c r="C60" s="17" t="s">
        <v>854</v>
      </c>
      <c r="K60" s="188" t="s">
        <v>673</v>
      </c>
      <c r="L60" s="202" t="s">
        <v>837</v>
      </c>
      <c r="M60" s="17">
        <v>1.0</v>
      </c>
      <c r="N60" s="17">
        <v>3.0</v>
      </c>
      <c r="O60" s="203">
        <f t="shared" si="3"/>
        <v>1.333333333</v>
      </c>
      <c r="P60" s="17">
        <v>4.0</v>
      </c>
      <c r="Q60" s="202" t="s">
        <v>837</v>
      </c>
      <c r="R60" s="17">
        <v>3.0</v>
      </c>
      <c r="S60" s="17">
        <v>3.0</v>
      </c>
      <c r="T60" s="203">
        <f t="shared" si="4"/>
        <v>2</v>
      </c>
      <c r="U60" s="182">
        <v>3.0</v>
      </c>
    </row>
    <row r="61">
      <c r="K61" s="181" t="s">
        <v>514</v>
      </c>
      <c r="L61" s="202" t="s">
        <v>837</v>
      </c>
      <c r="M61" s="17" t="s">
        <v>837</v>
      </c>
      <c r="N61" s="17">
        <v>1.0</v>
      </c>
      <c r="O61" s="203">
        <f t="shared" si="3"/>
        <v>0.3333333333</v>
      </c>
      <c r="P61" s="17">
        <v>1.0</v>
      </c>
      <c r="Q61" s="202" t="s">
        <v>837</v>
      </c>
      <c r="R61" s="17" t="s">
        <v>837</v>
      </c>
      <c r="S61" s="17">
        <v>1.0</v>
      </c>
      <c r="T61" s="203">
        <f t="shared" si="4"/>
        <v>0.3333333333</v>
      </c>
      <c r="U61" s="182">
        <v>1.0</v>
      </c>
    </row>
    <row r="62">
      <c r="K62" s="181" t="s">
        <v>515</v>
      </c>
      <c r="L62" s="202">
        <v>1.0</v>
      </c>
      <c r="M62" s="17">
        <v>1.0</v>
      </c>
      <c r="N62" s="17">
        <v>2.0</v>
      </c>
      <c r="O62" s="203">
        <f t="shared" si="3"/>
        <v>1.333333333</v>
      </c>
      <c r="P62" s="17"/>
      <c r="Q62" s="202">
        <v>3.0</v>
      </c>
      <c r="R62" s="17">
        <v>1.0</v>
      </c>
      <c r="S62" s="17">
        <v>7.0</v>
      </c>
      <c r="T62" s="203">
        <f t="shared" si="4"/>
        <v>3.666666667</v>
      </c>
      <c r="U62" s="182"/>
    </row>
    <row r="63">
      <c r="K63" s="189" t="s">
        <v>587</v>
      </c>
      <c r="L63" s="202">
        <v>0.0</v>
      </c>
      <c r="M63" s="17">
        <v>1.0</v>
      </c>
      <c r="N63" s="17">
        <v>3.0</v>
      </c>
      <c r="O63" s="203">
        <f t="shared" si="3"/>
        <v>1.333333333</v>
      </c>
      <c r="P63" s="17"/>
      <c r="Q63" s="202">
        <v>2.0</v>
      </c>
      <c r="R63" s="17">
        <v>2.0</v>
      </c>
      <c r="S63" s="17">
        <v>3.0</v>
      </c>
      <c r="T63" s="203">
        <f t="shared" si="4"/>
        <v>2.333333333</v>
      </c>
      <c r="U63" s="182"/>
    </row>
    <row r="64">
      <c r="K64" s="189" t="s">
        <v>516</v>
      </c>
      <c r="L64" s="202">
        <v>1.0</v>
      </c>
      <c r="M64" s="17">
        <v>4.0</v>
      </c>
      <c r="N64" s="17">
        <v>0.0</v>
      </c>
      <c r="O64" s="203">
        <f t="shared" si="3"/>
        <v>1.666666667</v>
      </c>
      <c r="P64" s="17"/>
      <c r="Q64" s="202">
        <v>2.0</v>
      </c>
      <c r="R64" s="17">
        <v>2.0</v>
      </c>
      <c r="S64" s="17">
        <v>0.0</v>
      </c>
      <c r="T64" s="203">
        <f t="shared" si="4"/>
        <v>1.333333333</v>
      </c>
      <c r="U64" s="182"/>
    </row>
    <row r="65">
      <c r="K65" s="190" t="s">
        <v>517</v>
      </c>
      <c r="L65" s="202">
        <v>2.0</v>
      </c>
      <c r="M65" s="17">
        <v>1.0</v>
      </c>
      <c r="N65" s="17">
        <v>1.0</v>
      </c>
      <c r="O65" s="203">
        <f t="shared" si="3"/>
        <v>1.333333333</v>
      </c>
      <c r="P65" s="17"/>
      <c r="Q65" s="202">
        <v>2.0</v>
      </c>
      <c r="R65" s="17">
        <v>2.0</v>
      </c>
      <c r="S65" s="17">
        <v>3.0</v>
      </c>
      <c r="T65" s="203">
        <f t="shared" si="4"/>
        <v>2.333333333</v>
      </c>
      <c r="U65" s="182"/>
    </row>
    <row r="66">
      <c r="K66" s="190" t="s">
        <v>588</v>
      </c>
      <c r="L66" s="202">
        <v>2.0</v>
      </c>
      <c r="M66" s="17">
        <v>1.0</v>
      </c>
      <c r="N66" s="17">
        <v>0.0</v>
      </c>
      <c r="O66" s="203">
        <f t="shared" si="3"/>
        <v>1</v>
      </c>
      <c r="P66" s="17"/>
      <c r="Q66" s="202">
        <v>4.0</v>
      </c>
      <c r="R66" s="17">
        <v>2.0</v>
      </c>
      <c r="S66" s="17">
        <v>0.0</v>
      </c>
      <c r="T66" s="203">
        <f t="shared" si="4"/>
        <v>2</v>
      </c>
      <c r="U66" s="182"/>
    </row>
    <row r="67">
      <c r="K67" s="190" t="s">
        <v>519</v>
      </c>
      <c r="L67" s="202">
        <v>1.0</v>
      </c>
      <c r="M67" s="17">
        <v>1.0</v>
      </c>
      <c r="N67" s="17">
        <v>2.0</v>
      </c>
      <c r="O67" s="203">
        <f t="shared" si="3"/>
        <v>1.333333333</v>
      </c>
      <c r="P67" s="17"/>
      <c r="Q67" s="202">
        <v>3.0</v>
      </c>
      <c r="R67" s="17">
        <v>2.0</v>
      </c>
      <c r="S67" s="17">
        <v>2.0</v>
      </c>
      <c r="T67" s="203">
        <f t="shared" si="4"/>
        <v>2.333333333</v>
      </c>
      <c r="U67" s="182"/>
    </row>
    <row r="68">
      <c r="K68" s="190" t="s">
        <v>589</v>
      </c>
      <c r="L68" s="202">
        <v>2.0</v>
      </c>
      <c r="M68" s="17">
        <v>1.0</v>
      </c>
      <c r="N68" s="17">
        <v>2.0</v>
      </c>
      <c r="O68" s="203">
        <f t="shared" si="3"/>
        <v>1.666666667</v>
      </c>
      <c r="P68" s="17"/>
      <c r="Q68" s="202">
        <v>3.0</v>
      </c>
      <c r="R68" s="17">
        <v>3.0</v>
      </c>
      <c r="S68" s="17">
        <v>2.0</v>
      </c>
      <c r="T68" s="203">
        <f t="shared" si="4"/>
        <v>2.666666667</v>
      </c>
      <c r="U68" s="182"/>
    </row>
    <row r="69">
      <c r="K69" s="188" t="s">
        <v>553</v>
      </c>
      <c r="L69" s="202">
        <v>1.0</v>
      </c>
      <c r="M69" s="17">
        <v>0.0</v>
      </c>
      <c r="N69" s="17">
        <v>0.0</v>
      </c>
      <c r="O69" s="203">
        <f t="shared" si="3"/>
        <v>0.3333333333</v>
      </c>
      <c r="P69" s="17"/>
      <c r="Q69" s="202">
        <v>3.0</v>
      </c>
      <c r="R69" s="17">
        <v>4.0</v>
      </c>
      <c r="S69" s="17">
        <v>2.0</v>
      </c>
      <c r="T69" s="203">
        <f t="shared" si="4"/>
        <v>3</v>
      </c>
      <c r="U69" s="182"/>
    </row>
    <row r="70">
      <c r="K70" s="184" t="s">
        <v>475</v>
      </c>
      <c r="L70" s="202">
        <v>0.0</v>
      </c>
      <c r="M70" s="17">
        <v>2.0</v>
      </c>
      <c r="N70" s="17">
        <v>0.0</v>
      </c>
      <c r="O70" s="203">
        <f t="shared" si="3"/>
        <v>0.6666666667</v>
      </c>
      <c r="P70" s="17"/>
      <c r="Q70" s="202">
        <v>3.0</v>
      </c>
      <c r="R70" s="17">
        <v>2.0</v>
      </c>
      <c r="S70" s="17">
        <v>3.0</v>
      </c>
      <c r="T70" s="203">
        <f t="shared" si="4"/>
        <v>2.666666667</v>
      </c>
      <c r="U70" s="182"/>
    </row>
    <row r="71">
      <c r="K71" s="190" t="s">
        <v>674</v>
      </c>
      <c r="L71" s="202" t="s">
        <v>837</v>
      </c>
      <c r="M71" s="17">
        <v>1.0</v>
      </c>
      <c r="N71" s="17">
        <v>1.0</v>
      </c>
      <c r="O71" s="203">
        <f t="shared" si="3"/>
        <v>0.6666666667</v>
      </c>
      <c r="P71" s="17">
        <v>1.0</v>
      </c>
      <c r="Q71" s="202" t="s">
        <v>837</v>
      </c>
      <c r="R71" s="17">
        <v>3.0</v>
      </c>
      <c r="S71" s="17">
        <v>3.0</v>
      </c>
      <c r="T71" s="203">
        <f t="shared" si="4"/>
        <v>2</v>
      </c>
      <c r="U71" s="182">
        <v>3.0</v>
      </c>
    </row>
    <row r="72">
      <c r="K72" s="192" t="s">
        <v>523</v>
      </c>
      <c r="L72" s="202">
        <v>1.0</v>
      </c>
      <c r="M72" s="17">
        <v>1.0</v>
      </c>
      <c r="N72" s="17">
        <v>1.0</v>
      </c>
      <c r="O72" s="203">
        <f t="shared" si="3"/>
        <v>1</v>
      </c>
      <c r="P72" s="17" t="s">
        <v>855</v>
      </c>
      <c r="Q72" s="202">
        <v>4.0</v>
      </c>
      <c r="R72" s="17">
        <v>2.0</v>
      </c>
      <c r="S72" s="17">
        <v>3.0</v>
      </c>
      <c r="T72" s="203">
        <f t="shared" si="4"/>
        <v>3</v>
      </c>
      <c r="U72" s="182"/>
    </row>
    <row r="73">
      <c r="K73" s="188" t="s">
        <v>524</v>
      </c>
      <c r="L73" s="202">
        <v>2.0</v>
      </c>
      <c r="M73" s="17">
        <v>0.0</v>
      </c>
      <c r="N73" s="17">
        <v>2.0</v>
      </c>
      <c r="O73" s="203">
        <f t="shared" si="3"/>
        <v>1.333333333</v>
      </c>
      <c r="P73" s="17"/>
      <c r="Q73" s="202">
        <v>3.0</v>
      </c>
      <c r="R73" s="17">
        <v>4.0</v>
      </c>
      <c r="S73" s="17">
        <v>3.0</v>
      </c>
      <c r="T73" s="203">
        <f t="shared" si="4"/>
        <v>3.333333333</v>
      </c>
      <c r="U73" s="182"/>
    </row>
    <row r="74">
      <c r="K74" s="188" t="s">
        <v>628</v>
      </c>
      <c r="L74" s="202">
        <v>1.0</v>
      </c>
      <c r="M74" s="17">
        <v>2.0</v>
      </c>
      <c r="N74" s="17">
        <v>0.0</v>
      </c>
      <c r="O74" s="203">
        <f t="shared" si="3"/>
        <v>1</v>
      </c>
      <c r="P74" s="17"/>
      <c r="Q74" s="202">
        <v>3.0</v>
      </c>
      <c r="R74" s="17">
        <v>2.0</v>
      </c>
      <c r="S74" s="17">
        <v>3.0</v>
      </c>
      <c r="T74" s="203">
        <f t="shared" si="4"/>
        <v>2.666666667</v>
      </c>
      <c r="U74" s="182"/>
    </row>
    <row r="75">
      <c r="K75" s="177" t="s">
        <v>481</v>
      </c>
      <c r="L75" s="204">
        <v>1.0</v>
      </c>
      <c r="M75" s="193">
        <v>1.0</v>
      </c>
      <c r="N75" s="193">
        <v>2.0</v>
      </c>
      <c r="O75" s="205">
        <f t="shared" si="3"/>
        <v>1.333333333</v>
      </c>
      <c r="P75" s="193"/>
      <c r="Q75" s="204">
        <v>3.0</v>
      </c>
      <c r="R75" s="193">
        <v>2.0</v>
      </c>
      <c r="S75" s="193">
        <v>2.0</v>
      </c>
      <c r="T75" s="205">
        <f t="shared" si="4"/>
        <v>2.333333333</v>
      </c>
      <c r="U75" s="194"/>
    </row>
    <row r="77">
      <c r="K77" s="195" t="s">
        <v>838</v>
      </c>
      <c r="L77" s="196">
        <v>1.45</v>
      </c>
      <c r="M77" s="196">
        <v>1.23</v>
      </c>
      <c r="N77" s="196">
        <v>1.53</v>
      </c>
      <c r="O77" s="197">
        <f>sum(L77:N77)/3</f>
        <v>1.403333333</v>
      </c>
      <c r="P77" s="198"/>
      <c r="Q77" s="196">
        <v>2.65</v>
      </c>
      <c r="R77" s="206">
        <v>2.3</v>
      </c>
      <c r="S77" s="196">
        <v>2.85</v>
      </c>
      <c r="T77" s="199">
        <f>sum(Q77:S77)/3</f>
        <v>2.6</v>
      </c>
      <c r="U77" s="200"/>
    </row>
  </sheetData>
  <mergeCells count="6">
    <mergeCell ref="A1:A2"/>
    <mergeCell ref="B1:F1"/>
    <mergeCell ref="G1:K1"/>
    <mergeCell ref="K43:K44"/>
    <mergeCell ref="L43:P43"/>
    <mergeCell ref="Q43:U43"/>
  </mergeCells>
  <conditionalFormatting sqref="E3:E35 O45:O75">
    <cfRule type="colorScale" priority="1">
      <colorScale>
        <cfvo type="min"/>
        <cfvo type="percent" val="50"/>
        <cfvo type="max"/>
        <color rgb="FFEA9999"/>
        <color rgb="FFFFFFFF"/>
        <color rgb="FFB7E1CD"/>
      </colorScale>
    </cfRule>
  </conditionalFormatting>
  <conditionalFormatting sqref="J3:J27 J29 T45:T75">
    <cfRule type="colorScale" priority="2">
      <colorScale>
        <cfvo type="min"/>
        <cfvo type="percent" val="50"/>
        <cfvo type="max"/>
        <color rgb="FFEA9999"/>
        <color rgb="FFFFFFFF"/>
        <color rgb="FF57BB8A"/>
      </colorScale>
    </cfRule>
  </conditionalFormatting>
  <conditionalFormatting sqref="J3:J27 J29 T45:T75">
    <cfRule type="containsBlanks" dxfId="3" priority="3">
      <formula>LEN(TRIM(J3))=0</formula>
    </cfRule>
  </conditionalFormatting>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0"/>
    <col customWidth="1" min="2" max="2" width="12.25"/>
    <col customWidth="1" min="3" max="3" width="47.75"/>
    <col customWidth="1" min="6" max="6" width="48.25"/>
    <col customWidth="1" min="9" max="9" width="48.25"/>
  </cols>
  <sheetData>
    <row r="1">
      <c r="A1" s="207" t="s">
        <v>856</v>
      </c>
      <c r="B1" s="208"/>
      <c r="C1" s="208"/>
      <c r="D1" s="208"/>
      <c r="E1" s="208"/>
      <c r="F1" s="208"/>
      <c r="G1" s="208"/>
      <c r="H1" s="208"/>
      <c r="I1" s="208"/>
      <c r="J1" s="208"/>
      <c r="K1" s="209"/>
      <c r="L1" s="31"/>
      <c r="M1" s="210" t="s">
        <v>420</v>
      </c>
      <c r="N1" s="210" t="s">
        <v>420</v>
      </c>
      <c r="O1" s="210" t="s">
        <v>422</v>
      </c>
      <c r="P1" s="210" t="s">
        <v>422</v>
      </c>
      <c r="Q1" s="210" t="s">
        <v>423</v>
      </c>
      <c r="R1" s="210" t="s">
        <v>423</v>
      </c>
      <c r="S1" s="210" t="s">
        <v>424</v>
      </c>
      <c r="T1" s="210" t="s">
        <v>425</v>
      </c>
      <c r="U1" s="210" t="s">
        <v>426</v>
      </c>
      <c r="V1" s="210" t="s">
        <v>427</v>
      </c>
      <c r="W1" s="210" t="s">
        <v>420</v>
      </c>
      <c r="X1" s="210" t="s">
        <v>422</v>
      </c>
      <c r="Y1" s="210" t="s">
        <v>422</v>
      </c>
      <c r="Z1" s="210" t="s">
        <v>423</v>
      </c>
      <c r="AA1" s="210" t="s">
        <v>423</v>
      </c>
      <c r="AB1" s="210" t="s">
        <v>424</v>
      </c>
      <c r="AC1" s="210" t="s">
        <v>425</v>
      </c>
      <c r="AD1" s="210" t="s">
        <v>426</v>
      </c>
      <c r="AE1" s="210" t="s">
        <v>427</v>
      </c>
      <c r="AF1" s="210" t="s">
        <v>420</v>
      </c>
      <c r="AG1" s="210" t="s">
        <v>422</v>
      </c>
      <c r="AH1" s="210" t="s">
        <v>422</v>
      </c>
      <c r="AI1" s="210" t="s">
        <v>423</v>
      </c>
      <c r="AJ1" s="210" t="s">
        <v>423</v>
      </c>
      <c r="AK1" s="210" t="s">
        <v>424</v>
      </c>
      <c r="AL1" s="210" t="s">
        <v>425</v>
      </c>
      <c r="AM1" s="210" t="s">
        <v>426</v>
      </c>
      <c r="AN1" s="210" t="s">
        <v>427</v>
      </c>
      <c r="AO1" s="210" t="s">
        <v>420</v>
      </c>
      <c r="AP1" s="210" t="s">
        <v>422</v>
      </c>
      <c r="AQ1" s="210" t="s">
        <v>422</v>
      </c>
      <c r="AR1" s="210" t="s">
        <v>423</v>
      </c>
      <c r="AS1" s="210" t="s">
        <v>423</v>
      </c>
      <c r="AT1" s="210" t="s">
        <v>424</v>
      </c>
      <c r="AU1" s="210" t="s">
        <v>425</v>
      </c>
      <c r="AV1" s="210" t="s">
        <v>426</v>
      </c>
      <c r="AW1" s="210" t="s">
        <v>426</v>
      </c>
      <c r="AX1" s="211" t="s">
        <v>427</v>
      </c>
      <c r="AY1" s="211" t="s">
        <v>420</v>
      </c>
      <c r="AZ1" s="211" t="s">
        <v>422</v>
      </c>
      <c r="BA1" s="212" t="s">
        <v>422</v>
      </c>
      <c r="BB1" s="212" t="s">
        <v>529</v>
      </c>
      <c r="BC1" s="212" t="s">
        <v>423</v>
      </c>
    </row>
    <row r="2">
      <c r="A2" s="213" t="s">
        <v>857</v>
      </c>
      <c r="B2" s="214" t="s">
        <v>858</v>
      </c>
      <c r="C2" s="215" t="s">
        <v>859</v>
      </c>
      <c r="D2" s="215" t="s">
        <v>860</v>
      </c>
      <c r="E2" s="215" t="s">
        <v>861</v>
      </c>
      <c r="F2" s="215" t="s">
        <v>862</v>
      </c>
      <c r="G2" s="215" t="s">
        <v>860</v>
      </c>
      <c r="H2" s="215" t="s">
        <v>861</v>
      </c>
      <c r="I2" s="215" t="s">
        <v>862</v>
      </c>
      <c r="J2" s="215" t="s">
        <v>860</v>
      </c>
      <c r="K2" s="215" t="s">
        <v>861</v>
      </c>
      <c r="L2" s="31"/>
      <c r="M2" s="216" t="s">
        <v>793</v>
      </c>
      <c r="N2" s="216" t="s">
        <v>794</v>
      </c>
      <c r="O2" s="216" t="s">
        <v>795</v>
      </c>
      <c r="P2" s="216" t="s">
        <v>796</v>
      </c>
      <c r="Q2" s="216" t="s">
        <v>797</v>
      </c>
      <c r="R2" s="216" t="s">
        <v>798</v>
      </c>
      <c r="S2" s="217">
        <v>46146.0</v>
      </c>
      <c r="T2" s="217">
        <v>46147.0</v>
      </c>
      <c r="U2" s="217">
        <v>46148.0</v>
      </c>
      <c r="V2" s="217">
        <v>46149.0</v>
      </c>
      <c r="W2" s="217">
        <v>46150.0</v>
      </c>
      <c r="X2" s="216" t="s">
        <v>799</v>
      </c>
      <c r="Y2" s="216" t="s">
        <v>800</v>
      </c>
      <c r="Z2" s="216" t="s">
        <v>801</v>
      </c>
      <c r="AA2" s="216" t="s">
        <v>802</v>
      </c>
      <c r="AB2" s="217">
        <v>46153.0</v>
      </c>
      <c r="AC2" s="217">
        <v>46154.0</v>
      </c>
      <c r="AD2" s="217">
        <v>46155.0</v>
      </c>
      <c r="AE2" s="217">
        <v>46156.0</v>
      </c>
      <c r="AF2" s="217">
        <v>46157.0</v>
      </c>
      <c r="AG2" s="216" t="s">
        <v>803</v>
      </c>
      <c r="AH2" s="216" t="s">
        <v>804</v>
      </c>
      <c r="AI2" s="216" t="s">
        <v>805</v>
      </c>
      <c r="AJ2" s="216" t="s">
        <v>806</v>
      </c>
      <c r="AK2" s="217">
        <v>46160.0</v>
      </c>
      <c r="AL2" s="217">
        <v>46161.0</v>
      </c>
      <c r="AM2" s="217">
        <v>46162.0</v>
      </c>
      <c r="AN2" s="217">
        <v>46163.0</v>
      </c>
      <c r="AO2" s="217">
        <v>46164.0</v>
      </c>
      <c r="AP2" s="216" t="s">
        <v>807</v>
      </c>
      <c r="AQ2" s="216" t="s">
        <v>808</v>
      </c>
      <c r="AR2" s="216" t="s">
        <v>809</v>
      </c>
      <c r="AS2" s="216" t="s">
        <v>810</v>
      </c>
      <c r="AT2" s="217">
        <v>46167.0</v>
      </c>
      <c r="AU2" s="217">
        <v>46168.0</v>
      </c>
      <c r="AV2" s="216" t="s">
        <v>811</v>
      </c>
      <c r="AW2" s="216" t="s">
        <v>812</v>
      </c>
      <c r="AX2" s="218">
        <v>46170.0</v>
      </c>
      <c r="AY2" s="218">
        <v>46171.0</v>
      </c>
      <c r="AZ2" s="211" t="s">
        <v>813</v>
      </c>
      <c r="BA2" s="212" t="s">
        <v>814</v>
      </c>
      <c r="BB2" s="212" t="s">
        <v>815</v>
      </c>
      <c r="BC2" s="212" t="s">
        <v>816</v>
      </c>
    </row>
    <row r="3">
      <c r="A3" s="210" t="s">
        <v>420</v>
      </c>
      <c r="B3" s="216" t="s">
        <v>793</v>
      </c>
      <c r="C3" s="219" t="s">
        <v>626</v>
      </c>
      <c r="D3" s="220" t="str">
        <f>VLOOKUP($C3,'Personnel List'!D:F,2,0)</f>
        <v>8892 9313</v>
      </c>
      <c r="E3" s="221" t="str">
        <f>VLOOKUP($C3,'Personnel List'!D:F,3,0)</f>
        <v>MP BR</v>
      </c>
      <c r="F3" s="222" t="s">
        <v>550</v>
      </c>
      <c r="G3" s="220">
        <f>VLOOKUP($F3, 'Personnel List'!D:F,2,0)</f>
        <v>91190114</v>
      </c>
      <c r="H3" s="220" t="str">
        <f>VLOOKUP($F3, 'Personnel List'!D:F,3,0)</f>
        <v>MP BR</v>
      </c>
      <c r="I3" s="223" t="s">
        <v>818</v>
      </c>
      <c r="J3" s="220" t="str">
        <f>VLOOKUP($I3,'Personnel List'!$D:$F,2,0)</f>
        <v>9850 2943</v>
      </c>
      <c r="K3" s="220" t="str">
        <f>VLOOKUP($I3,'Personnel List'!$D:$F,3,0)</f>
        <v>MP BR</v>
      </c>
      <c r="L3" s="31"/>
      <c r="M3" s="31" t="s">
        <v>626</v>
      </c>
      <c r="N3" s="31" t="s">
        <v>471</v>
      </c>
      <c r="O3" s="31" t="s">
        <v>516</v>
      </c>
      <c r="P3" s="31" t="s">
        <v>475</v>
      </c>
      <c r="Q3" s="31" t="s">
        <v>823</v>
      </c>
      <c r="R3" s="31" t="s">
        <v>673</v>
      </c>
      <c r="S3" s="31" t="s">
        <v>767</v>
      </c>
      <c r="T3" s="31" t="s">
        <v>674</v>
      </c>
      <c r="U3" s="31" t="s">
        <v>514</v>
      </c>
      <c r="V3" s="31" t="s">
        <v>481</v>
      </c>
      <c r="W3" s="31" t="s">
        <v>627</v>
      </c>
      <c r="X3" s="31" t="s">
        <v>672</v>
      </c>
      <c r="Y3" s="31" t="s">
        <v>672</v>
      </c>
      <c r="Z3" s="31" t="s">
        <v>475</v>
      </c>
      <c r="AA3" s="31" t="s">
        <v>818</v>
      </c>
      <c r="AB3" s="31" t="s">
        <v>503</v>
      </c>
      <c r="AC3" s="31" t="s">
        <v>524</v>
      </c>
      <c r="AD3" s="31" t="s">
        <v>822</v>
      </c>
      <c r="AE3" s="31" t="s">
        <v>519</v>
      </c>
      <c r="AF3" s="31" t="s">
        <v>626</v>
      </c>
      <c r="AG3" s="31" t="s">
        <v>475</v>
      </c>
      <c r="AH3" s="31" t="s">
        <v>516</v>
      </c>
      <c r="AI3" s="31" t="s">
        <v>550</v>
      </c>
      <c r="AJ3" s="31" t="s">
        <v>503</v>
      </c>
      <c r="AK3" s="31" t="s">
        <v>481</v>
      </c>
      <c r="AL3" s="31" t="s">
        <v>863</v>
      </c>
      <c r="AM3" s="31" t="s">
        <v>627</v>
      </c>
      <c r="AN3" s="31" t="s">
        <v>471</v>
      </c>
      <c r="AO3" s="31" t="s">
        <v>820</v>
      </c>
      <c r="AP3" s="31" t="s">
        <v>674</v>
      </c>
      <c r="AQ3" s="31" t="s">
        <v>822</v>
      </c>
      <c r="AR3" s="31" t="s">
        <v>767</v>
      </c>
      <c r="AS3" s="31" t="s">
        <v>863</v>
      </c>
      <c r="AT3" s="31" t="s">
        <v>481</v>
      </c>
      <c r="AU3" s="31" t="s">
        <v>824</v>
      </c>
      <c r="AV3" s="31" t="s">
        <v>523</v>
      </c>
      <c r="AW3" s="31" t="s">
        <v>817</v>
      </c>
      <c r="AX3" s="31" t="s">
        <v>501</v>
      </c>
      <c r="AY3" s="31" t="s">
        <v>626</v>
      </c>
      <c r="AZ3" s="31" t="s">
        <v>516</v>
      </c>
      <c r="BA3" s="31" t="s">
        <v>475</v>
      </c>
      <c r="BB3" s="31" t="s">
        <v>766</v>
      </c>
      <c r="BC3" s="31" t="s">
        <v>471</v>
      </c>
    </row>
    <row r="4">
      <c r="A4" s="210" t="s">
        <v>420</v>
      </c>
      <c r="B4" s="216" t="s">
        <v>794</v>
      </c>
      <c r="C4" s="224" t="s">
        <v>821</v>
      </c>
      <c r="D4" s="220" t="str">
        <f>VLOOKUP($C4,'Personnel List'!D:F,2,0)</f>
        <v>9712 9762</v>
      </c>
      <c r="E4" s="221" t="str">
        <f>VLOOKUP($C4,'Personnel List'!D:F,3,0)</f>
        <v>MP BR</v>
      </c>
      <c r="F4" s="222" t="s">
        <v>481</v>
      </c>
      <c r="G4" s="220" t="str">
        <f>VLOOKUP($F4, 'Personnel List'!D:F,2,0)</f>
        <v>8336 0986</v>
      </c>
      <c r="H4" s="220" t="str">
        <f>VLOOKUP($F4, 'Personnel List'!D:F,3,0)</f>
        <v>MP BR</v>
      </c>
      <c r="I4" s="223" t="s">
        <v>550</v>
      </c>
      <c r="J4" s="220">
        <f>VLOOKUP($I4,'Personnel List'!$D:$F,2,0)</f>
        <v>91190114</v>
      </c>
      <c r="K4" s="220" t="str">
        <f>VLOOKUP($I4,'Personnel List'!$D:$F,3,0)</f>
        <v>MP BR</v>
      </c>
      <c r="L4" s="31"/>
      <c r="M4" s="31" t="s">
        <v>550</v>
      </c>
      <c r="N4" s="31" t="s">
        <v>481</v>
      </c>
      <c r="O4" s="31" t="s">
        <v>820</v>
      </c>
      <c r="P4" s="31" t="s">
        <v>626</v>
      </c>
      <c r="Q4" s="31" t="s">
        <v>820</v>
      </c>
      <c r="R4" s="31" t="s">
        <v>550</v>
      </c>
      <c r="S4" s="31" t="s">
        <v>824</v>
      </c>
      <c r="T4" s="31" t="s">
        <v>519</v>
      </c>
      <c r="U4" s="31" t="s">
        <v>817</v>
      </c>
      <c r="V4" s="31" t="s">
        <v>822</v>
      </c>
      <c r="W4" s="31" t="s">
        <v>673</v>
      </c>
      <c r="X4" s="31" t="s">
        <v>627</v>
      </c>
      <c r="Y4" s="31" t="s">
        <v>818</v>
      </c>
      <c r="Z4" s="31" t="s">
        <v>516</v>
      </c>
      <c r="AA4" s="31" t="s">
        <v>550</v>
      </c>
      <c r="AB4" s="31" t="s">
        <v>767</v>
      </c>
      <c r="AC4" s="31" t="s">
        <v>824</v>
      </c>
      <c r="AD4" s="31" t="s">
        <v>818</v>
      </c>
      <c r="AE4" s="31" t="s">
        <v>820</v>
      </c>
      <c r="AF4" s="31" t="s">
        <v>817</v>
      </c>
      <c r="AG4" s="31" t="s">
        <v>674</v>
      </c>
      <c r="AH4" s="31" t="s">
        <v>475</v>
      </c>
      <c r="AI4" s="31" t="s">
        <v>514</v>
      </c>
      <c r="AJ4" s="31" t="s">
        <v>519</v>
      </c>
      <c r="AK4" s="31" t="s">
        <v>524</v>
      </c>
      <c r="AL4" s="31" t="s">
        <v>471</v>
      </c>
      <c r="AM4" s="31" t="s">
        <v>823</v>
      </c>
      <c r="AN4" s="31" t="s">
        <v>501</v>
      </c>
      <c r="AO4" s="31" t="s">
        <v>627</v>
      </c>
      <c r="AP4" s="31" t="s">
        <v>519</v>
      </c>
      <c r="AQ4" s="31" t="s">
        <v>626</v>
      </c>
      <c r="AR4" s="31" t="s">
        <v>503</v>
      </c>
      <c r="AS4" s="31" t="s">
        <v>524</v>
      </c>
      <c r="AT4" s="31" t="s">
        <v>673</v>
      </c>
      <c r="AU4" s="31" t="s">
        <v>481</v>
      </c>
      <c r="AV4" s="31" t="s">
        <v>766</v>
      </c>
      <c r="AW4" s="31" t="s">
        <v>822</v>
      </c>
      <c r="AX4" s="31" t="s">
        <v>824</v>
      </c>
      <c r="AY4" s="31" t="s">
        <v>503</v>
      </c>
      <c r="AZ4" s="31" t="s">
        <v>767</v>
      </c>
      <c r="BA4" s="31" t="s">
        <v>674</v>
      </c>
      <c r="BB4" s="31" t="s">
        <v>471</v>
      </c>
      <c r="BC4" s="31" t="s">
        <v>523</v>
      </c>
    </row>
    <row r="5">
      <c r="A5" s="210" t="s">
        <v>422</v>
      </c>
      <c r="B5" s="216" t="s">
        <v>795</v>
      </c>
      <c r="C5" s="219" t="s">
        <v>516</v>
      </c>
      <c r="D5" s="220" t="str">
        <f>VLOOKUP($C5,'Personnel List'!D:F,2,0)</f>
        <v>8655 8290</v>
      </c>
      <c r="E5" s="221" t="str">
        <f>VLOOKUP($C5,'Personnel List'!D:F,3,0)</f>
        <v>OPS ROOM</v>
      </c>
      <c r="F5" s="222" t="s">
        <v>820</v>
      </c>
      <c r="G5" s="220" t="str">
        <f>VLOOKUP($F5, 'Personnel List'!D:F,2,0)</f>
        <v>8319 2860</v>
      </c>
      <c r="H5" s="220" t="str">
        <f>VLOOKUP($F5, 'Personnel List'!D:F,3,0)</f>
        <v>MP BR</v>
      </c>
      <c r="I5" s="225" t="s">
        <v>819</v>
      </c>
      <c r="J5" s="220" t="str">
        <f>VLOOKUP($I5,'Personnel List'!$D:$F,2,0)</f>
        <v>8808 6823</v>
      </c>
      <c r="K5" s="220" t="str">
        <f>VLOOKUP($I5,'Personnel List'!$D:$F,3,0)</f>
        <v>MP BR</v>
      </c>
      <c r="L5" s="31"/>
      <c r="M5" s="29" t="s">
        <v>818</v>
      </c>
      <c r="N5" s="29" t="s">
        <v>550</v>
      </c>
      <c r="O5" s="29" t="s">
        <v>863</v>
      </c>
      <c r="P5" s="29" t="s">
        <v>523</v>
      </c>
      <c r="Q5" s="29" t="s">
        <v>674</v>
      </c>
      <c r="R5" s="29" t="s">
        <v>503</v>
      </c>
      <c r="S5" s="29" t="s">
        <v>481</v>
      </c>
      <c r="T5" s="29" t="s">
        <v>818</v>
      </c>
      <c r="U5" s="29" t="s">
        <v>626</v>
      </c>
      <c r="V5" s="29" t="s">
        <v>475</v>
      </c>
      <c r="W5" s="29" t="s">
        <v>820</v>
      </c>
      <c r="X5" s="29" t="s">
        <v>550</v>
      </c>
      <c r="Y5" s="29" t="s">
        <v>514</v>
      </c>
      <c r="Z5" s="29" t="s">
        <v>519</v>
      </c>
      <c r="AA5" s="29" t="s">
        <v>823</v>
      </c>
      <c r="AB5" s="29" t="s">
        <v>674</v>
      </c>
      <c r="AC5" s="29" t="s">
        <v>501</v>
      </c>
      <c r="AD5" s="29" t="s">
        <v>673</v>
      </c>
      <c r="AE5" s="29" t="s">
        <v>524</v>
      </c>
      <c r="AF5" s="29" t="s">
        <v>672</v>
      </c>
      <c r="AG5" s="29" t="s">
        <v>627</v>
      </c>
      <c r="AH5" s="29" t="s">
        <v>823</v>
      </c>
      <c r="AI5" s="29" t="s">
        <v>823</v>
      </c>
      <c r="AJ5" s="29" t="s">
        <v>672</v>
      </c>
      <c r="AK5" s="29" t="s">
        <v>822</v>
      </c>
      <c r="AL5" s="29" t="s">
        <v>824</v>
      </c>
      <c r="AM5" s="29" t="s">
        <v>516</v>
      </c>
      <c r="AN5" s="29" t="s">
        <v>481</v>
      </c>
      <c r="AO5" s="29" t="s">
        <v>863</v>
      </c>
      <c r="AP5" s="29" t="s">
        <v>516</v>
      </c>
      <c r="AQ5" s="29" t="s">
        <v>501</v>
      </c>
      <c r="AR5" s="29" t="s">
        <v>475</v>
      </c>
      <c r="AS5" s="29" t="s">
        <v>824</v>
      </c>
      <c r="AT5" s="29" t="s">
        <v>817</v>
      </c>
      <c r="AU5" s="29" t="s">
        <v>471</v>
      </c>
      <c r="AV5" s="29" t="s">
        <v>767</v>
      </c>
      <c r="AW5" s="29" t="s">
        <v>824</v>
      </c>
      <c r="AX5" s="29" t="s">
        <v>523</v>
      </c>
      <c r="AY5" s="29" t="s">
        <v>514</v>
      </c>
      <c r="AZ5" s="29" t="s">
        <v>766</v>
      </c>
      <c r="BA5" s="29" t="s">
        <v>501</v>
      </c>
      <c r="BB5" s="29" t="s">
        <v>863</v>
      </c>
      <c r="BC5" s="29" t="s">
        <v>818</v>
      </c>
    </row>
    <row r="6">
      <c r="A6" s="210" t="s">
        <v>422</v>
      </c>
      <c r="B6" s="216" t="s">
        <v>796</v>
      </c>
      <c r="C6" s="219" t="s">
        <v>475</v>
      </c>
      <c r="D6" s="220" t="str">
        <f>VLOOKUP($C6,'Personnel List'!D:F,2,0)</f>
        <v>9745 4300</v>
      </c>
      <c r="E6" s="221" t="str">
        <f>VLOOKUP($C6,'Personnel List'!D:F,3,0)</f>
        <v>TCRS 3</v>
      </c>
      <c r="F6" s="222" t="s">
        <v>626</v>
      </c>
      <c r="G6" s="220" t="str">
        <f>VLOOKUP($F6, 'Personnel List'!D:F,2,0)</f>
        <v>8892 9313</v>
      </c>
      <c r="H6" s="220" t="str">
        <f>VLOOKUP($F6, 'Personnel List'!D:F,3,0)</f>
        <v>MP BR</v>
      </c>
      <c r="I6" s="223" t="s">
        <v>523</v>
      </c>
      <c r="J6" s="220" t="str">
        <f>VLOOKUP($I6,'Personnel List'!$D:$F,2,0)</f>
        <v>9456 3181</v>
      </c>
      <c r="K6" s="220" t="str">
        <f>VLOOKUP($I6,'Personnel List'!$D:$F,3,0)</f>
        <v>TCRS 2</v>
      </c>
      <c r="L6" s="31"/>
    </row>
    <row r="7">
      <c r="A7" s="210" t="s">
        <v>423</v>
      </c>
      <c r="B7" s="216" t="s">
        <v>797</v>
      </c>
      <c r="C7" s="219" t="s">
        <v>823</v>
      </c>
      <c r="D7" s="220">
        <f>VLOOKUP($C7,'Personnel List'!D:F,2,0)</f>
        <v>91138112</v>
      </c>
      <c r="E7" s="221" t="str">
        <f>VLOOKUP($C7,'Personnel List'!D:F,3,0)</f>
        <v>MP BR</v>
      </c>
      <c r="F7" s="222" t="s">
        <v>820</v>
      </c>
      <c r="G7" s="220" t="str">
        <f>VLOOKUP($F7, 'Personnel List'!D:F,2,0)</f>
        <v>8319 2860</v>
      </c>
      <c r="H7" s="220" t="str">
        <f>VLOOKUP($F7, 'Personnel List'!D:F,3,0)</f>
        <v>MP BR</v>
      </c>
      <c r="I7" s="223" t="s">
        <v>674</v>
      </c>
      <c r="J7" s="220" t="str">
        <f>VLOOKUP($I7,'Personnel List'!$D:$F,2,0)</f>
        <v>8183 3372</v>
      </c>
      <c r="K7" s="220" t="str">
        <f>VLOOKUP($I7,'Personnel List'!$D:$F,3,0)</f>
        <v>SIGNALS</v>
      </c>
      <c r="L7" s="31"/>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row>
    <row r="8">
      <c r="A8" s="210" t="s">
        <v>423</v>
      </c>
      <c r="B8" s="216" t="s">
        <v>798</v>
      </c>
      <c r="C8" s="219" t="s">
        <v>673</v>
      </c>
      <c r="D8" s="220" t="str">
        <f>VLOOKUP($C8,'Personnel List'!D:F,2,0)</f>
        <v>9651 9102</v>
      </c>
      <c r="E8" s="221" t="str">
        <f>VLOOKUP($C8,'Personnel List'!D:F,3,0)</f>
        <v>TRG BR</v>
      </c>
      <c r="F8" s="222" t="s">
        <v>550</v>
      </c>
      <c r="G8" s="220">
        <f>VLOOKUP($F8, 'Personnel List'!D:F,2,0)</f>
        <v>91190114</v>
      </c>
      <c r="H8" s="220" t="str">
        <f>VLOOKUP($F8, 'Personnel List'!D:F,3,0)</f>
        <v>MP BR</v>
      </c>
      <c r="I8" s="223" t="s">
        <v>503</v>
      </c>
      <c r="J8" s="220" t="str">
        <f>VLOOKUP($I8,'Personnel List'!$D:$F,2,0)</f>
        <v>8121 6588</v>
      </c>
      <c r="K8" s="220" t="str">
        <f>VLOOKUP($I8,'Personnel List'!$D:$F,3,0)</f>
        <v>MEDIA</v>
      </c>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row>
    <row r="9">
      <c r="A9" s="210" t="s">
        <v>424</v>
      </c>
      <c r="B9" s="217">
        <v>46146.0</v>
      </c>
      <c r="C9" s="224" t="s">
        <v>864</v>
      </c>
      <c r="D9" s="220" t="str">
        <f>VLOOKUP($C9,'Personnel List'!D:F,2,0)</f>
        <v>8514 9261</v>
      </c>
      <c r="E9" s="221" t="str">
        <f>VLOOKUP($C9,'Personnel List'!D:F,3,0)</f>
        <v>MEDIA</v>
      </c>
      <c r="F9" s="222" t="s">
        <v>824</v>
      </c>
      <c r="G9" s="220" t="str">
        <f>VLOOKUP($F9, 'Personnel List'!D:F,2,0)</f>
        <v>9388 5336</v>
      </c>
      <c r="H9" s="220" t="str">
        <f>VLOOKUP($F9, 'Personnel List'!D:F,3,0)</f>
        <v>MP BR</v>
      </c>
      <c r="I9" s="223" t="s">
        <v>481</v>
      </c>
      <c r="J9" s="220" t="str">
        <f>VLOOKUP($I9,'Personnel List'!$D:$F,2,0)</f>
        <v>8336 0986</v>
      </c>
      <c r="K9" s="220" t="str">
        <f>VLOOKUP($I9,'Personnel List'!$D:$F,3,0)</f>
        <v>MP BR</v>
      </c>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row>
    <row r="10">
      <c r="A10" s="210" t="s">
        <v>425</v>
      </c>
      <c r="B10" s="217">
        <v>46147.0</v>
      </c>
      <c r="C10" s="219" t="s">
        <v>674</v>
      </c>
      <c r="D10" s="220" t="str">
        <f>VLOOKUP($C10,'Personnel List'!D:F,2,0)</f>
        <v>8183 3372</v>
      </c>
      <c r="E10" s="221" t="str">
        <f>VLOOKUP($C10,'Personnel List'!D:F,3,0)</f>
        <v>SIGNALS</v>
      </c>
      <c r="F10" s="222" t="s">
        <v>519</v>
      </c>
      <c r="G10" s="220" t="str">
        <f>VLOOKUP($F10, 'Personnel List'!D:F,2,0)</f>
        <v>9005 8252</v>
      </c>
      <c r="H10" s="220" t="str">
        <f>VLOOKUP($F10, 'Personnel List'!D:F,3,0)</f>
        <v>SIGNALS</v>
      </c>
      <c r="I10" s="223" t="s">
        <v>818</v>
      </c>
      <c r="J10" s="220" t="str">
        <f>VLOOKUP($I10,'Personnel List'!$D:$F,2,0)</f>
        <v>9850 2943</v>
      </c>
      <c r="K10" s="220" t="str">
        <f>VLOOKUP($I10,'Personnel List'!$D:$F,3,0)</f>
        <v>MP BR</v>
      </c>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row>
    <row r="11">
      <c r="A11" s="210" t="s">
        <v>426</v>
      </c>
      <c r="B11" s="217">
        <v>46148.0</v>
      </c>
      <c r="C11" s="219" t="s">
        <v>514</v>
      </c>
      <c r="D11" s="220" t="str">
        <f>VLOOKUP($C11,'Personnel List'!D:F,2,0)</f>
        <v>8268 8147</v>
      </c>
      <c r="E11" s="221" t="str">
        <f>VLOOKUP($C11,'Personnel List'!D:F,3,0)</f>
        <v>MP BR</v>
      </c>
      <c r="F11" s="222" t="s">
        <v>817</v>
      </c>
      <c r="G11" s="220" t="str">
        <f>VLOOKUP($F11, 'Personnel List'!D:F,2,0)</f>
        <v>9691 5590</v>
      </c>
      <c r="H11" s="220" t="str">
        <f>VLOOKUP($F11, 'Personnel List'!D:F,3,0)</f>
        <v>MP BR</v>
      </c>
      <c r="I11" s="223" t="s">
        <v>626</v>
      </c>
      <c r="J11" s="220" t="str">
        <f>VLOOKUP($I11,'Personnel List'!$D:$F,2,0)</f>
        <v>8892 9313</v>
      </c>
      <c r="K11" s="220" t="str">
        <f>VLOOKUP($I11,'Personnel List'!$D:$F,3,0)</f>
        <v>MP BR</v>
      </c>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row>
    <row r="12">
      <c r="A12" s="210" t="s">
        <v>427</v>
      </c>
      <c r="B12" s="217">
        <v>46149.0</v>
      </c>
      <c r="C12" s="219" t="s">
        <v>481</v>
      </c>
      <c r="D12" s="220" t="str">
        <f>VLOOKUP($C12,'Personnel List'!D:F,2,0)</f>
        <v>8336 0986</v>
      </c>
      <c r="E12" s="221" t="str">
        <f>VLOOKUP($C12,'Personnel List'!D:F,3,0)</f>
        <v>MP BR</v>
      </c>
      <c r="F12" s="222" t="s">
        <v>822</v>
      </c>
      <c r="G12" s="220" t="str">
        <f>VLOOKUP($F12, 'Personnel List'!D:F,2,0)</f>
        <v>9363 9290</v>
      </c>
      <c r="H12" s="220" t="str">
        <f>VLOOKUP($F12, 'Personnel List'!D:F,3,0)</f>
        <v>OPS ROOM</v>
      </c>
      <c r="I12" s="223" t="s">
        <v>475</v>
      </c>
      <c r="J12" s="220" t="str">
        <f>VLOOKUP($I12,'Personnel List'!$D:$F,2,0)</f>
        <v>9745 4300</v>
      </c>
      <c r="K12" s="220" t="str">
        <f>VLOOKUP($I12,'Personnel List'!$D:$F,3,0)</f>
        <v>TCRS 3</v>
      </c>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row>
    <row r="13">
      <c r="A13" s="210" t="s">
        <v>420</v>
      </c>
      <c r="B13" s="217">
        <v>46150.0</v>
      </c>
      <c r="C13" s="219" t="s">
        <v>627</v>
      </c>
      <c r="D13" s="220" t="str">
        <f>VLOOKUP($C13,'Personnel List'!D:F,2,0)</f>
        <v>9321 8831</v>
      </c>
      <c r="E13" s="221" t="str">
        <f>VLOOKUP($C13,'Personnel List'!D:F,3,0)</f>
        <v>TCRS 3</v>
      </c>
      <c r="F13" s="222" t="s">
        <v>673</v>
      </c>
      <c r="G13" s="220" t="str">
        <f>VLOOKUP($F13, 'Personnel List'!D:F,2,0)</f>
        <v>9651 9102</v>
      </c>
      <c r="H13" s="220" t="str">
        <f>VLOOKUP($F13, 'Personnel List'!D:F,3,0)</f>
        <v>TRG BR</v>
      </c>
      <c r="I13" s="223" t="s">
        <v>820</v>
      </c>
      <c r="J13" s="220" t="str">
        <f>VLOOKUP($I13,'Personnel List'!$D:$F,2,0)</f>
        <v>8319 2860</v>
      </c>
      <c r="K13" s="220" t="str">
        <f>VLOOKUP($I13,'Personnel List'!$D:$F,3,0)</f>
        <v>MP BR</v>
      </c>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row>
    <row r="14">
      <c r="A14" s="210" t="s">
        <v>422</v>
      </c>
      <c r="B14" s="216" t="s">
        <v>799</v>
      </c>
      <c r="C14" s="219" t="s">
        <v>672</v>
      </c>
      <c r="D14" s="220" t="str">
        <f>VLOOKUP($C14,'Personnel List'!D:F,2,0)</f>
        <v>8563 5705</v>
      </c>
      <c r="E14" s="221" t="str">
        <f>VLOOKUP($C14,'Personnel List'!D:F,3,0)</f>
        <v>TCRS 3</v>
      </c>
      <c r="F14" s="222" t="s">
        <v>627</v>
      </c>
      <c r="G14" s="220" t="str">
        <f>VLOOKUP($F14, 'Personnel List'!D:F,2,0)</f>
        <v>9321 8831</v>
      </c>
      <c r="H14" s="220" t="str">
        <f>VLOOKUP($F14, 'Personnel List'!D:F,3,0)</f>
        <v>TCRS 3</v>
      </c>
      <c r="I14" s="223" t="s">
        <v>550</v>
      </c>
      <c r="J14" s="220">
        <f>VLOOKUP($I14,'Personnel List'!$D:$F,2,0)</f>
        <v>91190114</v>
      </c>
      <c r="K14" s="220" t="str">
        <f>VLOOKUP($I14,'Personnel List'!$D:$F,3,0)</f>
        <v>MP BR</v>
      </c>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row>
    <row r="15">
      <c r="A15" s="210" t="s">
        <v>422</v>
      </c>
      <c r="B15" s="216" t="s">
        <v>800</v>
      </c>
      <c r="C15" s="219" t="s">
        <v>672</v>
      </c>
      <c r="D15" s="220" t="str">
        <f>VLOOKUP($C15,'Personnel List'!D:F,2,0)</f>
        <v>8563 5705</v>
      </c>
      <c r="E15" s="221" t="str">
        <f>VLOOKUP($C15,'Personnel List'!D:F,3,0)</f>
        <v>TCRS 3</v>
      </c>
      <c r="F15" s="222" t="s">
        <v>818</v>
      </c>
      <c r="G15" s="220" t="str">
        <f>VLOOKUP($F15, 'Personnel List'!D:F,2,0)</f>
        <v>9850 2943</v>
      </c>
      <c r="H15" s="220" t="str">
        <f>VLOOKUP($F15, 'Personnel List'!D:F,3,0)</f>
        <v>MP BR</v>
      </c>
      <c r="I15" s="223" t="s">
        <v>514</v>
      </c>
      <c r="J15" s="220" t="str">
        <f>VLOOKUP($I15,'Personnel List'!$D:$F,2,0)</f>
        <v>8268 8147</v>
      </c>
      <c r="K15" s="220" t="str">
        <f>VLOOKUP($I15,'Personnel List'!$D:$F,3,0)</f>
        <v>MP BR</v>
      </c>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row>
    <row r="16">
      <c r="A16" s="210" t="s">
        <v>423</v>
      </c>
      <c r="B16" s="216" t="s">
        <v>801</v>
      </c>
      <c r="C16" s="219" t="s">
        <v>475</v>
      </c>
      <c r="D16" s="220" t="str">
        <f>VLOOKUP($C16,'Personnel List'!D:F,2,0)</f>
        <v>9745 4300</v>
      </c>
      <c r="E16" s="221" t="str">
        <f>VLOOKUP($C16,'Personnel List'!D:F,3,0)</f>
        <v>TCRS 3</v>
      </c>
      <c r="F16" s="222" t="s">
        <v>516</v>
      </c>
      <c r="G16" s="220" t="str">
        <f>VLOOKUP($F16, 'Personnel List'!D:F,2,0)</f>
        <v>8655 8290</v>
      </c>
      <c r="H16" s="220" t="str">
        <f>VLOOKUP($F16, 'Personnel List'!D:F,3,0)</f>
        <v>OPS ROOM</v>
      </c>
      <c r="I16" s="223" t="s">
        <v>519</v>
      </c>
      <c r="J16" s="220" t="str">
        <f>VLOOKUP($I16,'Personnel List'!$D:$F,2,0)</f>
        <v>9005 8252</v>
      </c>
      <c r="K16" s="220" t="str">
        <f>VLOOKUP($I16,'Personnel List'!$D:$F,3,0)</f>
        <v>SIGNALS</v>
      </c>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row>
    <row r="17">
      <c r="A17" s="210" t="s">
        <v>423</v>
      </c>
      <c r="B17" s="216" t="s">
        <v>802</v>
      </c>
      <c r="C17" s="219" t="s">
        <v>818</v>
      </c>
      <c r="D17" s="220" t="str">
        <f>VLOOKUP($C17,'Personnel List'!D:F,2,0)</f>
        <v>9850 2943</v>
      </c>
      <c r="E17" s="221" t="str">
        <f>VLOOKUP($C17,'Personnel List'!D:F,3,0)</f>
        <v>MP BR</v>
      </c>
      <c r="F17" s="222" t="s">
        <v>550</v>
      </c>
      <c r="G17" s="220">
        <f>VLOOKUP($F17, 'Personnel List'!D:F,2,0)</f>
        <v>91190114</v>
      </c>
      <c r="H17" s="220" t="str">
        <f>VLOOKUP($F17, 'Personnel List'!D:F,3,0)</f>
        <v>MP BR</v>
      </c>
      <c r="I17" s="223" t="s">
        <v>823</v>
      </c>
      <c r="J17" s="220">
        <f>VLOOKUP($I17,'Personnel List'!$D:$F,2,0)</f>
        <v>91138112</v>
      </c>
      <c r="K17" s="220" t="str">
        <f>VLOOKUP($I17,'Personnel List'!$D:$F,3,0)</f>
        <v>MP BR</v>
      </c>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row>
    <row r="18">
      <c r="A18" s="210" t="s">
        <v>424</v>
      </c>
      <c r="B18" s="217">
        <v>46153.0</v>
      </c>
      <c r="C18" s="219" t="s">
        <v>503</v>
      </c>
      <c r="D18" s="220" t="str">
        <f>VLOOKUP($C18,'Personnel List'!D:F,2,0)</f>
        <v>8121 6588</v>
      </c>
      <c r="E18" s="221" t="str">
        <f>VLOOKUP($C18,'Personnel List'!D:F,3,0)</f>
        <v>MEDIA</v>
      </c>
      <c r="F18" s="226" t="s">
        <v>864</v>
      </c>
      <c r="G18" s="220" t="str">
        <f>VLOOKUP($F18, 'Personnel List'!D:F,2,0)</f>
        <v>8514 9261</v>
      </c>
      <c r="H18" s="220" t="str">
        <f>VLOOKUP($F18, 'Personnel List'!D:F,3,0)</f>
        <v>MEDIA</v>
      </c>
      <c r="I18" s="223" t="s">
        <v>674</v>
      </c>
      <c r="J18" s="220" t="str">
        <f>VLOOKUP($I18,'Personnel List'!$D:$F,2,0)</f>
        <v>8183 3372</v>
      </c>
      <c r="K18" s="220" t="str">
        <f>VLOOKUP($I18,'Personnel List'!$D:$F,3,0)</f>
        <v>SIGNALS</v>
      </c>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row>
    <row r="19">
      <c r="A19" s="210" t="s">
        <v>425</v>
      </c>
      <c r="B19" s="217">
        <v>46154.0</v>
      </c>
      <c r="C19" s="219" t="s">
        <v>524</v>
      </c>
      <c r="D19" s="220">
        <f>VLOOKUP($C19,'Personnel List'!D:F,2,0)</f>
        <v>89271158</v>
      </c>
      <c r="E19" s="221" t="str">
        <f>VLOOKUP($C19,'Personnel List'!D:F,3,0)</f>
        <v>TRG BR</v>
      </c>
      <c r="F19" s="222" t="s">
        <v>824</v>
      </c>
      <c r="G19" s="220" t="str">
        <f>VLOOKUP($F19, 'Personnel List'!D:F,2,0)</f>
        <v>9388 5336</v>
      </c>
      <c r="H19" s="220" t="str">
        <f>VLOOKUP($F19, 'Personnel List'!D:F,3,0)</f>
        <v>MP BR</v>
      </c>
      <c r="I19" s="223" t="s">
        <v>501</v>
      </c>
      <c r="J19" s="220" t="str">
        <f>VLOOKUP($I19,'Personnel List'!$D:$F,2,0)</f>
        <v>8887 3117</v>
      </c>
      <c r="K19" s="220" t="str">
        <f>VLOOKUP($I19,'Personnel List'!$D:$F,3,0)</f>
        <v>MP BR</v>
      </c>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row>
    <row r="20">
      <c r="A20" s="210" t="s">
        <v>426</v>
      </c>
      <c r="B20" s="217">
        <v>46155.0</v>
      </c>
      <c r="C20" s="219" t="s">
        <v>822</v>
      </c>
      <c r="D20" s="220" t="str">
        <f>VLOOKUP($C20,'Personnel List'!D:F,2,0)</f>
        <v>9363 9290</v>
      </c>
      <c r="E20" s="221" t="str">
        <f>VLOOKUP($C20,'Personnel List'!D:F,3,0)</f>
        <v>OPS ROOM</v>
      </c>
      <c r="F20" s="222" t="s">
        <v>818</v>
      </c>
      <c r="G20" s="220" t="str">
        <f>VLOOKUP($F20, 'Personnel List'!D:F,2,0)</f>
        <v>9850 2943</v>
      </c>
      <c r="H20" s="220" t="str">
        <f>VLOOKUP($F20, 'Personnel List'!D:F,3,0)</f>
        <v>MP BR</v>
      </c>
      <c r="I20" s="223" t="s">
        <v>673</v>
      </c>
      <c r="J20" s="220" t="str">
        <f>VLOOKUP($I20,'Personnel List'!$D:$F,2,0)</f>
        <v>9651 9102</v>
      </c>
      <c r="K20" s="220" t="str">
        <f>VLOOKUP($I20,'Personnel List'!$D:$F,3,0)</f>
        <v>TRG BR</v>
      </c>
      <c r="L20" s="31"/>
      <c r="M20" s="31"/>
      <c r="N20" s="31"/>
      <c r="O20" s="31"/>
      <c r="P20" s="31"/>
      <c r="Q20" s="31"/>
      <c r="R20" s="173"/>
      <c r="S20" s="47"/>
      <c r="T20" s="227"/>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row>
    <row r="21">
      <c r="A21" s="210" t="s">
        <v>427</v>
      </c>
      <c r="B21" s="217">
        <v>46156.0</v>
      </c>
      <c r="C21" s="219" t="s">
        <v>519</v>
      </c>
      <c r="D21" s="220" t="str">
        <f>VLOOKUP($C21,'Personnel List'!D:F,2,0)</f>
        <v>9005 8252</v>
      </c>
      <c r="E21" s="221" t="str">
        <f>VLOOKUP($C21,'Personnel List'!D:F,3,0)</f>
        <v>SIGNALS</v>
      </c>
      <c r="F21" s="222" t="s">
        <v>820</v>
      </c>
      <c r="G21" s="220" t="str">
        <f>VLOOKUP($F21, 'Personnel List'!D:F,2,0)</f>
        <v>8319 2860</v>
      </c>
      <c r="H21" s="220" t="str">
        <f>VLOOKUP($F21, 'Personnel List'!D:F,3,0)</f>
        <v>MP BR</v>
      </c>
      <c r="I21" s="223" t="s">
        <v>524</v>
      </c>
      <c r="J21" s="220">
        <f>VLOOKUP($I21,'Personnel List'!$D:$F,2,0)</f>
        <v>89271158</v>
      </c>
      <c r="K21" s="220" t="str">
        <f>VLOOKUP($I21,'Personnel List'!$D:$F,3,0)</f>
        <v>TRG BR</v>
      </c>
      <c r="L21" s="31"/>
      <c r="M21" s="31"/>
      <c r="N21" s="31"/>
      <c r="O21" s="31"/>
      <c r="P21" s="31"/>
      <c r="Q21" s="31"/>
      <c r="R21" s="173"/>
      <c r="S21" s="47"/>
      <c r="T21" s="227"/>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row>
    <row r="22">
      <c r="A22" s="210" t="s">
        <v>420</v>
      </c>
      <c r="B22" s="217">
        <v>46157.0</v>
      </c>
      <c r="C22" s="219" t="s">
        <v>626</v>
      </c>
      <c r="D22" s="220" t="str">
        <f>VLOOKUP($C22,'Personnel List'!D:F,2,0)</f>
        <v>8892 9313</v>
      </c>
      <c r="E22" s="221" t="str">
        <f>VLOOKUP($C22,'Personnel List'!D:F,3,0)</f>
        <v>MP BR</v>
      </c>
      <c r="F22" s="222" t="s">
        <v>817</v>
      </c>
      <c r="G22" s="220" t="str">
        <f>VLOOKUP($F22, 'Personnel List'!D:F,2,0)</f>
        <v>9691 5590</v>
      </c>
      <c r="H22" s="220" t="str">
        <f>VLOOKUP($F22, 'Personnel List'!D:F,3,0)</f>
        <v>MP BR</v>
      </c>
      <c r="I22" s="223" t="s">
        <v>672</v>
      </c>
      <c r="J22" s="220" t="str">
        <f>VLOOKUP($I22,'Personnel List'!$D:$F,2,0)</f>
        <v>8563 5705</v>
      </c>
      <c r="K22" s="220" t="str">
        <f>VLOOKUP($I22,'Personnel List'!$D:$F,3,0)</f>
        <v>TCRS 3</v>
      </c>
      <c r="L22" s="31"/>
      <c r="M22" s="31"/>
      <c r="N22" s="31"/>
      <c r="O22" s="31"/>
      <c r="P22" s="31"/>
      <c r="Q22" s="31"/>
      <c r="R22" s="228"/>
      <c r="S22" s="47"/>
      <c r="T22" s="227"/>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row>
    <row r="23">
      <c r="A23" s="210" t="s">
        <v>422</v>
      </c>
      <c r="B23" s="216" t="s">
        <v>803</v>
      </c>
      <c r="C23" s="219" t="s">
        <v>475</v>
      </c>
      <c r="D23" s="220" t="str">
        <f>VLOOKUP($C23,'Personnel List'!D:F,2,0)</f>
        <v>9745 4300</v>
      </c>
      <c r="E23" s="221" t="str">
        <f>VLOOKUP($C23,'Personnel List'!D:F,3,0)</f>
        <v>TCRS 3</v>
      </c>
      <c r="F23" s="222" t="s">
        <v>674</v>
      </c>
      <c r="G23" s="220" t="str">
        <f>VLOOKUP($F23, 'Personnel List'!D:F,2,0)</f>
        <v>8183 3372</v>
      </c>
      <c r="H23" s="220" t="str">
        <f>VLOOKUP($F23, 'Personnel List'!D:F,3,0)</f>
        <v>SIGNALS</v>
      </c>
      <c r="I23" s="223" t="s">
        <v>627</v>
      </c>
      <c r="J23" s="220" t="str">
        <f>VLOOKUP($I23,'Personnel List'!$D:$F,2,0)</f>
        <v>9321 8831</v>
      </c>
      <c r="K23" s="220" t="str">
        <f>VLOOKUP($I23,'Personnel List'!$D:$F,3,0)</f>
        <v>TCRS 3</v>
      </c>
      <c r="L23" s="220"/>
      <c r="M23" s="31"/>
      <c r="N23" s="31"/>
      <c r="O23" s="31"/>
      <c r="P23" s="31"/>
      <c r="Q23" s="31"/>
      <c r="R23" s="229"/>
      <c r="S23" s="47"/>
      <c r="T23" s="227"/>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row>
    <row r="24">
      <c r="A24" s="210" t="s">
        <v>422</v>
      </c>
      <c r="B24" s="216" t="s">
        <v>804</v>
      </c>
      <c r="C24" s="219" t="s">
        <v>516</v>
      </c>
      <c r="D24" s="220" t="str">
        <f>VLOOKUP($C24,'Personnel List'!D:F,2,0)</f>
        <v>8655 8290</v>
      </c>
      <c r="E24" s="221" t="str">
        <f>VLOOKUP($C24,'Personnel List'!D:F,3,0)</f>
        <v>OPS ROOM</v>
      </c>
      <c r="F24" s="222" t="s">
        <v>475</v>
      </c>
      <c r="G24" s="220" t="str">
        <f>VLOOKUP($F24, 'Personnel List'!D:F,2,0)</f>
        <v>9745 4300</v>
      </c>
      <c r="H24" s="220" t="str">
        <f>VLOOKUP($F24, 'Personnel List'!D:F,3,0)</f>
        <v>TCRS 3</v>
      </c>
      <c r="I24" s="223" t="s">
        <v>823</v>
      </c>
      <c r="J24" s="220">
        <f>VLOOKUP($I24,'Personnel List'!$D:$F,2,0)</f>
        <v>91138112</v>
      </c>
      <c r="K24" s="220" t="str">
        <f>VLOOKUP($I24,'Personnel List'!$D:$F,3,0)</f>
        <v>MP BR</v>
      </c>
      <c r="L24" s="31"/>
      <c r="M24" s="31"/>
      <c r="N24" s="31"/>
      <c r="O24" s="31"/>
      <c r="P24" s="31"/>
      <c r="Q24" s="31"/>
      <c r="R24" s="173"/>
      <c r="S24" s="47"/>
      <c r="T24" s="227"/>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row>
    <row r="25">
      <c r="A25" s="210" t="s">
        <v>423</v>
      </c>
      <c r="B25" s="216" t="s">
        <v>865</v>
      </c>
      <c r="C25" s="219" t="s">
        <v>550</v>
      </c>
      <c r="D25" s="220">
        <f>VLOOKUP($C25,'Personnel List'!D:F,2,0)</f>
        <v>91190114</v>
      </c>
      <c r="E25" s="221" t="str">
        <f>VLOOKUP($C25,'Personnel List'!D:F,3,0)</f>
        <v>MP BR</v>
      </c>
      <c r="F25" s="222" t="s">
        <v>514</v>
      </c>
      <c r="G25" s="220" t="str">
        <f>VLOOKUP($F25, 'Personnel List'!D:F,2,0)</f>
        <v>8268 8147</v>
      </c>
      <c r="H25" s="220" t="str">
        <f>VLOOKUP($F25, 'Personnel List'!D:F,3,0)</f>
        <v>MP BR</v>
      </c>
      <c r="I25" s="223" t="s">
        <v>823</v>
      </c>
      <c r="J25" s="220">
        <f>VLOOKUP($I25,'Personnel List'!$D:$F,2,0)</f>
        <v>91138112</v>
      </c>
      <c r="K25" s="220" t="str">
        <f>VLOOKUP($I25,'Personnel List'!$D:$F,3,0)</f>
        <v>MP BR</v>
      </c>
      <c r="L25" s="31"/>
      <c r="M25" s="31"/>
      <c r="N25" s="31"/>
      <c r="O25" s="31"/>
      <c r="P25" s="31"/>
      <c r="Q25" s="31"/>
      <c r="R25" s="173"/>
      <c r="S25" s="47"/>
      <c r="T25" s="47"/>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row>
    <row r="26">
      <c r="A26" s="210" t="s">
        <v>423</v>
      </c>
      <c r="B26" s="216" t="s">
        <v>806</v>
      </c>
      <c r="C26" s="219" t="s">
        <v>503</v>
      </c>
      <c r="D26" s="220" t="str">
        <f>VLOOKUP($C26,'Personnel List'!D:F,2,0)</f>
        <v>8121 6588</v>
      </c>
      <c r="E26" s="221" t="str">
        <f>VLOOKUP($C26,'Personnel List'!D:F,3,0)</f>
        <v>MEDIA</v>
      </c>
      <c r="F26" s="222" t="s">
        <v>519</v>
      </c>
      <c r="G26" s="220" t="str">
        <f>VLOOKUP($F26, 'Personnel List'!D:F,2,0)</f>
        <v>9005 8252</v>
      </c>
      <c r="H26" s="220" t="str">
        <f>VLOOKUP($F26, 'Personnel List'!D:F,3,0)</f>
        <v>SIGNALS</v>
      </c>
      <c r="I26" s="223" t="s">
        <v>672</v>
      </c>
      <c r="J26" s="220" t="str">
        <f>VLOOKUP($I26,'Personnel List'!$D:$F,2,0)</f>
        <v>8563 5705</v>
      </c>
      <c r="K26" s="220" t="str">
        <f>VLOOKUP($I26,'Personnel List'!$D:$F,3,0)</f>
        <v>TCRS 3</v>
      </c>
      <c r="L26" s="31"/>
      <c r="M26" s="31"/>
      <c r="N26" s="31"/>
      <c r="O26" s="31"/>
      <c r="P26" s="31"/>
      <c r="Q26" s="31"/>
      <c r="R26" s="173"/>
      <c r="S26" s="47"/>
      <c r="T26" s="47"/>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row>
    <row r="27">
      <c r="A27" s="210" t="s">
        <v>424</v>
      </c>
      <c r="B27" s="217">
        <v>46160.0</v>
      </c>
      <c r="C27" s="219" t="s">
        <v>481</v>
      </c>
      <c r="D27" s="220" t="str">
        <f>VLOOKUP($C27,'Personnel List'!D:F,2,0)</f>
        <v>8336 0986</v>
      </c>
      <c r="E27" s="221" t="str">
        <f>VLOOKUP($C27,'Personnel List'!D:F,3,0)</f>
        <v>MP BR</v>
      </c>
      <c r="F27" s="222" t="s">
        <v>524</v>
      </c>
      <c r="G27" s="220">
        <f>VLOOKUP($F27, 'Personnel List'!D:F,2,0)</f>
        <v>89271158</v>
      </c>
      <c r="H27" s="220" t="str">
        <f>VLOOKUP($F27, 'Personnel List'!D:F,3,0)</f>
        <v>TRG BR</v>
      </c>
      <c r="I27" s="223" t="s">
        <v>822</v>
      </c>
      <c r="J27" s="220" t="str">
        <f>VLOOKUP($I27,'Personnel List'!$D:$F,2,0)</f>
        <v>9363 9290</v>
      </c>
      <c r="K27" s="220" t="str">
        <f>VLOOKUP($I27,'Personnel List'!$D:$F,3,0)</f>
        <v>OPS ROOM</v>
      </c>
      <c r="L27" s="31"/>
      <c r="M27" s="230" t="s">
        <v>682</v>
      </c>
      <c r="N27" s="230" t="s">
        <v>72</v>
      </c>
      <c r="O27" s="230" t="s">
        <v>866</v>
      </c>
      <c r="P27" s="31"/>
      <c r="Q27" s="31"/>
      <c r="R27" s="228"/>
      <c r="S27" s="47"/>
      <c r="T27" s="47"/>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row>
    <row r="28">
      <c r="A28" s="210" t="s">
        <v>425</v>
      </c>
      <c r="B28" s="217">
        <v>46161.0</v>
      </c>
      <c r="C28" s="224" t="s">
        <v>819</v>
      </c>
      <c r="D28" s="220" t="str">
        <f>VLOOKUP($C28,'Personnel List'!D:F,2,0)</f>
        <v>8808 6823</v>
      </c>
      <c r="E28" s="221" t="str">
        <f>VLOOKUP($C28,'Personnel List'!D:F,3,0)</f>
        <v>MP BR</v>
      </c>
      <c r="F28" s="226" t="s">
        <v>821</v>
      </c>
      <c r="G28" s="220" t="str">
        <f>VLOOKUP($F28, 'Personnel List'!D:F,2,0)</f>
        <v>9712 9762</v>
      </c>
      <c r="H28" s="220" t="str">
        <f>VLOOKUP($F28, 'Personnel List'!D:F,3,0)</f>
        <v>MP BR</v>
      </c>
      <c r="I28" s="223" t="s">
        <v>824</v>
      </c>
      <c r="J28" s="220" t="str">
        <f>VLOOKUP($I28,'Personnel List'!$D:$F,2,0)</f>
        <v>9388 5336</v>
      </c>
      <c r="K28" s="220" t="str">
        <f>VLOOKUP($I28,'Personnel List'!$D:$F,3,0)</f>
        <v>MP BR</v>
      </c>
      <c r="L28" s="31"/>
      <c r="M28" s="31" t="s">
        <v>626</v>
      </c>
      <c r="N28" s="31" t="s">
        <v>550</v>
      </c>
      <c r="O28" s="29" t="s">
        <v>818</v>
      </c>
      <c r="P28" s="31"/>
      <c r="Q28" s="31"/>
      <c r="R28" s="229"/>
      <c r="S28" s="47"/>
      <c r="T28" s="47"/>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row>
    <row r="29">
      <c r="A29" s="210" t="s">
        <v>426</v>
      </c>
      <c r="B29" s="217">
        <v>46162.0</v>
      </c>
      <c r="C29" s="219" t="s">
        <v>627</v>
      </c>
      <c r="D29" s="220" t="str">
        <f>VLOOKUP($C29,'Personnel List'!D:F,2,0)</f>
        <v>9321 8831</v>
      </c>
      <c r="E29" s="221" t="str">
        <f>VLOOKUP($C29,'Personnel List'!D:F,3,0)</f>
        <v>TCRS 3</v>
      </c>
      <c r="F29" s="222" t="s">
        <v>823</v>
      </c>
      <c r="G29" s="220">
        <f>VLOOKUP($F29, 'Personnel List'!D:F,2,0)</f>
        <v>91138112</v>
      </c>
      <c r="H29" s="220" t="str">
        <f>VLOOKUP($F29, 'Personnel List'!D:F,3,0)</f>
        <v>MP BR</v>
      </c>
      <c r="I29" s="223" t="s">
        <v>516</v>
      </c>
      <c r="J29" s="220" t="str">
        <f>VLOOKUP($I29,'Personnel List'!$D:$F,2,0)</f>
        <v>8655 8290</v>
      </c>
      <c r="K29" s="220" t="str">
        <f>VLOOKUP($I29,'Personnel List'!$D:$F,3,0)</f>
        <v>OPS ROOM</v>
      </c>
      <c r="L29" s="31"/>
      <c r="M29" s="31" t="s">
        <v>471</v>
      </c>
      <c r="N29" s="31" t="s">
        <v>481</v>
      </c>
      <c r="O29" s="29" t="s">
        <v>550</v>
      </c>
      <c r="P29" s="31"/>
      <c r="Q29" s="31"/>
      <c r="R29" s="173"/>
      <c r="S29" s="47"/>
      <c r="T29" s="227"/>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row>
    <row r="30">
      <c r="A30" s="210" t="s">
        <v>427</v>
      </c>
      <c r="B30" s="217">
        <v>46163.0</v>
      </c>
      <c r="C30" s="224" t="s">
        <v>821</v>
      </c>
      <c r="D30" s="220" t="str">
        <f>VLOOKUP($C30,'Personnel List'!D:F,2,0)</f>
        <v>9712 9762</v>
      </c>
      <c r="E30" s="221" t="str">
        <f>VLOOKUP($C30,'Personnel List'!D:F,3,0)</f>
        <v>MP BR</v>
      </c>
      <c r="F30" s="222" t="s">
        <v>501</v>
      </c>
      <c r="G30" s="220" t="str">
        <f>VLOOKUP($F30, 'Personnel List'!D:F,2,0)</f>
        <v>8887 3117</v>
      </c>
      <c r="H30" s="220" t="str">
        <f>VLOOKUP($F30, 'Personnel List'!D:F,3,0)</f>
        <v>MP BR</v>
      </c>
      <c r="I30" s="223" t="s">
        <v>481</v>
      </c>
      <c r="J30" s="220" t="str">
        <f>VLOOKUP($I30,'Personnel List'!$D:$F,2,0)</f>
        <v>8336 0986</v>
      </c>
      <c r="K30" s="220" t="str">
        <f>VLOOKUP($I30,'Personnel List'!$D:$F,3,0)</f>
        <v>MP BR</v>
      </c>
      <c r="L30" s="31"/>
      <c r="M30" s="31" t="s">
        <v>516</v>
      </c>
      <c r="N30" s="31" t="s">
        <v>820</v>
      </c>
      <c r="O30" s="29" t="s">
        <v>863</v>
      </c>
      <c r="P30" s="31"/>
      <c r="Q30" s="31"/>
      <c r="R30" s="173"/>
      <c r="S30" s="47"/>
      <c r="T30" s="227"/>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row>
    <row r="31">
      <c r="A31" s="210" t="s">
        <v>420</v>
      </c>
      <c r="B31" s="217">
        <v>46164.0</v>
      </c>
      <c r="C31" s="219" t="s">
        <v>820</v>
      </c>
      <c r="D31" s="220" t="str">
        <f>VLOOKUP($C31,'Personnel List'!D:F,2,0)</f>
        <v>8319 2860</v>
      </c>
      <c r="E31" s="221" t="str">
        <f>VLOOKUP($C31,'Personnel List'!D:F,3,0)</f>
        <v>MP BR</v>
      </c>
      <c r="F31" s="222" t="s">
        <v>627</v>
      </c>
      <c r="G31" s="220" t="str">
        <f>VLOOKUP($F31, 'Personnel List'!D:F,2,0)</f>
        <v>9321 8831</v>
      </c>
      <c r="H31" s="220" t="str">
        <f>VLOOKUP($F31, 'Personnel List'!D:F,3,0)</f>
        <v>TCRS 3</v>
      </c>
      <c r="I31" s="225" t="s">
        <v>819</v>
      </c>
      <c r="J31" s="220" t="str">
        <f>VLOOKUP($I31,'Personnel List'!$D:$F,2,0)</f>
        <v>8808 6823</v>
      </c>
      <c r="K31" s="220" t="str">
        <f>VLOOKUP($I31,'Personnel List'!$D:$F,3,0)</f>
        <v>MP BR</v>
      </c>
      <c r="L31" s="31"/>
      <c r="M31" s="31" t="s">
        <v>475</v>
      </c>
      <c r="N31" s="31" t="s">
        <v>626</v>
      </c>
      <c r="O31" s="29" t="s">
        <v>523</v>
      </c>
      <c r="P31" s="31"/>
      <c r="Q31" s="31"/>
      <c r="R31" s="228"/>
      <c r="S31" s="47"/>
      <c r="T31" s="227"/>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row>
    <row r="32">
      <c r="A32" s="210" t="s">
        <v>422</v>
      </c>
      <c r="B32" s="216" t="s">
        <v>807</v>
      </c>
      <c r="C32" s="219" t="s">
        <v>674</v>
      </c>
      <c r="D32" s="220" t="str">
        <f>VLOOKUP($C32,'Personnel List'!D:F,2,0)</f>
        <v>8183 3372</v>
      </c>
      <c r="E32" s="221" t="str">
        <f>VLOOKUP($C32,'Personnel List'!D:F,3,0)</f>
        <v>SIGNALS</v>
      </c>
      <c r="F32" s="222" t="s">
        <v>519</v>
      </c>
      <c r="G32" s="220" t="str">
        <f>VLOOKUP($F32, 'Personnel List'!D:F,2,0)</f>
        <v>9005 8252</v>
      </c>
      <c r="H32" s="220" t="str">
        <f>VLOOKUP($F32, 'Personnel List'!D:F,3,0)</f>
        <v>SIGNALS</v>
      </c>
      <c r="I32" s="223" t="s">
        <v>516</v>
      </c>
      <c r="J32" s="220" t="str">
        <f>VLOOKUP($I32,'Personnel List'!$D:$F,2,0)</f>
        <v>8655 8290</v>
      </c>
      <c r="K32" s="220" t="str">
        <f>VLOOKUP($I32,'Personnel List'!$D:$F,3,0)</f>
        <v>OPS ROOM</v>
      </c>
      <c r="L32" s="31"/>
      <c r="M32" s="31" t="s">
        <v>823</v>
      </c>
      <c r="N32" s="31" t="s">
        <v>820</v>
      </c>
      <c r="O32" s="29" t="s">
        <v>674</v>
      </c>
      <c r="P32" s="31"/>
      <c r="Q32" s="31"/>
      <c r="R32" s="229"/>
      <c r="S32" s="47"/>
      <c r="T32" s="227"/>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row>
    <row r="33">
      <c r="A33" s="210" t="s">
        <v>422</v>
      </c>
      <c r="B33" s="216" t="s">
        <v>808</v>
      </c>
      <c r="C33" s="219" t="s">
        <v>822</v>
      </c>
      <c r="D33" s="220" t="str">
        <f>VLOOKUP($C33,'Personnel List'!D:F,2,0)</f>
        <v>9363 9290</v>
      </c>
      <c r="E33" s="221" t="str">
        <f>VLOOKUP($C33,'Personnel List'!D:F,3,0)</f>
        <v>OPS ROOM</v>
      </c>
      <c r="F33" s="222" t="s">
        <v>626</v>
      </c>
      <c r="G33" s="220" t="str">
        <f>VLOOKUP($F33, 'Personnel List'!D:F,2,0)</f>
        <v>8892 9313</v>
      </c>
      <c r="H33" s="220" t="str">
        <f>VLOOKUP($F33, 'Personnel List'!D:F,3,0)</f>
        <v>MP BR</v>
      </c>
      <c r="I33" s="223" t="s">
        <v>501</v>
      </c>
      <c r="J33" s="220" t="str">
        <f>VLOOKUP($I33,'Personnel List'!$D:$F,2,0)</f>
        <v>8887 3117</v>
      </c>
      <c r="K33" s="220" t="str">
        <f>VLOOKUP($I33,'Personnel List'!$D:$F,3,0)</f>
        <v>MP BR</v>
      </c>
      <c r="L33" s="31"/>
      <c r="M33" s="31" t="s">
        <v>673</v>
      </c>
      <c r="N33" s="31" t="s">
        <v>550</v>
      </c>
      <c r="O33" s="29" t="s">
        <v>503</v>
      </c>
      <c r="P33" s="31"/>
      <c r="Q33" s="31"/>
      <c r="R33" s="173"/>
      <c r="S33" s="47"/>
      <c r="T33" s="227"/>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row>
    <row r="34">
      <c r="A34" s="210" t="s">
        <v>423</v>
      </c>
      <c r="B34" s="216" t="s">
        <v>809</v>
      </c>
      <c r="C34" s="219" t="s">
        <v>766</v>
      </c>
      <c r="D34" s="220" t="str">
        <f>VLOOKUP($C34,'Personnel List'!D:F,2,0)</f>
        <v>8733 2656</v>
      </c>
      <c r="E34" s="221" t="str">
        <f>VLOOKUP($C34,'Personnel List'!D:F,3,0)</f>
        <v>MP BR</v>
      </c>
      <c r="F34" s="226" t="s">
        <v>821</v>
      </c>
      <c r="G34" s="220" t="str">
        <f>VLOOKUP($F34, 'Personnel List'!D:F,2,0)</f>
        <v>9712 9762</v>
      </c>
      <c r="H34" s="220" t="str">
        <f>VLOOKUP($F34, 'Personnel List'!D:F,3,0)</f>
        <v>MP BR</v>
      </c>
      <c r="I34" s="223" t="s">
        <v>475</v>
      </c>
      <c r="J34" s="220" t="str">
        <f>VLOOKUP($I34,'Personnel List'!$D:$F,2,0)</f>
        <v>9745 4300</v>
      </c>
      <c r="K34" s="220" t="str">
        <f>VLOOKUP($I34,'Personnel List'!$D:$F,3,0)</f>
        <v>TCRS 3</v>
      </c>
      <c r="L34" s="31"/>
      <c r="M34" s="31" t="s">
        <v>767</v>
      </c>
      <c r="N34" s="31" t="s">
        <v>824</v>
      </c>
      <c r="O34" s="29" t="s">
        <v>481</v>
      </c>
      <c r="P34" s="31"/>
      <c r="Q34" s="31"/>
      <c r="R34" s="173"/>
      <c r="S34" s="47"/>
      <c r="T34" s="47"/>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row>
    <row r="35">
      <c r="A35" s="210" t="s">
        <v>423</v>
      </c>
      <c r="B35" s="216" t="s">
        <v>810</v>
      </c>
      <c r="C35" s="224" t="s">
        <v>819</v>
      </c>
      <c r="D35" s="220" t="str">
        <f>VLOOKUP($C35,'Personnel List'!D:F,2,0)</f>
        <v>8808 6823</v>
      </c>
      <c r="E35" s="221" t="str">
        <f>VLOOKUP($C35,'Personnel List'!D:F,3,0)</f>
        <v>MP BR</v>
      </c>
      <c r="F35" s="222" t="s">
        <v>524</v>
      </c>
      <c r="G35" s="220">
        <f>VLOOKUP($F35, 'Personnel List'!D:F,2,0)</f>
        <v>89271158</v>
      </c>
      <c r="H35" s="220" t="str">
        <f>VLOOKUP($F35, 'Personnel List'!D:F,3,0)</f>
        <v>TRG BR</v>
      </c>
      <c r="I35" s="223" t="s">
        <v>824</v>
      </c>
      <c r="J35" s="220" t="str">
        <f>VLOOKUP($I35,'Personnel List'!$D:$F,2,0)</f>
        <v>9388 5336</v>
      </c>
      <c r="K35" s="220" t="str">
        <f>VLOOKUP($I35,'Personnel List'!$D:$F,3,0)</f>
        <v>MP BR</v>
      </c>
      <c r="L35" s="31"/>
      <c r="M35" s="31" t="s">
        <v>674</v>
      </c>
      <c r="N35" s="31" t="s">
        <v>519</v>
      </c>
      <c r="O35" s="29" t="s">
        <v>818</v>
      </c>
      <c r="P35" s="31"/>
      <c r="Q35" s="31"/>
      <c r="R35" s="173"/>
      <c r="S35" s="47"/>
      <c r="T35" s="47"/>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row>
    <row r="36">
      <c r="A36" s="210" t="s">
        <v>424</v>
      </c>
      <c r="B36" s="217">
        <v>46167.0</v>
      </c>
      <c r="C36" s="219" t="s">
        <v>481</v>
      </c>
      <c r="D36" s="220" t="str">
        <f>VLOOKUP($C36,'Personnel List'!D:F,2,0)</f>
        <v>8336 0986</v>
      </c>
      <c r="E36" s="221" t="str">
        <f>VLOOKUP($C36,'Personnel List'!D:F,3,0)</f>
        <v>MP BR</v>
      </c>
      <c r="F36" s="222" t="s">
        <v>673</v>
      </c>
      <c r="G36" s="220" t="str">
        <f>VLOOKUP($F36, 'Personnel List'!D:F,2,0)</f>
        <v>9651 9102</v>
      </c>
      <c r="H36" s="220" t="str">
        <f>VLOOKUP($F36, 'Personnel List'!D:F,3,0)</f>
        <v>TRG BR</v>
      </c>
      <c r="I36" s="223" t="s">
        <v>817</v>
      </c>
      <c r="J36" s="220" t="str">
        <f>VLOOKUP($I36,'Personnel List'!$D:$F,2,0)</f>
        <v>9691 5590</v>
      </c>
      <c r="K36" s="220" t="str">
        <f>VLOOKUP($I36,'Personnel List'!$D:$F,3,0)</f>
        <v>MP BR</v>
      </c>
      <c r="L36" s="31"/>
      <c r="M36" s="31" t="s">
        <v>514</v>
      </c>
      <c r="N36" s="31" t="s">
        <v>817</v>
      </c>
      <c r="O36" s="29" t="s">
        <v>626</v>
      </c>
      <c r="P36" s="31"/>
      <c r="Q36" s="31"/>
      <c r="R36" s="228"/>
      <c r="S36" s="47"/>
      <c r="T36" s="47"/>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row>
    <row r="37">
      <c r="A37" s="210" t="s">
        <v>425</v>
      </c>
      <c r="B37" s="217">
        <v>46168.0</v>
      </c>
      <c r="C37" s="219" t="s">
        <v>824</v>
      </c>
      <c r="D37" s="220" t="str">
        <f>VLOOKUP($C37,'Personnel List'!D:F,2,0)</f>
        <v>9388 5336</v>
      </c>
      <c r="E37" s="221" t="str">
        <f>VLOOKUP($C37,'Personnel List'!D:F,3,0)</f>
        <v>MP BR</v>
      </c>
      <c r="F37" s="222" t="s">
        <v>481</v>
      </c>
      <c r="G37" s="220" t="str">
        <f>VLOOKUP($F37, 'Personnel List'!D:F,2,0)</f>
        <v>8336 0986</v>
      </c>
      <c r="H37" s="220" t="str">
        <f>VLOOKUP($F37, 'Personnel List'!D:F,3,0)</f>
        <v>MP BR</v>
      </c>
      <c r="I37" s="225" t="s">
        <v>821</v>
      </c>
      <c r="J37" s="220" t="str">
        <f>VLOOKUP($I37,'Personnel List'!$D:$F,2,0)</f>
        <v>9712 9762</v>
      </c>
      <c r="K37" s="220" t="str">
        <f>VLOOKUP($I37,'Personnel List'!$D:$F,3,0)</f>
        <v>MP BR</v>
      </c>
      <c r="L37" s="31"/>
      <c r="M37" s="31" t="s">
        <v>481</v>
      </c>
      <c r="N37" s="31" t="s">
        <v>822</v>
      </c>
      <c r="O37" s="29" t="s">
        <v>475</v>
      </c>
      <c r="P37" s="31"/>
      <c r="Q37" s="31"/>
      <c r="R37" s="229"/>
      <c r="S37" s="47"/>
      <c r="T37" s="47"/>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row>
    <row r="38">
      <c r="A38" s="210" t="s">
        <v>426</v>
      </c>
      <c r="B38" s="216" t="s">
        <v>811</v>
      </c>
      <c r="C38" s="219" t="s">
        <v>523</v>
      </c>
      <c r="D38" s="220" t="str">
        <f>VLOOKUP($C38,'Personnel List'!D:F,2,0)</f>
        <v>9456 3181</v>
      </c>
      <c r="E38" s="221" t="str">
        <f>VLOOKUP($C38,'Personnel List'!D:F,3,0)</f>
        <v>TCRS 2</v>
      </c>
      <c r="F38" s="222" t="s">
        <v>766</v>
      </c>
      <c r="G38" s="220" t="str">
        <f>VLOOKUP($F38, 'Personnel List'!D:F,2,0)</f>
        <v>8733 2656</v>
      </c>
      <c r="H38" s="220" t="str">
        <f>VLOOKUP($F38, 'Personnel List'!D:F,3,0)</f>
        <v>MP BR</v>
      </c>
      <c r="I38" s="223" t="s">
        <v>864</v>
      </c>
      <c r="J38" s="220" t="str">
        <f>VLOOKUP($I38,'Personnel List'!$D:$F,2,0)</f>
        <v>8514 9261</v>
      </c>
      <c r="K38" s="220" t="str">
        <f>VLOOKUP($I38,'Personnel List'!$D:$F,3,0)</f>
        <v>MEDIA</v>
      </c>
      <c r="L38" s="31"/>
      <c r="M38" s="31" t="s">
        <v>627</v>
      </c>
      <c r="N38" s="31" t="s">
        <v>673</v>
      </c>
      <c r="O38" s="29" t="s">
        <v>820</v>
      </c>
      <c r="P38" s="31"/>
      <c r="Q38" s="31"/>
      <c r="R38" s="173"/>
      <c r="S38" s="47"/>
      <c r="T38" s="227"/>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row>
    <row r="39">
      <c r="A39" s="210" t="s">
        <v>426</v>
      </c>
      <c r="B39" s="216" t="s">
        <v>812</v>
      </c>
      <c r="C39" s="219" t="s">
        <v>817</v>
      </c>
      <c r="D39" s="220" t="str">
        <f>VLOOKUP($C39,'Personnel List'!D:F,2,0)</f>
        <v>9691 5590</v>
      </c>
      <c r="E39" s="221" t="str">
        <f>VLOOKUP($C39,'Personnel List'!D:F,3,0)</f>
        <v>MP BR</v>
      </c>
      <c r="F39" s="222" t="s">
        <v>822</v>
      </c>
      <c r="G39" s="220" t="str">
        <f>VLOOKUP($F39, 'Personnel List'!D:F,2,0)</f>
        <v>9363 9290</v>
      </c>
      <c r="H39" s="220" t="str">
        <f>VLOOKUP($F39, 'Personnel List'!D:F,3,0)</f>
        <v>OPS ROOM</v>
      </c>
      <c r="I39" s="223" t="s">
        <v>824</v>
      </c>
      <c r="J39" s="220" t="str">
        <f>VLOOKUP($I39,'Personnel List'!$D:$F,2,0)</f>
        <v>9388 5336</v>
      </c>
      <c r="K39" s="220" t="str">
        <f>VLOOKUP($I39,'Personnel List'!$D:$F,3,0)</f>
        <v>MP BR</v>
      </c>
      <c r="L39" s="31"/>
      <c r="M39" s="31" t="s">
        <v>672</v>
      </c>
      <c r="N39" s="31" t="s">
        <v>627</v>
      </c>
      <c r="O39" s="29" t="s">
        <v>550</v>
      </c>
      <c r="P39" s="31"/>
      <c r="Q39" s="31"/>
      <c r="R39" s="173"/>
      <c r="S39" s="47"/>
      <c r="T39" s="227"/>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row>
    <row r="40">
      <c r="A40" s="211" t="s">
        <v>427</v>
      </c>
      <c r="B40" s="218">
        <v>46170.0</v>
      </c>
      <c r="C40" s="219" t="s">
        <v>501</v>
      </c>
      <c r="D40" s="220" t="str">
        <f>VLOOKUP($C40,'Personnel List'!D:F,2,0)</f>
        <v>8887 3117</v>
      </c>
      <c r="E40" s="221" t="str">
        <f>VLOOKUP($C40,'Personnel List'!D:F,3,0)</f>
        <v>MP BR</v>
      </c>
      <c r="F40" s="222" t="s">
        <v>824</v>
      </c>
      <c r="G40" s="220" t="str">
        <f>VLOOKUP($F40, 'Personnel List'!D:F,2,0)</f>
        <v>9388 5336</v>
      </c>
      <c r="H40" s="220" t="str">
        <f>VLOOKUP($F40, 'Personnel List'!D:F,3,0)</f>
        <v>MP BR</v>
      </c>
      <c r="I40" s="223" t="s">
        <v>523</v>
      </c>
      <c r="J40" s="220" t="str">
        <f>VLOOKUP($I40,'Personnel List'!$D:$F,2,0)</f>
        <v>9456 3181</v>
      </c>
      <c r="K40" s="220" t="str">
        <f>VLOOKUP($I40,'Personnel List'!$D:$F,3,0)</f>
        <v>TCRS 2</v>
      </c>
      <c r="L40" s="31"/>
      <c r="M40" s="31" t="s">
        <v>672</v>
      </c>
      <c r="N40" s="31" t="s">
        <v>818</v>
      </c>
      <c r="O40" s="29" t="s">
        <v>514</v>
      </c>
      <c r="P40" s="31"/>
      <c r="Q40" s="31"/>
      <c r="R40" s="228"/>
      <c r="S40" s="47"/>
      <c r="T40" s="227"/>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row>
    <row r="41">
      <c r="A41" s="211" t="s">
        <v>420</v>
      </c>
      <c r="B41" s="218">
        <v>46171.0</v>
      </c>
      <c r="C41" s="219" t="s">
        <v>626</v>
      </c>
      <c r="D41" s="220" t="str">
        <f>VLOOKUP($C41,'Personnel List'!D:F,2,0)</f>
        <v>8892 9313</v>
      </c>
      <c r="E41" s="221" t="str">
        <f>VLOOKUP($C41,'Personnel List'!D:F,3,0)</f>
        <v>MP BR</v>
      </c>
      <c r="F41" s="222" t="s">
        <v>503</v>
      </c>
      <c r="G41" s="220" t="str">
        <f>VLOOKUP($F41, 'Personnel List'!D:F,2,0)</f>
        <v>8121 6588</v>
      </c>
      <c r="H41" s="220" t="str">
        <f>VLOOKUP($F41, 'Personnel List'!D:F,3,0)</f>
        <v>MEDIA</v>
      </c>
      <c r="I41" s="223" t="s">
        <v>514</v>
      </c>
      <c r="J41" s="220" t="str">
        <f>VLOOKUP($I41,'Personnel List'!$D:$F,2,0)</f>
        <v>8268 8147</v>
      </c>
      <c r="K41" s="220" t="str">
        <f>VLOOKUP($I41,'Personnel List'!$D:$F,3,0)</f>
        <v>MP BR</v>
      </c>
      <c r="L41" s="31"/>
      <c r="M41" s="31" t="s">
        <v>475</v>
      </c>
      <c r="N41" s="31" t="s">
        <v>516</v>
      </c>
      <c r="O41" s="29" t="s">
        <v>519</v>
      </c>
      <c r="P41" s="31"/>
      <c r="Q41" s="31"/>
      <c r="R41" s="228"/>
      <c r="S41" s="47"/>
      <c r="T41" s="47"/>
      <c r="U41" s="31"/>
      <c r="V41" s="31"/>
      <c r="W41" s="31"/>
      <c r="X41" s="31"/>
    </row>
    <row r="42">
      <c r="A42" s="211" t="s">
        <v>422</v>
      </c>
      <c r="B42" s="211" t="s">
        <v>813</v>
      </c>
      <c r="C42" s="219" t="s">
        <v>516</v>
      </c>
      <c r="D42" s="220" t="str">
        <f>VLOOKUP($C42,'Personnel List'!D:F,2,0)</f>
        <v>8655 8290</v>
      </c>
      <c r="E42" s="221" t="str">
        <f>VLOOKUP($C42,'Personnel List'!D:F,3,0)</f>
        <v>OPS ROOM</v>
      </c>
      <c r="F42" s="226" t="s">
        <v>864</v>
      </c>
      <c r="G42" s="220" t="str">
        <f>VLOOKUP($F42, 'Personnel List'!D:F,2,0)</f>
        <v>8514 9261</v>
      </c>
      <c r="H42" s="220" t="str">
        <f>VLOOKUP($F42, 'Personnel List'!D:F,3,0)</f>
        <v>MEDIA</v>
      </c>
      <c r="I42" s="223" t="s">
        <v>766</v>
      </c>
      <c r="J42" s="220" t="str">
        <f>VLOOKUP($I42,'Personnel List'!$D:$F,2,0)</f>
        <v>8733 2656</v>
      </c>
      <c r="K42" s="220" t="str">
        <f>VLOOKUP($I42,'Personnel List'!$D:$F,3,0)</f>
        <v>MP BR</v>
      </c>
      <c r="L42" s="31"/>
      <c r="M42" s="31" t="s">
        <v>818</v>
      </c>
      <c r="N42" s="31" t="s">
        <v>550</v>
      </c>
      <c r="O42" s="29" t="s">
        <v>823</v>
      </c>
      <c r="P42" s="31"/>
      <c r="Q42" s="31"/>
      <c r="R42" s="229"/>
      <c r="S42" s="47"/>
      <c r="T42" s="47"/>
      <c r="U42" s="31"/>
      <c r="V42" s="31"/>
    </row>
    <row r="43">
      <c r="A43" s="211" t="s">
        <v>422</v>
      </c>
      <c r="B43" s="211" t="s">
        <v>814</v>
      </c>
      <c r="C43" s="219" t="s">
        <v>475</v>
      </c>
      <c r="D43" s="220" t="str">
        <f>VLOOKUP($C43,'Personnel List'!D:F,2,0)</f>
        <v>9745 4300</v>
      </c>
      <c r="E43" s="221" t="str">
        <f>VLOOKUP($C43,'Personnel List'!D:F,3,0)</f>
        <v>TCRS 3</v>
      </c>
      <c r="F43" s="222" t="s">
        <v>674</v>
      </c>
      <c r="G43" s="220" t="str">
        <f>VLOOKUP($F43, 'Personnel List'!D:F,2,0)</f>
        <v>8183 3372</v>
      </c>
      <c r="H43" s="220" t="str">
        <f>VLOOKUP($F43, 'Personnel List'!D:F,3,0)</f>
        <v>SIGNALS</v>
      </c>
      <c r="I43" s="223" t="s">
        <v>501</v>
      </c>
      <c r="J43" s="220" t="str">
        <f>VLOOKUP($I43,'Personnel List'!$D:$F,2,0)</f>
        <v>8887 3117</v>
      </c>
      <c r="K43" s="220" t="str">
        <f>VLOOKUP($I43,'Personnel List'!$D:$F,3,0)</f>
        <v>MP BR</v>
      </c>
      <c r="L43" s="31"/>
      <c r="M43" s="31" t="s">
        <v>503</v>
      </c>
      <c r="N43" s="31" t="s">
        <v>767</v>
      </c>
      <c r="O43" s="29" t="s">
        <v>674</v>
      </c>
      <c r="P43" s="31"/>
      <c r="Q43" s="31"/>
      <c r="R43" s="229"/>
      <c r="S43" s="47"/>
      <c r="T43" s="47"/>
      <c r="U43" s="31"/>
      <c r="V43" s="31"/>
    </row>
    <row r="44">
      <c r="A44" s="211" t="s">
        <v>529</v>
      </c>
      <c r="B44" s="211" t="s">
        <v>815</v>
      </c>
      <c r="C44" s="224" t="s">
        <v>864</v>
      </c>
      <c r="D44" s="220" t="str">
        <f>VLOOKUP($C44,'Personnel List'!D:F,2,0)</f>
        <v>8514 9261</v>
      </c>
      <c r="E44" s="221" t="str">
        <f>VLOOKUP($C44,'Personnel List'!D:F,3,0)</f>
        <v>MEDIA</v>
      </c>
      <c r="F44" s="222" t="s">
        <v>503</v>
      </c>
      <c r="G44" s="220" t="str">
        <f>VLOOKUP($F44, 'Personnel List'!D:F,2,0)</f>
        <v>8121 6588</v>
      </c>
      <c r="H44" s="220" t="str">
        <f>VLOOKUP($F44, 'Personnel List'!D:F,3,0)</f>
        <v>MEDIA</v>
      </c>
      <c r="I44" s="225" t="s">
        <v>819</v>
      </c>
      <c r="J44" s="220" t="str">
        <f>VLOOKUP($I44,'Personnel List'!$D:$F,2,0)</f>
        <v>8808 6823</v>
      </c>
      <c r="K44" s="220" t="str">
        <f>VLOOKUP($I44,'Personnel List'!$D:$F,3,0)</f>
        <v>MP BR</v>
      </c>
      <c r="L44" s="31"/>
      <c r="M44" s="31" t="s">
        <v>524</v>
      </c>
      <c r="N44" s="31" t="s">
        <v>824</v>
      </c>
      <c r="O44" s="29" t="s">
        <v>501</v>
      </c>
      <c r="P44" s="31"/>
      <c r="Q44" s="31"/>
      <c r="R44" s="229"/>
      <c r="S44" s="47"/>
      <c r="T44" s="47"/>
      <c r="U44" s="31"/>
      <c r="V44" s="31"/>
    </row>
    <row r="45">
      <c r="A45" s="211" t="s">
        <v>423</v>
      </c>
      <c r="B45" s="211" t="s">
        <v>816</v>
      </c>
      <c r="C45" s="224" t="s">
        <v>821</v>
      </c>
      <c r="D45" s="220" t="str">
        <f>VLOOKUP($C45,'Personnel List'!D:F,2,0)</f>
        <v>9712 9762</v>
      </c>
      <c r="E45" s="221" t="str">
        <f>VLOOKUP($C45,'Personnel List'!D:F,3,0)</f>
        <v>MP BR</v>
      </c>
      <c r="F45" s="222" t="s">
        <v>523</v>
      </c>
      <c r="G45" s="220" t="str">
        <f>VLOOKUP($F45, 'Personnel List'!D:F,2,0)</f>
        <v>9456 3181</v>
      </c>
      <c r="H45" s="220" t="str">
        <f>VLOOKUP($F45, 'Personnel List'!D:F,3,0)</f>
        <v>TCRS 2</v>
      </c>
      <c r="I45" s="223" t="s">
        <v>818</v>
      </c>
      <c r="J45" s="220" t="str">
        <f>VLOOKUP($I45,'Personnel List'!$D:$F,2,0)</f>
        <v>9850 2943</v>
      </c>
      <c r="K45" s="220" t="str">
        <f>VLOOKUP($I45,'Personnel List'!$D:$F,3,0)</f>
        <v>MP BR</v>
      </c>
      <c r="L45" s="31"/>
      <c r="M45" s="31" t="s">
        <v>822</v>
      </c>
      <c r="N45" s="31" t="s">
        <v>818</v>
      </c>
      <c r="O45" s="29" t="s">
        <v>673</v>
      </c>
      <c r="P45" s="31"/>
      <c r="Q45" s="31"/>
      <c r="R45" s="229"/>
      <c r="S45" s="47"/>
      <c r="T45" s="47"/>
      <c r="U45" s="31"/>
      <c r="V45" s="31"/>
    </row>
    <row r="46">
      <c r="M46" s="31" t="s">
        <v>519</v>
      </c>
      <c r="N46" s="31" t="s">
        <v>820</v>
      </c>
      <c r="O46" s="29" t="s">
        <v>524</v>
      </c>
      <c r="R46" s="229"/>
      <c r="S46" s="47"/>
      <c r="T46" s="227"/>
    </row>
    <row r="47">
      <c r="M47" s="31" t="s">
        <v>626</v>
      </c>
      <c r="N47" s="31" t="s">
        <v>817</v>
      </c>
      <c r="O47" s="29" t="s">
        <v>672</v>
      </c>
      <c r="R47" s="173"/>
      <c r="S47" s="47"/>
      <c r="T47" s="227"/>
    </row>
    <row r="48">
      <c r="M48" s="31" t="s">
        <v>475</v>
      </c>
      <c r="N48" s="31" t="s">
        <v>674</v>
      </c>
      <c r="O48" s="29" t="s">
        <v>627</v>
      </c>
      <c r="R48" s="173"/>
      <c r="S48" s="47"/>
      <c r="T48" s="47"/>
    </row>
    <row r="49">
      <c r="M49" s="31" t="s">
        <v>516</v>
      </c>
      <c r="N49" s="31" t="s">
        <v>475</v>
      </c>
      <c r="O49" s="29" t="s">
        <v>823</v>
      </c>
      <c r="R49" s="173"/>
      <c r="S49" s="47"/>
      <c r="T49" s="47"/>
    </row>
    <row r="50">
      <c r="M50" s="31" t="s">
        <v>550</v>
      </c>
      <c r="N50" s="31" t="s">
        <v>514</v>
      </c>
      <c r="O50" s="29" t="s">
        <v>823</v>
      </c>
      <c r="R50" s="228"/>
      <c r="S50" s="47"/>
      <c r="T50" s="47"/>
    </row>
    <row r="51">
      <c r="M51" s="31" t="s">
        <v>503</v>
      </c>
      <c r="N51" s="31" t="s">
        <v>519</v>
      </c>
      <c r="O51" s="29" t="s">
        <v>672</v>
      </c>
      <c r="R51" s="229"/>
      <c r="S51" s="47"/>
      <c r="T51" s="47"/>
    </row>
    <row r="52">
      <c r="M52" s="31" t="s">
        <v>481</v>
      </c>
      <c r="N52" s="31" t="s">
        <v>524</v>
      </c>
      <c r="O52" s="29" t="s">
        <v>822</v>
      </c>
      <c r="R52" s="173"/>
      <c r="S52" s="47"/>
      <c r="T52" s="227"/>
    </row>
    <row r="53">
      <c r="M53" s="31" t="s">
        <v>863</v>
      </c>
      <c r="N53" s="31" t="s">
        <v>471</v>
      </c>
      <c r="O53" s="29" t="s">
        <v>824</v>
      </c>
      <c r="R53" s="173"/>
      <c r="S53" s="47"/>
      <c r="T53" s="227"/>
    </row>
    <row r="54">
      <c r="M54" s="31" t="s">
        <v>627</v>
      </c>
      <c r="N54" s="31" t="s">
        <v>823</v>
      </c>
      <c r="O54" s="29" t="s">
        <v>516</v>
      </c>
      <c r="R54" s="228"/>
      <c r="S54" s="47"/>
      <c r="T54" s="227"/>
    </row>
    <row r="55">
      <c r="M55" s="31" t="s">
        <v>471</v>
      </c>
      <c r="N55" s="31" t="s">
        <v>501</v>
      </c>
      <c r="O55" s="29" t="s">
        <v>481</v>
      </c>
    </row>
    <row r="56">
      <c r="M56" s="31" t="s">
        <v>820</v>
      </c>
      <c r="N56" s="31" t="s">
        <v>627</v>
      </c>
      <c r="O56" s="29" t="s">
        <v>863</v>
      </c>
    </row>
    <row r="57">
      <c r="M57" s="31" t="s">
        <v>674</v>
      </c>
      <c r="N57" s="31" t="s">
        <v>519</v>
      </c>
      <c r="O57" s="29" t="s">
        <v>516</v>
      </c>
    </row>
    <row r="58">
      <c r="M58" s="31" t="s">
        <v>822</v>
      </c>
      <c r="N58" s="31" t="s">
        <v>626</v>
      </c>
      <c r="O58" s="29" t="s">
        <v>501</v>
      </c>
    </row>
    <row r="59">
      <c r="M59" s="31" t="s">
        <v>767</v>
      </c>
      <c r="N59" s="31" t="s">
        <v>503</v>
      </c>
      <c r="O59" s="29" t="s">
        <v>475</v>
      </c>
    </row>
    <row r="60">
      <c r="M60" s="31" t="s">
        <v>863</v>
      </c>
      <c r="N60" s="31" t="s">
        <v>524</v>
      </c>
      <c r="O60" s="29" t="s">
        <v>824</v>
      </c>
    </row>
    <row r="61">
      <c r="M61" s="31" t="s">
        <v>481</v>
      </c>
      <c r="N61" s="31" t="s">
        <v>673</v>
      </c>
      <c r="O61" s="29" t="s">
        <v>817</v>
      </c>
    </row>
    <row r="62">
      <c r="M62" s="31" t="s">
        <v>824</v>
      </c>
      <c r="N62" s="31" t="s">
        <v>481</v>
      </c>
      <c r="O62" s="29" t="s">
        <v>471</v>
      </c>
    </row>
    <row r="63">
      <c r="M63" s="31" t="s">
        <v>523</v>
      </c>
      <c r="N63" s="31" t="s">
        <v>766</v>
      </c>
      <c r="O63" s="29" t="s">
        <v>767</v>
      </c>
    </row>
    <row r="64">
      <c r="M64" s="31" t="s">
        <v>817</v>
      </c>
      <c r="N64" s="31" t="s">
        <v>822</v>
      </c>
      <c r="O64" s="29" t="s">
        <v>824</v>
      </c>
    </row>
    <row r="65">
      <c r="M65" s="31" t="s">
        <v>501</v>
      </c>
      <c r="N65" s="31" t="s">
        <v>824</v>
      </c>
      <c r="O65" s="29" t="s">
        <v>523</v>
      </c>
    </row>
    <row r="66">
      <c r="M66" s="31" t="s">
        <v>626</v>
      </c>
      <c r="N66" s="31" t="s">
        <v>503</v>
      </c>
      <c r="O66" s="29" t="s">
        <v>514</v>
      </c>
    </row>
    <row r="67">
      <c r="M67" s="31" t="s">
        <v>516</v>
      </c>
      <c r="N67" s="31" t="s">
        <v>767</v>
      </c>
      <c r="O67" s="29" t="s">
        <v>766</v>
      </c>
    </row>
    <row r="68">
      <c r="M68" s="31" t="s">
        <v>475</v>
      </c>
      <c r="N68" s="31" t="s">
        <v>674</v>
      </c>
      <c r="O68" s="29" t="s">
        <v>501</v>
      </c>
    </row>
    <row r="69">
      <c r="M69" s="31" t="s">
        <v>766</v>
      </c>
      <c r="N69" s="31" t="s">
        <v>471</v>
      </c>
      <c r="O69" s="29" t="s">
        <v>863</v>
      </c>
    </row>
    <row r="70">
      <c r="M70" s="31" t="s">
        <v>471</v>
      </c>
      <c r="N70" s="31" t="s">
        <v>523</v>
      </c>
      <c r="O70" s="29" t="s">
        <v>818</v>
      </c>
    </row>
    <row r="79">
      <c r="A79" s="31"/>
    </row>
    <row r="80">
      <c r="A80" s="31"/>
    </row>
    <row r="81">
      <c r="A81" s="31"/>
    </row>
    <row r="82">
      <c r="A82" s="31"/>
    </row>
    <row r="83">
      <c r="A83" s="31"/>
    </row>
    <row r="84">
      <c r="A84" s="31"/>
    </row>
    <row r="85">
      <c r="A85" s="31"/>
    </row>
    <row r="86">
      <c r="A86" s="31"/>
    </row>
    <row r="87">
      <c r="A87" s="31"/>
    </row>
    <row r="88">
      <c r="A88" s="31"/>
    </row>
    <row r="89">
      <c r="A89" s="31"/>
    </row>
    <row r="90">
      <c r="A90" s="31"/>
    </row>
    <row r="91">
      <c r="A91" s="31"/>
    </row>
    <row r="92">
      <c r="A92" s="31"/>
    </row>
    <row r="93">
      <c r="A93" s="31"/>
    </row>
    <row r="94">
      <c r="A94" s="31"/>
    </row>
    <row r="95">
      <c r="A95" s="31"/>
    </row>
    <row r="96">
      <c r="A96" s="31"/>
    </row>
    <row r="97">
      <c r="A97" s="31"/>
    </row>
    <row r="98">
      <c r="A98" s="31"/>
    </row>
    <row r="99">
      <c r="A99" s="31"/>
    </row>
    <row r="100">
      <c r="A100" s="31"/>
    </row>
    <row r="101">
      <c r="A101" s="31"/>
    </row>
    <row r="102">
      <c r="A102" s="31"/>
    </row>
    <row r="103">
      <c r="A103" s="31"/>
    </row>
    <row r="104">
      <c r="A104" s="31"/>
    </row>
    <row r="105">
      <c r="A105" s="31"/>
    </row>
    <row r="106">
      <c r="A106" s="31"/>
    </row>
    <row r="107">
      <c r="A107" s="31"/>
    </row>
    <row r="108">
      <c r="A108" s="31"/>
    </row>
    <row r="109">
      <c r="A109" s="31"/>
    </row>
    <row r="110">
      <c r="A110" s="31"/>
    </row>
    <row r="111">
      <c r="A111" s="31"/>
    </row>
    <row r="112">
      <c r="A112" s="31"/>
    </row>
    <row r="113">
      <c r="A113" s="31"/>
    </row>
    <row r="114">
      <c r="A114" s="31"/>
    </row>
    <row r="115">
      <c r="A115" s="31"/>
    </row>
    <row r="116">
      <c r="A116" s="31"/>
    </row>
    <row r="117">
      <c r="A117" s="31"/>
    </row>
    <row r="118">
      <c r="A118" s="31"/>
    </row>
    <row r="119">
      <c r="A119" s="31"/>
    </row>
    <row r="120">
      <c r="A120" s="31"/>
    </row>
    <row r="121">
      <c r="A121" s="31"/>
    </row>
    <row r="122">
      <c r="A122" s="31"/>
    </row>
    <row r="123">
      <c r="A123" s="31"/>
    </row>
    <row r="124">
      <c r="A124" s="31"/>
    </row>
    <row r="125">
      <c r="A125" s="31"/>
    </row>
    <row r="126">
      <c r="A126" s="31"/>
    </row>
    <row r="127">
      <c r="A127" s="31"/>
    </row>
    <row r="128">
      <c r="A128" s="31"/>
    </row>
    <row r="129">
      <c r="A129" s="31"/>
    </row>
    <row r="130">
      <c r="A130" s="31"/>
    </row>
    <row r="131">
      <c r="A131" s="31"/>
    </row>
    <row r="132">
      <c r="A132" s="31"/>
    </row>
    <row r="133">
      <c r="A133" s="31"/>
    </row>
    <row r="134">
      <c r="A134" s="31"/>
    </row>
    <row r="135">
      <c r="A135" s="31"/>
    </row>
    <row r="136">
      <c r="A136" s="31"/>
    </row>
    <row r="137">
      <c r="A137" s="31"/>
    </row>
    <row r="138">
      <c r="A138" s="31"/>
    </row>
    <row r="139">
      <c r="A139" s="31"/>
    </row>
    <row r="140">
      <c r="A140" s="31"/>
    </row>
    <row r="141">
      <c r="A141" s="31"/>
    </row>
    <row r="142">
      <c r="A142" s="31"/>
    </row>
    <row r="143">
      <c r="A143" s="31"/>
    </row>
    <row r="144">
      <c r="A144" s="31"/>
    </row>
    <row r="145">
      <c r="A145" s="31"/>
    </row>
    <row r="146">
      <c r="A146" s="31"/>
    </row>
    <row r="147">
      <c r="A147" s="31"/>
    </row>
    <row r="148">
      <c r="A148" s="31"/>
    </row>
    <row r="149">
      <c r="A149" s="31"/>
    </row>
    <row r="150">
      <c r="A150" s="31"/>
    </row>
    <row r="151">
      <c r="A151" s="31"/>
    </row>
    <row r="152">
      <c r="A152" s="31"/>
    </row>
    <row r="153">
      <c r="A153" s="31"/>
    </row>
    <row r="154">
      <c r="A154" s="31"/>
    </row>
    <row r="155">
      <c r="A155" s="31"/>
    </row>
    <row r="156">
      <c r="A156" s="31"/>
    </row>
    <row r="157">
      <c r="A157" s="31"/>
    </row>
    <row r="158">
      <c r="A158" s="31"/>
    </row>
    <row r="159">
      <c r="A159" s="31"/>
    </row>
    <row r="160">
      <c r="A160" s="31"/>
    </row>
    <row r="161">
      <c r="A161" s="31"/>
    </row>
    <row r="162">
      <c r="A162" s="31"/>
    </row>
    <row r="163">
      <c r="A163" s="31"/>
    </row>
    <row r="164">
      <c r="A164" s="31"/>
    </row>
    <row r="165">
      <c r="A165" s="31"/>
    </row>
    <row r="166">
      <c r="A166" s="31"/>
    </row>
    <row r="167">
      <c r="A167" s="31"/>
    </row>
    <row r="168">
      <c r="A168" s="31"/>
    </row>
    <row r="169">
      <c r="A169" s="31"/>
    </row>
    <row r="170">
      <c r="A170" s="31"/>
    </row>
    <row r="171">
      <c r="A171" s="31"/>
    </row>
    <row r="172">
      <c r="A172" s="31"/>
    </row>
    <row r="173">
      <c r="A173" s="31"/>
    </row>
    <row r="174">
      <c r="A174" s="31"/>
    </row>
    <row r="175">
      <c r="A175" s="31"/>
    </row>
    <row r="176">
      <c r="A176" s="31"/>
    </row>
    <row r="177">
      <c r="A177" s="31"/>
    </row>
    <row r="178">
      <c r="A178" s="31"/>
    </row>
    <row r="179">
      <c r="A179" s="31"/>
    </row>
    <row r="180">
      <c r="A180" s="31"/>
    </row>
    <row r="181">
      <c r="A181" s="31"/>
    </row>
    <row r="182">
      <c r="A182" s="31"/>
    </row>
    <row r="183">
      <c r="A183" s="31"/>
    </row>
    <row r="184">
      <c r="A184" s="31"/>
    </row>
    <row r="185">
      <c r="A185" s="31"/>
    </row>
    <row r="186">
      <c r="A186" s="31"/>
    </row>
    <row r="187">
      <c r="A187" s="31"/>
    </row>
    <row r="188">
      <c r="A188" s="31"/>
    </row>
    <row r="189">
      <c r="A189" s="31"/>
    </row>
    <row r="190">
      <c r="A190" s="31"/>
    </row>
    <row r="191">
      <c r="A191" s="31"/>
    </row>
    <row r="192">
      <c r="A192" s="31"/>
    </row>
    <row r="193">
      <c r="A193" s="31"/>
    </row>
    <row r="194">
      <c r="A194" s="31"/>
    </row>
    <row r="195">
      <c r="A195" s="31"/>
    </row>
    <row r="196">
      <c r="A196" s="31"/>
    </row>
    <row r="197">
      <c r="A197" s="31"/>
    </row>
    <row r="198">
      <c r="A198" s="31"/>
    </row>
    <row r="199">
      <c r="A199" s="31"/>
    </row>
    <row r="200">
      <c r="A200" s="31"/>
    </row>
    <row r="201">
      <c r="A201" s="31"/>
    </row>
    <row r="202">
      <c r="A202" s="31"/>
    </row>
    <row r="203">
      <c r="A203" s="31"/>
    </row>
    <row r="204">
      <c r="A204" s="31"/>
    </row>
    <row r="205">
      <c r="A205" s="31"/>
    </row>
    <row r="206">
      <c r="A206" s="31"/>
    </row>
    <row r="207">
      <c r="A207" s="31"/>
    </row>
    <row r="208">
      <c r="A208" s="31"/>
    </row>
    <row r="209">
      <c r="A209" s="31"/>
    </row>
    <row r="210">
      <c r="A210" s="31"/>
    </row>
    <row r="211">
      <c r="A211" s="31"/>
    </row>
    <row r="212">
      <c r="A212" s="31"/>
    </row>
    <row r="213">
      <c r="A213" s="31"/>
    </row>
    <row r="214">
      <c r="A214" s="31"/>
    </row>
    <row r="215">
      <c r="A215" s="31"/>
    </row>
    <row r="216">
      <c r="A216" s="31"/>
    </row>
    <row r="217">
      <c r="A217" s="31"/>
    </row>
    <row r="218">
      <c r="A218" s="31"/>
    </row>
    <row r="219">
      <c r="A219" s="31"/>
    </row>
    <row r="220">
      <c r="A220" s="31"/>
    </row>
    <row r="221">
      <c r="A221" s="31"/>
    </row>
    <row r="222">
      <c r="A222" s="31"/>
    </row>
    <row r="223">
      <c r="A223" s="31"/>
    </row>
    <row r="224">
      <c r="A224" s="31"/>
    </row>
    <row r="225">
      <c r="A225" s="31"/>
    </row>
    <row r="226">
      <c r="A226" s="31"/>
    </row>
    <row r="227">
      <c r="A227" s="31"/>
    </row>
    <row r="228">
      <c r="A228" s="31"/>
    </row>
    <row r="229">
      <c r="A229" s="31"/>
    </row>
    <row r="230">
      <c r="A230" s="31"/>
    </row>
    <row r="231">
      <c r="A231" s="31"/>
    </row>
    <row r="232">
      <c r="A232" s="31"/>
    </row>
    <row r="233">
      <c r="A233" s="31"/>
    </row>
    <row r="234">
      <c r="A234" s="31"/>
    </row>
    <row r="235">
      <c r="A235" s="31"/>
    </row>
    <row r="236">
      <c r="A236" s="31"/>
    </row>
    <row r="237">
      <c r="A237" s="31"/>
    </row>
    <row r="238">
      <c r="A238" s="31"/>
    </row>
    <row r="239">
      <c r="A239" s="31"/>
    </row>
    <row r="240">
      <c r="A240" s="31"/>
    </row>
    <row r="241">
      <c r="A241" s="31"/>
    </row>
    <row r="242">
      <c r="A242" s="31"/>
    </row>
    <row r="243">
      <c r="A243" s="31"/>
    </row>
    <row r="244">
      <c r="A244" s="31"/>
    </row>
    <row r="245">
      <c r="A245" s="31"/>
    </row>
    <row r="246">
      <c r="A246" s="31"/>
    </row>
    <row r="247">
      <c r="A247" s="31"/>
    </row>
    <row r="248">
      <c r="A248" s="31"/>
    </row>
    <row r="249">
      <c r="A249" s="31"/>
    </row>
    <row r="250">
      <c r="A250" s="31"/>
    </row>
    <row r="251">
      <c r="A251" s="31"/>
    </row>
    <row r="252">
      <c r="A252" s="31"/>
    </row>
    <row r="253">
      <c r="A253" s="31"/>
    </row>
    <row r="254">
      <c r="A254" s="31"/>
    </row>
    <row r="255">
      <c r="A255" s="31"/>
    </row>
    <row r="256">
      <c r="A256" s="31"/>
    </row>
    <row r="257">
      <c r="A257" s="31"/>
    </row>
    <row r="258">
      <c r="A258" s="31"/>
    </row>
    <row r="259">
      <c r="A259" s="31"/>
    </row>
    <row r="260">
      <c r="A260" s="31"/>
    </row>
    <row r="261">
      <c r="A261" s="31"/>
    </row>
    <row r="262">
      <c r="A262" s="31"/>
    </row>
    <row r="263">
      <c r="A263" s="31"/>
    </row>
    <row r="264">
      <c r="A264" s="31"/>
    </row>
    <row r="265">
      <c r="A265" s="31"/>
    </row>
    <row r="266">
      <c r="A266" s="31"/>
    </row>
    <row r="267">
      <c r="A267" s="31"/>
    </row>
    <row r="268">
      <c r="A268" s="31"/>
    </row>
    <row r="269">
      <c r="A269" s="31"/>
    </row>
    <row r="270">
      <c r="A270" s="31"/>
    </row>
    <row r="271">
      <c r="A271" s="31"/>
    </row>
    <row r="272">
      <c r="A272" s="31"/>
    </row>
    <row r="273">
      <c r="A273" s="31"/>
    </row>
    <row r="274">
      <c r="A274" s="31"/>
    </row>
    <row r="275">
      <c r="A275" s="31"/>
    </row>
    <row r="276">
      <c r="A276" s="31"/>
    </row>
    <row r="277">
      <c r="A277" s="31"/>
    </row>
    <row r="278">
      <c r="A278" s="31"/>
    </row>
    <row r="279">
      <c r="A279" s="31"/>
    </row>
    <row r="280">
      <c r="A280" s="31"/>
    </row>
    <row r="281">
      <c r="A281" s="31"/>
    </row>
    <row r="282">
      <c r="A282" s="31"/>
    </row>
    <row r="283">
      <c r="A283" s="31"/>
    </row>
    <row r="284">
      <c r="A284" s="31"/>
    </row>
    <row r="285">
      <c r="A285" s="31"/>
    </row>
    <row r="286">
      <c r="A286" s="31"/>
    </row>
    <row r="287">
      <c r="A287" s="31"/>
    </row>
    <row r="288">
      <c r="A288" s="31"/>
    </row>
    <row r="289">
      <c r="A289" s="31"/>
    </row>
    <row r="290">
      <c r="A290" s="31"/>
    </row>
    <row r="291">
      <c r="A291" s="31"/>
    </row>
    <row r="292">
      <c r="A292" s="31"/>
    </row>
    <row r="293">
      <c r="A293" s="31"/>
    </row>
    <row r="294">
      <c r="A294" s="31"/>
    </row>
    <row r="295">
      <c r="A295" s="31"/>
    </row>
    <row r="296">
      <c r="A296" s="31"/>
    </row>
    <row r="297">
      <c r="A297" s="31"/>
    </row>
    <row r="298">
      <c r="A298" s="31"/>
    </row>
    <row r="299">
      <c r="A299" s="31"/>
    </row>
    <row r="300">
      <c r="A300" s="31"/>
    </row>
    <row r="301">
      <c r="A301" s="31"/>
    </row>
    <row r="302">
      <c r="A302" s="31"/>
    </row>
    <row r="303">
      <c r="A303" s="31"/>
    </row>
    <row r="304">
      <c r="A304" s="31"/>
    </row>
    <row r="305">
      <c r="A305" s="31"/>
    </row>
    <row r="306">
      <c r="A306" s="31"/>
    </row>
    <row r="307">
      <c r="A307" s="31"/>
    </row>
    <row r="308">
      <c r="A308" s="31"/>
    </row>
    <row r="309">
      <c r="A309" s="31"/>
    </row>
    <row r="310">
      <c r="A310" s="31"/>
    </row>
    <row r="311">
      <c r="A311" s="31"/>
    </row>
    <row r="312">
      <c r="A312" s="31"/>
    </row>
    <row r="313">
      <c r="A313" s="31"/>
    </row>
    <row r="314">
      <c r="A314" s="31"/>
    </row>
    <row r="315">
      <c r="A315" s="31"/>
    </row>
    <row r="316">
      <c r="A316" s="31"/>
    </row>
    <row r="317">
      <c r="A317" s="31"/>
    </row>
    <row r="318">
      <c r="A318" s="31"/>
    </row>
    <row r="319">
      <c r="A319" s="31"/>
    </row>
    <row r="320">
      <c r="A320" s="31"/>
    </row>
    <row r="321">
      <c r="A321" s="31"/>
    </row>
    <row r="322">
      <c r="A322" s="31"/>
    </row>
    <row r="323">
      <c r="A323" s="31"/>
    </row>
    <row r="324">
      <c r="A324" s="31"/>
    </row>
    <row r="325">
      <c r="A325" s="31"/>
    </row>
    <row r="326">
      <c r="A326" s="31"/>
    </row>
    <row r="327">
      <c r="A327" s="31"/>
    </row>
    <row r="328">
      <c r="A328" s="31"/>
    </row>
    <row r="329">
      <c r="A329" s="31"/>
    </row>
    <row r="330">
      <c r="A330" s="31"/>
    </row>
    <row r="331">
      <c r="A331" s="31"/>
    </row>
    <row r="332">
      <c r="A332" s="31"/>
    </row>
    <row r="333">
      <c r="A333" s="31"/>
    </row>
    <row r="334">
      <c r="A334" s="31"/>
    </row>
    <row r="335">
      <c r="A335" s="31"/>
    </row>
    <row r="336">
      <c r="A336" s="31"/>
    </row>
    <row r="337">
      <c r="A337" s="31"/>
    </row>
    <row r="338">
      <c r="A338" s="31"/>
    </row>
    <row r="339">
      <c r="A339" s="31"/>
    </row>
    <row r="340">
      <c r="A340" s="31"/>
    </row>
    <row r="341">
      <c r="A341" s="31"/>
    </row>
    <row r="342">
      <c r="A342" s="31"/>
    </row>
    <row r="343">
      <c r="A343" s="31"/>
    </row>
    <row r="344">
      <c r="A344" s="31"/>
    </row>
    <row r="345">
      <c r="A345" s="31"/>
    </row>
    <row r="346">
      <c r="A346" s="31"/>
    </row>
    <row r="347">
      <c r="A347" s="31"/>
    </row>
    <row r="348">
      <c r="A348" s="31"/>
    </row>
    <row r="349">
      <c r="A349" s="31"/>
    </row>
    <row r="350">
      <c r="A350" s="31"/>
    </row>
    <row r="351">
      <c r="A351" s="31"/>
    </row>
    <row r="352">
      <c r="A352" s="31"/>
    </row>
    <row r="353">
      <c r="A353" s="31"/>
    </row>
    <row r="354">
      <c r="A354" s="31"/>
    </row>
    <row r="355">
      <c r="A355" s="31"/>
    </row>
    <row r="356">
      <c r="A356" s="31"/>
    </row>
    <row r="357">
      <c r="A357" s="31"/>
    </row>
    <row r="358">
      <c r="A358" s="31"/>
    </row>
    <row r="359">
      <c r="A359" s="31"/>
    </row>
    <row r="360">
      <c r="A360" s="31"/>
    </row>
    <row r="361">
      <c r="A361" s="31"/>
    </row>
    <row r="362">
      <c r="A362" s="31"/>
    </row>
    <row r="363">
      <c r="A363" s="31"/>
    </row>
    <row r="364">
      <c r="A364" s="31"/>
    </row>
    <row r="365">
      <c r="A365" s="31"/>
    </row>
    <row r="366">
      <c r="A366" s="31"/>
    </row>
    <row r="367">
      <c r="A367" s="31"/>
    </row>
    <row r="368">
      <c r="A368" s="31"/>
    </row>
    <row r="369">
      <c r="A369" s="31"/>
    </row>
    <row r="370">
      <c r="A370" s="31"/>
    </row>
    <row r="371">
      <c r="A371" s="31"/>
    </row>
    <row r="372">
      <c r="A372" s="31"/>
    </row>
    <row r="373">
      <c r="A373" s="31"/>
    </row>
    <row r="374">
      <c r="A374" s="31"/>
    </row>
    <row r="375">
      <c r="A375" s="31"/>
    </row>
    <row r="376">
      <c r="A376" s="31"/>
    </row>
    <row r="377">
      <c r="A377" s="31"/>
    </row>
    <row r="378">
      <c r="A378" s="31"/>
    </row>
    <row r="379">
      <c r="A379" s="31"/>
    </row>
    <row r="380">
      <c r="A380" s="31"/>
    </row>
    <row r="381">
      <c r="A381" s="31"/>
    </row>
    <row r="382">
      <c r="A382" s="31"/>
    </row>
    <row r="383">
      <c r="A383" s="31"/>
    </row>
    <row r="384">
      <c r="A384" s="31"/>
    </row>
    <row r="385">
      <c r="A385" s="31"/>
    </row>
    <row r="386">
      <c r="A386" s="31"/>
    </row>
    <row r="387">
      <c r="A387" s="31"/>
    </row>
    <row r="388">
      <c r="A388" s="31"/>
    </row>
    <row r="389">
      <c r="A389" s="31"/>
    </row>
    <row r="390">
      <c r="A390" s="31"/>
    </row>
    <row r="391">
      <c r="A391" s="31"/>
    </row>
    <row r="392">
      <c r="A392" s="31"/>
    </row>
    <row r="393">
      <c r="A393" s="31"/>
    </row>
    <row r="394">
      <c r="A394" s="31"/>
    </row>
    <row r="395">
      <c r="A395" s="31"/>
    </row>
    <row r="396">
      <c r="A396" s="31"/>
    </row>
    <row r="397">
      <c r="A397" s="31"/>
    </row>
    <row r="398">
      <c r="A398" s="31"/>
    </row>
    <row r="399">
      <c r="A399" s="31"/>
    </row>
    <row r="400">
      <c r="A400" s="31"/>
    </row>
    <row r="401">
      <c r="A401" s="31"/>
    </row>
    <row r="402">
      <c r="A402" s="31"/>
    </row>
    <row r="403">
      <c r="A403" s="31"/>
    </row>
    <row r="404">
      <c r="A404" s="31"/>
    </row>
    <row r="405">
      <c r="A405" s="31"/>
    </row>
    <row r="406">
      <c r="A406" s="31"/>
    </row>
    <row r="407">
      <c r="A407" s="31"/>
    </row>
    <row r="408">
      <c r="A408" s="31"/>
    </row>
    <row r="409">
      <c r="A409" s="31"/>
    </row>
    <row r="410">
      <c r="A410" s="31"/>
    </row>
    <row r="411">
      <c r="A411" s="31"/>
    </row>
    <row r="412">
      <c r="A412" s="31"/>
    </row>
    <row r="413">
      <c r="A413" s="31"/>
    </row>
    <row r="414">
      <c r="A414" s="31"/>
    </row>
    <row r="415">
      <c r="A415" s="31"/>
    </row>
    <row r="416">
      <c r="A416" s="31"/>
    </row>
    <row r="417">
      <c r="A417" s="31"/>
    </row>
    <row r="418">
      <c r="A418" s="31"/>
    </row>
    <row r="419">
      <c r="A419" s="31"/>
    </row>
    <row r="420">
      <c r="A420" s="31"/>
    </row>
    <row r="421">
      <c r="A421" s="31"/>
    </row>
    <row r="422">
      <c r="A422" s="31"/>
    </row>
    <row r="423">
      <c r="A423" s="31"/>
    </row>
    <row r="424">
      <c r="A424" s="31"/>
    </row>
    <row r="425">
      <c r="A425" s="31"/>
    </row>
    <row r="426">
      <c r="A426" s="31"/>
    </row>
    <row r="427">
      <c r="A427" s="31"/>
    </row>
    <row r="428">
      <c r="A428" s="31"/>
    </row>
    <row r="429">
      <c r="A429" s="31"/>
    </row>
    <row r="430">
      <c r="A430" s="31"/>
    </row>
    <row r="431">
      <c r="A431" s="31"/>
    </row>
    <row r="432">
      <c r="A432" s="31"/>
    </row>
    <row r="433">
      <c r="A433" s="31"/>
    </row>
    <row r="434">
      <c r="A434" s="31"/>
    </row>
    <row r="435">
      <c r="A435" s="31"/>
    </row>
    <row r="436">
      <c r="A436" s="31"/>
    </row>
    <row r="437">
      <c r="A437" s="31"/>
    </row>
    <row r="438">
      <c r="A438" s="31"/>
    </row>
    <row r="439">
      <c r="A439" s="31"/>
    </row>
    <row r="440">
      <c r="A440" s="31"/>
    </row>
    <row r="441">
      <c r="A441" s="31"/>
    </row>
    <row r="442">
      <c r="A442" s="31"/>
    </row>
    <row r="443">
      <c r="A443" s="31"/>
    </row>
    <row r="444">
      <c r="A444" s="31"/>
    </row>
    <row r="445">
      <c r="A445" s="31"/>
    </row>
    <row r="446">
      <c r="A446" s="31"/>
    </row>
    <row r="447">
      <c r="A447" s="31"/>
    </row>
    <row r="448">
      <c r="A448" s="31"/>
    </row>
    <row r="449">
      <c r="A449" s="31"/>
    </row>
    <row r="450">
      <c r="A450" s="31"/>
    </row>
    <row r="451">
      <c r="A451" s="31"/>
    </row>
    <row r="452">
      <c r="A452" s="31"/>
    </row>
    <row r="453">
      <c r="A453" s="31"/>
    </row>
    <row r="454">
      <c r="A454" s="31"/>
    </row>
    <row r="455">
      <c r="A455" s="31"/>
    </row>
    <row r="456">
      <c r="A456" s="31"/>
    </row>
    <row r="457">
      <c r="A457" s="31"/>
    </row>
    <row r="458">
      <c r="A458" s="31"/>
    </row>
    <row r="459">
      <c r="A459" s="31"/>
    </row>
    <row r="460">
      <c r="A460" s="31"/>
    </row>
    <row r="461">
      <c r="A461" s="31"/>
    </row>
    <row r="462">
      <c r="A462" s="31"/>
    </row>
    <row r="463">
      <c r="A463" s="31"/>
    </row>
    <row r="464">
      <c r="A464" s="31"/>
    </row>
    <row r="465">
      <c r="A465" s="31"/>
    </row>
    <row r="466">
      <c r="A466" s="31"/>
    </row>
    <row r="467">
      <c r="A467" s="31"/>
    </row>
    <row r="468">
      <c r="A468" s="31"/>
    </row>
    <row r="469">
      <c r="A469" s="31"/>
    </row>
    <row r="470">
      <c r="A470" s="31"/>
    </row>
    <row r="471">
      <c r="A471" s="31"/>
    </row>
    <row r="472">
      <c r="A472" s="31"/>
    </row>
    <row r="473">
      <c r="A473" s="31"/>
    </row>
    <row r="474">
      <c r="A474" s="31"/>
    </row>
    <row r="475">
      <c r="A475" s="31"/>
    </row>
    <row r="476">
      <c r="A476" s="31"/>
    </row>
    <row r="477">
      <c r="A477" s="31"/>
    </row>
    <row r="478">
      <c r="A478" s="31"/>
    </row>
    <row r="479">
      <c r="A479" s="31"/>
    </row>
    <row r="480">
      <c r="A480" s="31"/>
    </row>
    <row r="481">
      <c r="A481" s="31"/>
    </row>
    <row r="482">
      <c r="A482" s="31"/>
    </row>
    <row r="483">
      <c r="A483" s="31"/>
    </row>
    <row r="484">
      <c r="A484" s="31"/>
    </row>
    <row r="485">
      <c r="A485" s="31"/>
    </row>
    <row r="486">
      <c r="A486" s="31"/>
    </row>
    <row r="487">
      <c r="A487" s="31"/>
    </row>
    <row r="488">
      <c r="A488" s="31"/>
    </row>
    <row r="489">
      <c r="A489" s="31"/>
    </row>
    <row r="490">
      <c r="A490" s="31"/>
    </row>
    <row r="491">
      <c r="A491" s="31"/>
    </row>
    <row r="492">
      <c r="A492" s="31"/>
    </row>
    <row r="493">
      <c r="A493" s="31"/>
    </row>
    <row r="494">
      <c r="A494" s="31"/>
    </row>
    <row r="495">
      <c r="A495" s="31"/>
    </row>
    <row r="496">
      <c r="A496" s="31"/>
    </row>
    <row r="497">
      <c r="A497" s="31"/>
    </row>
    <row r="498">
      <c r="A498" s="31"/>
    </row>
    <row r="499">
      <c r="A499" s="31"/>
    </row>
    <row r="500">
      <c r="A500" s="31"/>
    </row>
    <row r="501">
      <c r="A501" s="31"/>
    </row>
    <row r="502">
      <c r="A502" s="31"/>
    </row>
    <row r="503">
      <c r="A503" s="31"/>
    </row>
    <row r="504">
      <c r="A504" s="31"/>
    </row>
    <row r="505">
      <c r="A505" s="31"/>
    </row>
    <row r="506">
      <c r="A506" s="31"/>
    </row>
    <row r="507">
      <c r="A507" s="31"/>
    </row>
    <row r="508">
      <c r="A508" s="31"/>
    </row>
    <row r="509">
      <c r="A509" s="31"/>
    </row>
    <row r="510">
      <c r="A510" s="31"/>
    </row>
    <row r="511">
      <c r="A511" s="31"/>
    </row>
    <row r="512">
      <c r="A512" s="31"/>
    </row>
    <row r="513">
      <c r="A513" s="31"/>
    </row>
    <row r="514">
      <c r="A514" s="31"/>
    </row>
    <row r="515">
      <c r="A515" s="31"/>
    </row>
    <row r="516">
      <c r="A516" s="31"/>
    </row>
    <row r="517">
      <c r="A517" s="31"/>
    </row>
    <row r="518">
      <c r="A518" s="31"/>
    </row>
    <row r="519">
      <c r="A519" s="31"/>
    </row>
    <row r="520">
      <c r="A520" s="31"/>
    </row>
    <row r="521">
      <c r="A521" s="31"/>
    </row>
    <row r="522">
      <c r="A522" s="31"/>
    </row>
    <row r="523">
      <c r="A523" s="31"/>
    </row>
    <row r="524">
      <c r="A524" s="31"/>
    </row>
    <row r="525">
      <c r="A525" s="31"/>
    </row>
    <row r="526">
      <c r="A526" s="31"/>
    </row>
    <row r="527">
      <c r="A527" s="31"/>
    </row>
    <row r="528">
      <c r="A528" s="31"/>
    </row>
    <row r="529">
      <c r="A529" s="31"/>
    </row>
    <row r="530">
      <c r="A530" s="31"/>
    </row>
    <row r="531">
      <c r="A531" s="31"/>
    </row>
    <row r="532">
      <c r="A532" s="31"/>
    </row>
    <row r="533">
      <c r="A533" s="31"/>
    </row>
    <row r="534">
      <c r="A534" s="31"/>
    </row>
    <row r="535">
      <c r="A535" s="31"/>
    </row>
    <row r="536">
      <c r="A536" s="31"/>
    </row>
    <row r="537">
      <c r="A537" s="31"/>
    </row>
    <row r="538">
      <c r="A538" s="31"/>
    </row>
    <row r="539">
      <c r="A539" s="31"/>
    </row>
    <row r="540">
      <c r="A540" s="31"/>
    </row>
    <row r="541">
      <c r="A541" s="31"/>
    </row>
    <row r="542">
      <c r="A542" s="31"/>
    </row>
    <row r="543">
      <c r="A543" s="31"/>
    </row>
    <row r="544">
      <c r="A544" s="31"/>
    </row>
    <row r="545">
      <c r="A545" s="31"/>
    </row>
    <row r="546">
      <c r="A546" s="31"/>
    </row>
    <row r="547">
      <c r="A547" s="31"/>
    </row>
    <row r="548">
      <c r="A548" s="31"/>
    </row>
    <row r="549">
      <c r="A549" s="31"/>
    </row>
    <row r="550">
      <c r="A550" s="31"/>
    </row>
    <row r="551">
      <c r="A551" s="31"/>
    </row>
    <row r="552">
      <c r="A552" s="31"/>
    </row>
    <row r="553">
      <c r="A553" s="31"/>
    </row>
    <row r="554">
      <c r="A554" s="31"/>
    </row>
    <row r="555">
      <c r="A555" s="31"/>
    </row>
    <row r="556">
      <c r="A556" s="31"/>
    </row>
    <row r="557">
      <c r="A557" s="31"/>
    </row>
    <row r="558">
      <c r="A558" s="31"/>
    </row>
    <row r="559">
      <c r="A559" s="31"/>
    </row>
    <row r="560">
      <c r="A560" s="31"/>
    </row>
    <row r="561">
      <c r="A561" s="31"/>
    </row>
    <row r="562">
      <c r="A562" s="31"/>
    </row>
    <row r="563">
      <c r="A563" s="31"/>
    </row>
    <row r="564">
      <c r="A564" s="31"/>
    </row>
    <row r="565">
      <c r="A565" s="31"/>
    </row>
    <row r="566">
      <c r="A566" s="31"/>
    </row>
    <row r="567">
      <c r="A567" s="31"/>
    </row>
    <row r="568">
      <c r="A568" s="31"/>
    </row>
    <row r="569">
      <c r="A569" s="31"/>
    </row>
    <row r="570">
      <c r="A570" s="31"/>
    </row>
    <row r="571">
      <c r="A571" s="31"/>
    </row>
    <row r="572">
      <c r="A572" s="31"/>
    </row>
    <row r="573">
      <c r="A573" s="31"/>
    </row>
    <row r="574">
      <c r="A574" s="31"/>
    </row>
    <row r="575">
      <c r="A575" s="31"/>
    </row>
    <row r="576">
      <c r="A576" s="31"/>
    </row>
    <row r="577">
      <c r="A577" s="31"/>
    </row>
    <row r="578">
      <c r="A578" s="31"/>
    </row>
    <row r="579">
      <c r="A579" s="31"/>
    </row>
    <row r="580">
      <c r="A580" s="31"/>
    </row>
    <row r="581">
      <c r="A581" s="31"/>
    </row>
    <row r="582">
      <c r="A582" s="31"/>
    </row>
    <row r="583">
      <c r="A583" s="31"/>
    </row>
    <row r="584">
      <c r="A584" s="31"/>
    </row>
    <row r="585">
      <c r="A585" s="31"/>
    </row>
    <row r="586">
      <c r="A586" s="31"/>
    </row>
    <row r="587">
      <c r="A587" s="31"/>
    </row>
    <row r="588">
      <c r="A588" s="31"/>
    </row>
    <row r="589">
      <c r="A589" s="31"/>
    </row>
    <row r="590">
      <c r="A590" s="31"/>
    </row>
    <row r="591">
      <c r="A591" s="31"/>
    </row>
    <row r="592">
      <c r="A592" s="31"/>
    </row>
    <row r="593">
      <c r="A593" s="31"/>
    </row>
    <row r="594">
      <c r="A594" s="31"/>
    </row>
    <row r="595">
      <c r="A595" s="31"/>
    </row>
    <row r="596">
      <c r="A596" s="31"/>
    </row>
    <row r="597">
      <c r="A597" s="31"/>
    </row>
    <row r="598">
      <c r="A598" s="31"/>
    </row>
    <row r="599">
      <c r="A599" s="31"/>
    </row>
    <row r="600">
      <c r="A600" s="31"/>
    </row>
    <row r="601">
      <c r="A601" s="31"/>
    </row>
    <row r="602">
      <c r="A602" s="31"/>
    </row>
    <row r="603">
      <c r="A603" s="31"/>
    </row>
    <row r="604">
      <c r="A604" s="31"/>
    </row>
    <row r="605">
      <c r="A605" s="31"/>
    </row>
    <row r="606">
      <c r="A606" s="31"/>
    </row>
    <row r="607">
      <c r="A607" s="31"/>
    </row>
    <row r="608">
      <c r="A608" s="31"/>
    </row>
    <row r="609">
      <c r="A609" s="31"/>
    </row>
    <row r="610">
      <c r="A610" s="31"/>
    </row>
    <row r="611">
      <c r="A611" s="31"/>
    </row>
    <row r="612">
      <c r="A612" s="31"/>
    </row>
    <row r="613">
      <c r="A613" s="31"/>
    </row>
    <row r="614">
      <c r="A614" s="31"/>
    </row>
    <row r="615">
      <c r="A615" s="31"/>
    </row>
    <row r="616">
      <c r="A616" s="31"/>
    </row>
    <row r="617">
      <c r="A617" s="31"/>
    </row>
    <row r="618">
      <c r="A618" s="31"/>
    </row>
    <row r="619">
      <c r="A619" s="31"/>
    </row>
    <row r="620">
      <c r="A620" s="31"/>
    </row>
    <row r="621">
      <c r="A621" s="31"/>
    </row>
    <row r="622">
      <c r="A622" s="31"/>
    </row>
    <row r="623">
      <c r="A623" s="31"/>
    </row>
    <row r="624">
      <c r="A624" s="31"/>
    </row>
    <row r="625">
      <c r="A625" s="31"/>
    </row>
    <row r="626">
      <c r="A626" s="31"/>
    </row>
    <row r="627">
      <c r="A627" s="31"/>
    </row>
    <row r="628">
      <c r="A628" s="31"/>
    </row>
    <row r="629">
      <c r="A629" s="31"/>
    </row>
    <row r="630">
      <c r="A630" s="31"/>
    </row>
    <row r="631">
      <c r="A631" s="31"/>
    </row>
    <row r="632">
      <c r="A632" s="31"/>
    </row>
    <row r="633">
      <c r="A633" s="31"/>
    </row>
    <row r="634">
      <c r="A634" s="31"/>
    </row>
    <row r="635">
      <c r="A635" s="31"/>
    </row>
    <row r="636">
      <c r="A636" s="31"/>
    </row>
    <row r="637">
      <c r="A637" s="31"/>
    </row>
    <row r="638">
      <c r="A638" s="31"/>
    </row>
    <row r="639">
      <c r="A639" s="31"/>
    </row>
    <row r="640">
      <c r="A640" s="31"/>
    </row>
    <row r="641">
      <c r="A641" s="31"/>
    </row>
    <row r="642">
      <c r="A642" s="31"/>
    </row>
    <row r="643">
      <c r="A643" s="31"/>
    </row>
    <row r="644">
      <c r="A644" s="31"/>
    </row>
    <row r="645">
      <c r="A645" s="31"/>
    </row>
    <row r="646">
      <c r="A646" s="31"/>
    </row>
    <row r="647">
      <c r="A647" s="31"/>
    </row>
    <row r="648">
      <c r="A648" s="31"/>
    </row>
    <row r="649">
      <c r="A649" s="31"/>
    </row>
    <row r="650">
      <c r="A650" s="31"/>
    </row>
    <row r="651">
      <c r="A651" s="31"/>
    </row>
    <row r="652">
      <c r="A652" s="31"/>
    </row>
    <row r="653">
      <c r="A653" s="31"/>
    </row>
    <row r="654">
      <c r="A654" s="31"/>
    </row>
    <row r="655">
      <c r="A655" s="31"/>
    </row>
    <row r="656">
      <c r="A656" s="31"/>
    </row>
    <row r="657">
      <c r="A657" s="31"/>
    </row>
    <row r="658">
      <c r="A658" s="31"/>
    </row>
    <row r="659">
      <c r="A659" s="31"/>
    </row>
    <row r="660">
      <c r="A660" s="31"/>
    </row>
    <row r="661">
      <c r="A661" s="31"/>
    </row>
    <row r="662">
      <c r="A662" s="31"/>
    </row>
    <row r="663">
      <c r="A663" s="31"/>
    </row>
    <row r="664">
      <c r="A664" s="31"/>
    </row>
    <row r="665">
      <c r="A665" s="31"/>
    </row>
    <row r="666">
      <c r="A666" s="31"/>
    </row>
    <row r="667">
      <c r="A667" s="31"/>
    </row>
    <row r="668">
      <c r="A668" s="31"/>
    </row>
    <row r="669">
      <c r="A669" s="31"/>
    </row>
    <row r="670">
      <c r="A670" s="31"/>
    </row>
    <row r="671">
      <c r="A671" s="31"/>
    </row>
    <row r="672">
      <c r="A672" s="31"/>
    </row>
    <row r="673">
      <c r="A673" s="31"/>
    </row>
    <row r="674">
      <c r="A674" s="31"/>
    </row>
    <row r="675">
      <c r="A675" s="31"/>
    </row>
    <row r="676">
      <c r="A676" s="31"/>
    </row>
    <row r="677">
      <c r="A677" s="31"/>
    </row>
    <row r="678">
      <c r="A678" s="31"/>
    </row>
    <row r="679">
      <c r="A679" s="31"/>
    </row>
    <row r="680">
      <c r="A680" s="31"/>
    </row>
    <row r="681">
      <c r="A681" s="31"/>
    </row>
    <row r="682">
      <c r="A682" s="31"/>
    </row>
    <row r="683">
      <c r="A683" s="31"/>
    </row>
    <row r="684">
      <c r="A684" s="31"/>
    </row>
    <row r="685">
      <c r="A685" s="31"/>
    </row>
    <row r="686">
      <c r="A686" s="31"/>
    </row>
    <row r="687">
      <c r="A687" s="31"/>
    </row>
    <row r="688">
      <c r="A688" s="31"/>
    </row>
    <row r="689">
      <c r="A689" s="31"/>
    </row>
    <row r="690">
      <c r="A690" s="31"/>
    </row>
    <row r="691">
      <c r="A691" s="31"/>
    </row>
    <row r="692">
      <c r="A692" s="31"/>
    </row>
    <row r="693">
      <c r="A693" s="31"/>
    </row>
    <row r="694">
      <c r="A694" s="31"/>
    </row>
    <row r="695">
      <c r="A695" s="31"/>
    </row>
    <row r="696">
      <c r="A696" s="31"/>
    </row>
    <row r="697">
      <c r="A697" s="31"/>
    </row>
    <row r="698">
      <c r="A698" s="31"/>
    </row>
    <row r="699">
      <c r="A699" s="31"/>
    </row>
    <row r="700">
      <c r="A700" s="31"/>
    </row>
    <row r="701">
      <c r="A701" s="31"/>
    </row>
    <row r="702">
      <c r="A702" s="31"/>
    </row>
    <row r="703">
      <c r="A703" s="31"/>
    </row>
    <row r="704">
      <c r="A704" s="31"/>
    </row>
    <row r="705">
      <c r="A705" s="31"/>
    </row>
    <row r="706">
      <c r="A706" s="31"/>
    </row>
    <row r="707">
      <c r="A707" s="31"/>
    </row>
    <row r="708">
      <c r="A708" s="31"/>
    </row>
    <row r="709">
      <c r="A709" s="31"/>
    </row>
    <row r="710">
      <c r="A710" s="31"/>
    </row>
    <row r="711">
      <c r="A711" s="31"/>
    </row>
    <row r="712">
      <c r="A712" s="31"/>
    </row>
    <row r="713">
      <c r="A713" s="31"/>
    </row>
    <row r="714">
      <c r="A714" s="31"/>
    </row>
    <row r="715">
      <c r="A715" s="31"/>
    </row>
    <row r="716">
      <c r="A716" s="31"/>
    </row>
    <row r="717">
      <c r="A717" s="31"/>
    </row>
    <row r="718">
      <c r="A718" s="31"/>
    </row>
    <row r="719">
      <c r="A719" s="31"/>
    </row>
    <row r="720">
      <c r="A720" s="31"/>
    </row>
    <row r="721">
      <c r="A721" s="31"/>
    </row>
    <row r="722">
      <c r="A722" s="31"/>
    </row>
    <row r="723">
      <c r="A723" s="31"/>
    </row>
    <row r="724">
      <c r="A724" s="31"/>
    </row>
    <row r="725">
      <c r="A725" s="31"/>
    </row>
    <row r="726">
      <c r="A726" s="31"/>
    </row>
    <row r="727">
      <c r="A727" s="31"/>
    </row>
    <row r="728">
      <c r="A728" s="31"/>
    </row>
    <row r="729">
      <c r="A729" s="31"/>
    </row>
    <row r="730">
      <c r="A730" s="31"/>
    </row>
    <row r="731">
      <c r="A731" s="31"/>
    </row>
    <row r="732">
      <c r="A732" s="31"/>
    </row>
    <row r="733">
      <c r="A733" s="31"/>
    </row>
    <row r="734">
      <c r="A734" s="31"/>
    </row>
    <row r="735">
      <c r="A735" s="31"/>
    </row>
    <row r="736">
      <c r="A736" s="31"/>
    </row>
    <row r="737">
      <c r="A737" s="31"/>
    </row>
    <row r="738">
      <c r="A738" s="31"/>
    </row>
    <row r="739">
      <c r="A739" s="31"/>
    </row>
    <row r="740">
      <c r="A740" s="31"/>
    </row>
    <row r="741">
      <c r="A741" s="31"/>
    </row>
    <row r="742">
      <c r="A742" s="31"/>
    </row>
    <row r="743">
      <c r="A743" s="31"/>
    </row>
    <row r="744">
      <c r="A744" s="31"/>
    </row>
    <row r="745">
      <c r="A745" s="31"/>
    </row>
    <row r="746">
      <c r="A746" s="31"/>
    </row>
    <row r="747">
      <c r="A747" s="31"/>
    </row>
    <row r="748">
      <c r="A748" s="31"/>
    </row>
    <row r="749">
      <c r="A749" s="31"/>
    </row>
    <row r="750">
      <c r="A750" s="31"/>
    </row>
    <row r="751">
      <c r="A751" s="31"/>
    </row>
    <row r="752">
      <c r="A752" s="31"/>
    </row>
    <row r="753">
      <c r="A753" s="31"/>
    </row>
    <row r="754">
      <c r="A754" s="31"/>
    </row>
    <row r="755">
      <c r="A755" s="31"/>
    </row>
    <row r="756">
      <c r="A756" s="31"/>
    </row>
    <row r="757">
      <c r="A757" s="31"/>
    </row>
    <row r="758">
      <c r="A758" s="31"/>
    </row>
    <row r="759">
      <c r="A759" s="31"/>
    </row>
    <row r="760">
      <c r="A760" s="31"/>
    </row>
    <row r="761">
      <c r="A761" s="31"/>
    </row>
    <row r="762">
      <c r="A762" s="31"/>
    </row>
    <row r="763">
      <c r="A763" s="31"/>
    </row>
    <row r="764">
      <c r="A764" s="31"/>
    </row>
    <row r="765">
      <c r="A765" s="31"/>
    </row>
    <row r="766">
      <c r="A766" s="31"/>
    </row>
    <row r="767">
      <c r="A767" s="31"/>
    </row>
    <row r="768">
      <c r="A768" s="31"/>
    </row>
    <row r="769">
      <c r="A769" s="31"/>
    </row>
    <row r="770">
      <c r="A770" s="31"/>
    </row>
    <row r="771">
      <c r="A771" s="31"/>
    </row>
    <row r="772">
      <c r="A772" s="31"/>
    </row>
    <row r="773">
      <c r="A773" s="31"/>
    </row>
    <row r="774">
      <c r="A774" s="31"/>
    </row>
    <row r="775">
      <c r="A775" s="31"/>
    </row>
    <row r="776">
      <c r="A776" s="31"/>
    </row>
    <row r="777">
      <c r="A777" s="31"/>
    </row>
    <row r="778">
      <c r="A778" s="31"/>
    </row>
    <row r="779">
      <c r="A779" s="31"/>
    </row>
    <row r="780">
      <c r="A780" s="31"/>
    </row>
    <row r="781">
      <c r="A781" s="31"/>
    </row>
    <row r="782">
      <c r="A782" s="31"/>
    </row>
    <row r="783">
      <c r="A783" s="31"/>
    </row>
    <row r="784">
      <c r="A784" s="31"/>
    </row>
    <row r="785">
      <c r="A785" s="31"/>
    </row>
    <row r="786">
      <c r="A786" s="31"/>
    </row>
    <row r="787">
      <c r="A787" s="31"/>
    </row>
    <row r="788">
      <c r="A788" s="31"/>
    </row>
    <row r="789">
      <c r="A789" s="31"/>
    </row>
    <row r="790">
      <c r="A790" s="31"/>
    </row>
    <row r="791">
      <c r="A791" s="31"/>
    </row>
    <row r="792">
      <c r="A792" s="31"/>
    </row>
    <row r="793">
      <c r="A793" s="31"/>
    </row>
    <row r="794">
      <c r="A794" s="31"/>
    </row>
    <row r="795">
      <c r="A795" s="31"/>
    </row>
    <row r="796">
      <c r="A796" s="31"/>
    </row>
    <row r="797">
      <c r="A797" s="31"/>
    </row>
    <row r="798">
      <c r="A798" s="31"/>
    </row>
    <row r="799">
      <c r="A799" s="31"/>
    </row>
    <row r="800">
      <c r="A800" s="31"/>
    </row>
    <row r="801">
      <c r="A801" s="31"/>
    </row>
    <row r="802">
      <c r="A802" s="31"/>
    </row>
    <row r="803">
      <c r="A803" s="31"/>
    </row>
    <row r="804">
      <c r="A804" s="31"/>
    </row>
    <row r="805">
      <c r="A805" s="31"/>
    </row>
    <row r="806">
      <c r="A806" s="31"/>
    </row>
    <row r="807">
      <c r="A807" s="31"/>
    </row>
    <row r="808">
      <c r="A808" s="31"/>
    </row>
    <row r="809">
      <c r="A809" s="31"/>
    </row>
    <row r="810">
      <c r="A810" s="31"/>
    </row>
    <row r="811">
      <c r="A811" s="31"/>
    </row>
    <row r="812">
      <c r="A812" s="31"/>
    </row>
    <row r="813">
      <c r="A813" s="31"/>
    </row>
    <row r="814">
      <c r="A814" s="31"/>
    </row>
    <row r="815">
      <c r="A815" s="31"/>
    </row>
    <row r="816">
      <c r="A816" s="31"/>
    </row>
    <row r="817">
      <c r="A817" s="31"/>
    </row>
    <row r="818">
      <c r="A818" s="31"/>
    </row>
    <row r="819">
      <c r="A819" s="31"/>
    </row>
    <row r="820">
      <c r="A820" s="31"/>
    </row>
    <row r="821">
      <c r="A821" s="31"/>
    </row>
    <row r="822">
      <c r="A822" s="31"/>
    </row>
    <row r="823">
      <c r="A823" s="31"/>
    </row>
    <row r="824">
      <c r="A824" s="31"/>
    </row>
    <row r="825">
      <c r="A825" s="31"/>
    </row>
    <row r="826">
      <c r="A826" s="31"/>
    </row>
    <row r="827">
      <c r="A827" s="31"/>
    </row>
    <row r="828">
      <c r="A828" s="31"/>
    </row>
    <row r="829">
      <c r="A829" s="31"/>
    </row>
    <row r="830">
      <c r="A830" s="31"/>
    </row>
    <row r="831">
      <c r="A831" s="31"/>
    </row>
    <row r="832">
      <c r="A832" s="31"/>
    </row>
    <row r="833">
      <c r="A833" s="31"/>
    </row>
    <row r="834">
      <c r="A834" s="31"/>
    </row>
    <row r="835">
      <c r="A835" s="31"/>
    </row>
    <row r="836">
      <c r="A836" s="31"/>
    </row>
    <row r="837">
      <c r="A837" s="31"/>
    </row>
    <row r="838">
      <c r="A838" s="31"/>
    </row>
    <row r="839">
      <c r="A839" s="31"/>
    </row>
    <row r="840">
      <c r="A840" s="31"/>
    </row>
    <row r="841">
      <c r="A841" s="31"/>
    </row>
    <row r="842">
      <c r="A842" s="31"/>
    </row>
    <row r="843">
      <c r="A843" s="31"/>
    </row>
    <row r="844">
      <c r="A844" s="31"/>
    </row>
    <row r="845">
      <c r="A845" s="31"/>
    </row>
    <row r="846">
      <c r="A846" s="31"/>
    </row>
    <row r="847">
      <c r="A847" s="31"/>
    </row>
    <row r="848">
      <c r="A848" s="31"/>
    </row>
    <row r="849">
      <c r="A849" s="31"/>
    </row>
    <row r="850">
      <c r="A850" s="31"/>
    </row>
    <row r="851">
      <c r="A851" s="31"/>
    </row>
    <row r="852">
      <c r="A852" s="31"/>
    </row>
    <row r="853">
      <c r="A853" s="31"/>
    </row>
    <row r="854">
      <c r="A854" s="31"/>
    </row>
    <row r="855">
      <c r="A855" s="31"/>
    </row>
    <row r="856">
      <c r="A856" s="31"/>
    </row>
    <row r="857">
      <c r="A857" s="31"/>
    </row>
    <row r="858">
      <c r="A858" s="31"/>
    </row>
    <row r="859">
      <c r="A859" s="31"/>
    </row>
    <row r="860">
      <c r="A860" s="31"/>
    </row>
    <row r="861">
      <c r="A861" s="31"/>
    </row>
    <row r="862">
      <c r="A862" s="31"/>
    </row>
    <row r="863">
      <c r="A863" s="31"/>
    </row>
    <row r="864">
      <c r="A864" s="31"/>
    </row>
    <row r="865">
      <c r="A865" s="31"/>
    </row>
    <row r="866">
      <c r="A866" s="31"/>
    </row>
    <row r="867">
      <c r="A867" s="31"/>
    </row>
    <row r="868">
      <c r="A868" s="31"/>
    </row>
    <row r="869">
      <c r="A869" s="31"/>
    </row>
    <row r="870">
      <c r="A870" s="31"/>
    </row>
    <row r="871">
      <c r="A871" s="31"/>
    </row>
    <row r="872">
      <c r="A872" s="31"/>
    </row>
    <row r="873">
      <c r="A873" s="31"/>
    </row>
    <row r="874">
      <c r="A874" s="31"/>
    </row>
    <row r="875">
      <c r="A875" s="31"/>
    </row>
    <row r="876">
      <c r="A876" s="31"/>
    </row>
    <row r="877">
      <c r="A877" s="31"/>
    </row>
    <row r="878">
      <c r="A878" s="31"/>
    </row>
    <row r="879">
      <c r="A879" s="31"/>
    </row>
    <row r="880">
      <c r="A880" s="31"/>
    </row>
    <row r="881">
      <c r="A881" s="31"/>
    </row>
    <row r="882">
      <c r="A882" s="31"/>
    </row>
    <row r="883">
      <c r="A883" s="31"/>
    </row>
    <row r="884">
      <c r="A884" s="31"/>
    </row>
    <row r="885">
      <c r="A885" s="31"/>
    </row>
    <row r="886">
      <c r="A886" s="31"/>
    </row>
    <row r="887">
      <c r="A887" s="31"/>
    </row>
    <row r="888">
      <c r="A888" s="31"/>
    </row>
    <row r="889">
      <c r="A889" s="31"/>
    </row>
    <row r="890">
      <c r="A890" s="31"/>
    </row>
    <row r="891">
      <c r="A891" s="31"/>
    </row>
    <row r="892">
      <c r="A892" s="31"/>
    </row>
    <row r="893">
      <c r="A893" s="31"/>
    </row>
    <row r="894">
      <c r="A894" s="31"/>
    </row>
    <row r="895">
      <c r="A895" s="31"/>
    </row>
    <row r="896">
      <c r="A896" s="31"/>
    </row>
    <row r="897">
      <c r="A897" s="31"/>
    </row>
    <row r="898">
      <c r="A898" s="31"/>
    </row>
    <row r="899">
      <c r="A899" s="31"/>
    </row>
    <row r="900">
      <c r="A900" s="31"/>
    </row>
    <row r="901">
      <c r="A901" s="31"/>
    </row>
    <row r="902">
      <c r="A902" s="31"/>
    </row>
    <row r="903">
      <c r="A903" s="31"/>
    </row>
    <row r="904">
      <c r="A904" s="31"/>
    </row>
    <row r="905">
      <c r="A905" s="31"/>
    </row>
    <row r="906">
      <c r="A906" s="31"/>
    </row>
    <row r="907">
      <c r="A907" s="31"/>
    </row>
    <row r="908">
      <c r="A908" s="31"/>
    </row>
    <row r="909">
      <c r="A909" s="31"/>
    </row>
    <row r="910">
      <c r="A910" s="31"/>
    </row>
    <row r="911">
      <c r="A911" s="31"/>
    </row>
    <row r="912">
      <c r="A912" s="31"/>
    </row>
    <row r="913">
      <c r="A913" s="31"/>
    </row>
    <row r="914">
      <c r="A914" s="31"/>
    </row>
    <row r="915">
      <c r="A915" s="31"/>
    </row>
    <row r="916">
      <c r="A916" s="31"/>
    </row>
    <row r="917">
      <c r="A917" s="31"/>
    </row>
    <row r="918">
      <c r="A918" s="31"/>
    </row>
    <row r="919">
      <c r="A919" s="31"/>
    </row>
    <row r="920">
      <c r="A920" s="31"/>
    </row>
    <row r="921">
      <c r="A921" s="31"/>
    </row>
    <row r="922">
      <c r="A922" s="31"/>
    </row>
    <row r="923">
      <c r="A923" s="31"/>
    </row>
    <row r="924">
      <c r="A924" s="31"/>
    </row>
    <row r="925">
      <c r="A925" s="31"/>
    </row>
    <row r="926">
      <c r="A926" s="31"/>
    </row>
    <row r="927">
      <c r="A927" s="31"/>
    </row>
    <row r="928">
      <c r="A928" s="31"/>
    </row>
    <row r="929">
      <c r="A929" s="31"/>
    </row>
    <row r="930">
      <c r="A930" s="31"/>
    </row>
    <row r="931">
      <c r="A931" s="31"/>
    </row>
    <row r="932">
      <c r="A932" s="31"/>
    </row>
    <row r="933">
      <c r="A933" s="31"/>
    </row>
    <row r="934">
      <c r="A934" s="31"/>
    </row>
    <row r="935">
      <c r="A935" s="31"/>
    </row>
    <row r="936">
      <c r="A936" s="31"/>
    </row>
    <row r="937">
      <c r="A937" s="31"/>
    </row>
    <row r="938">
      <c r="A938" s="31"/>
    </row>
    <row r="939">
      <c r="A939" s="31"/>
    </row>
    <row r="940">
      <c r="A940" s="31"/>
    </row>
    <row r="941">
      <c r="A941" s="31"/>
    </row>
    <row r="942">
      <c r="A942" s="31"/>
    </row>
  </sheetData>
  <mergeCells count="1">
    <mergeCell ref="A1:K1"/>
  </mergeCells>
  <printOptions horizontalCentered="1"/>
  <pageMargins bottom="0.75" footer="0.0" header="0.0" left="0.7" right="0.7" top="0.75"/>
  <pageSetup paperSize="9" orientation="landscape" pageOrder="overThenDown"/>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0"/>
    <col customWidth="1" min="2" max="2" width="8.38"/>
    <col customWidth="1" min="3" max="3" width="45.75"/>
    <col customWidth="1" min="4" max="4" width="49.5"/>
    <col customWidth="1" min="5" max="5" width="9.25"/>
    <col customWidth="1" min="6" max="6" width="15.13"/>
  </cols>
  <sheetData>
    <row r="1">
      <c r="A1" s="231" t="s">
        <v>867</v>
      </c>
      <c r="B1" s="232" t="s">
        <v>868</v>
      </c>
      <c r="C1" s="233" t="s">
        <v>869</v>
      </c>
      <c r="D1" s="234" t="s">
        <v>870</v>
      </c>
      <c r="E1" s="234" t="s">
        <v>860</v>
      </c>
      <c r="F1" s="235" t="s">
        <v>861</v>
      </c>
      <c r="G1" s="47" t="s">
        <v>871</v>
      </c>
      <c r="H1" s="31"/>
      <c r="I1" s="31"/>
      <c r="J1" s="31"/>
      <c r="K1" s="31"/>
      <c r="L1" s="31"/>
      <c r="M1" s="31"/>
      <c r="N1" s="31"/>
      <c r="O1" s="31"/>
      <c r="P1" s="31"/>
      <c r="Q1" s="31"/>
      <c r="R1" s="31"/>
      <c r="S1" s="31"/>
      <c r="T1" s="31"/>
      <c r="U1" s="31"/>
      <c r="V1" s="31"/>
      <c r="W1" s="31"/>
      <c r="X1" s="31"/>
      <c r="Y1" s="31"/>
      <c r="Z1" s="31"/>
      <c r="AA1" s="31"/>
    </row>
    <row r="2">
      <c r="A2" s="236">
        <f t="shared" ref="A2:A47" si="1">IF(LEN(C2),SUBTOTAL(103,$C$2:C2),"")</f>
        <v>1</v>
      </c>
      <c r="B2" s="233" t="s">
        <v>872</v>
      </c>
      <c r="C2" s="233" t="s">
        <v>873</v>
      </c>
      <c r="D2" s="233" t="str">
        <f t="shared" ref="D2:D27" si="2">CONCATENATE($B2," ", $C2)</f>
        <v>LCP AL EZRA BIN MOHAMED AL JOHAN </v>
      </c>
      <c r="E2" s="233" t="s">
        <v>874</v>
      </c>
      <c r="F2" s="237" t="s">
        <v>875</v>
      </c>
      <c r="G2" s="238">
        <v>46029.0</v>
      </c>
      <c r="H2" s="47"/>
      <c r="I2" s="31"/>
      <c r="J2" s="31"/>
      <c r="K2" s="31"/>
      <c r="L2" s="31"/>
      <c r="M2" s="31"/>
      <c r="N2" s="31"/>
      <c r="O2" s="31"/>
      <c r="P2" s="31"/>
      <c r="Q2" s="31"/>
      <c r="R2" s="31"/>
      <c r="S2" s="31"/>
      <c r="T2" s="31"/>
      <c r="U2" s="31"/>
      <c r="V2" s="31"/>
      <c r="W2" s="31"/>
      <c r="X2" s="31"/>
      <c r="Y2" s="31"/>
      <c r="Z2" s="31"/>
      <c r="AA2" s="31"/>
    </row>
    <row r="3">
      <c r="A3" s="236" t="str">
        <f t="shared" si="1"/>
        <v/>
      </c>
      <c r="B3" s="233" t="s">
        <v>876</v>
      </c>
      <c r="C3" s="233"/>
      <c r="D3" s="233" t="str">
        <f t="shared" si="2"/>
        <v>CPL </v>
      </c>
      <c r="E3" s="233" t="s">
        <v>877</v>
      </c>
      <c r="F3" s="233" t="s">
        <v>123</v>
      </c>
      <c r="G3" s="47"/>
      <c r="H3" s="31"/>
      <c r="I3" s="31"/>
      <c r="J3" s="47" t="s">
        <v>878</v>
      </c>
      <c r="K3" s="31"/>
      <c r="L3" s="31"/>
      <c r="M3" s="31"/>
      <c r="N3" s="31"/>
      <c r="O3" s="31"/>
      <c r="P3" s="31"/>
      <c r="Q3" s="31"/>
      <c r="R3" s="31"/>
      <c r="S3" s="31"/>
      <c r="T3" s="31"/>
      <c r="U3" s="31"/>
      <c r="V3" s="31"/>
      <c r="W3" s="31"/>
      <c r="X3" s="31"/>
      <c r="Y3" s="31"/>
      <c r="Z3" s="31"/>
      <c r="AA3" s="31"/>
    </row>
    <row r="4">
      <c r="A4" s="236" t="str">
        <f t="shared" si="1"/>
        <v/>
      </c>
      <c r="B4" s="233" t="s">
        <v>879</v>
      </c>
      <c r="C4" s="233"/>
      <c r="D4" s="233" t="str">
        <f t="shared" si="2"/>
        <v>PTE </v>
      </c>
      <c r="E4" s="233" t="s">
        <v>880</v>
      </c>
      <c r="F4" s="233" t="s">
        <v>123</v>
      </c>
      <c r="G4" s="47"/>
      <c r="H4" s="31"/>
      <c r="I4" s="31"/>
      <c r="J4" s="47" t="s">
        <v>881</v>
      </c>
      <c r="K4" s="47" t="s">
        <v>882</v>
      </c>
      <c r="L4" s="31"/>
      <c r="M4" s="31"/>
      <c r="N4" s="31"/>
      <c r="O4" s="31"/>
      <c r="P4" s="31"/>
      <c r="Q4" s="31"/>
      <c r="R4" s="31"/>
      <c r="S4" s="31"/>
      <c r="T4" s="31"/>
      <c r="U4" s="31"/>
      <c r="V4" s="31"/>
      <c r="W4" s="31"/>
      <c r="X4" s="31"/>
      <c r="Y4" s="31"/>
      <c r="Z4" s="31"/>
      <c r="AA4" s="31"/>
    </row>
    <row r="5">
      <c r="A5" s="236">
        <f t="shared" si="1"/>
        <v>2</v>
      </c>
      <c r="B5" s="233" t="s">
        <v>879</v>
      </c>
      <c r="C5" s="233" t="s">
        <v>883</v>
      </c>
      <c r="D5" s="233" t="str">
        <f t="shared" si="2"/>
        <v>PTE JULLION THNG AIK HONG </v>
      </c>
      <c r="E5" s="233" t="s">
        <v>884</v>
      </c>
      <c r="F5" s="233" t="s">
        <v>123</v>
      </c>
      <c r="G5" s="238">
        <v>46248.0</v>
      </c>
      <c r="H5" s="239">
        <v>46248.0</v>
      </c>
      <c r="J5" s="47" t="s">
        <v>885</v>
      </c>
      <c r="K5" s="47" t="s">
        <v>886</v>
      </c>
      <c r="L5" s="31"/>
      <c r="M5" s="31"/>
      <c r="N5" s="31"/>
      <c r="O5" s="31"/>
      <c r="P5" s="31"/>
      <c r="Q5" s="31"/>
      <c r="R5" s="31"/>
      <c r="S5" s="31"/>
      <c r="T5" s="31"/>
      <c r="U5" s="31"/>
      <c r="V5" s="31"/>
      <c r="W5" s="31"/>
      <c r="X5" s="31"/>
      <c r="Y5" s="31"/>
      <c r="Z5" s="31"/>
      <c r="AA5" s="31"/>
    </row>
    <row r="6">
      <c r="A6" s="236" t="str">
        <f t="shared" si="1"/>
        <v/>
      </c>
      <c r="B6" s="233" t="s">
        <v>879</v>
      </c>
      <c r="C6" s="233"/>
      <c r="D6" s="233" t="str">
        <f t="shared" si="2"/>
        <v>PTE </v>
      </c>
      <c r="E6" s="233" t="s">
        <v>887</v>
      </c>
      <c r="F6" s="233" t="s">
        <v>123</v>
      </c>
      <c r="G6" s="47"/>
      <c r="H6" s="47"/>
      <c r="J6" s="47" t="s">
        <v>888</v>
      </c>
      <c r="K6" s="31"/>
      <c r="L6" s="31"/>
      <c r="M6" s="31"/>
      <c r="N6" s="31"/>
      <c r="O6" s="31"/>
      <c r="P6" s="31"/>
      <c r="Q6" s="31"/>
      <c r="R6" s="31"/>
      <c r="S6" s="31"/>
      <c r="T6" s="31"/>
      <c r="U6" s="31"/>
      <c r="V6" s="31"/>
      <c r="W6" s="31"/>
      <c r="X6" s="31"/>
      <c r="Y6" s="31"/>
      <c r="Z6" s="31"/>
      <c r="AA6" s="31"/>
    </row>
    <row r="7">
      <c r="A7" s="236">
        <f t="shared" si="1"/>
        <v>3</v>
      </c>
      <c r="B7" s="233" t="s">
        <v>876</v>
      </c>
      <c r="C7" s="233" t="s">
        <v>889</v>
      </c>
      <c r="D7" s="233" t="str">
        <f t="shared" si="2"/>
        <v>CPL MITCHELL LIM </v>
      </c>
      <c r="E7" s="233" t="s">
        <v>890</v>
      </c>
      <c r="F7" s="233" t="s">
        <v>891</v>
      </c>
      <c r="G7" s="238">
        <v>46143.0</v>
      </c>
      <c r="H7" s="47" t="s">
        <v>892</v>
      </c>
      <c r="I7" s="17" t="s">
        <v>893</v>
      </c>
      <c r="J7" s="47"/>
      <c r="K7" s="31"/>
      <c r="L7" s="31"/>
      <c r="M7" s="31"/>
      <c r="N7" s="31"/>
      <c r="O7" s="31"/>
      <c r="P7" s="31"/>
      <c r="Q7" s="31"/>
      <c r="R7" s="31"/>
      <c r="S7" s="31"/>
      <c r="T7" s="31"/>
      <c r="U7" s="31"/>
      <c r="V7" s="31"/>
      <c r="W7" s="31"/>
      <c r="X7" s="31"/>
      <c r="Y7" s="31"/>
      <c r="Z7" s="31"/>
      <c r="AA7" s="31"/>
    </row>
    <row r="8">
      <c r="A8" s="236">
        <f t="shared" si="1"/>
        <v>4</v>
      </c>
      <c r="B8" s="233" t="s">
        <v>876</v>
      </c>
      <c r="C8" s="233" t="s">
        <v>894</v>
      </c>
      <c r="D8" s="233" t="str">
        <f t="shared" si="2"/>
        <v>CPL SHAVIN VALEN </v>
      </c>
      <c r="E8" s="233" t="s">
        <v>895</v>
      </c>
      <c r="F8" s="233" t="s">
        <v>891</v>
      </c>
      <c r="G8" s="238">
        <v>46526.0</v>
      </c>
      <c r="H8" s="31"/>
      <c r="J8" s="47"/>
      <c r="K8" s="31"/>
      <c r="L8" s="31"/>
      <c r="M8" s="31"/>
      <c r="N8" s="31"/>
      <c r="O8" s="31"/>
      <c r="P8" s="31"/>
      <c r="Q8" s="31"/>
      <c r="R8" s="31"/>
      <c r="S8" s="31"/>
      <c r="T8" s="31"/>
      <c r="U8" s="31"/>
      <c r="V8" s="31"/>
      <c r="W8" s="31"/>
      <c r="X8" s="31"/>
      <c r="Y8" s="31"/>
      <c r="Z8" s="31"/>
      <c r="AA8" s="31"/>
    </row>
    <row r="9">
      <c r="A9" s="236">
        <f t="shared" si="1"/>
        <v>5</v>
      </c>
      <c r="B9" s="233" t="s">
        <v>879</v>
      </c>
      <c r="C9" s="233" t="s">
        <v>896</v>
      </c>
      <c r="D9" s="233" t="str">
        <f t="shared" si="2"/>
        <v>PTE TAN WEI JIE</v>
      </c>
      <c r="E9" s="233" t="s">
        <v>897</v>
      </c>
      <c r="F9" s="233" t="s">
        <v>898</v>
      </c>
      <c r="G9" s="240">
        <v>46526.0</v>
      </c>
      <c r="H9" s="31"/>
      <c r="I9" s="47"/>
      <c r="J9" s="31"/>
      <c r="K9" s="31"/>
      <c r="L9" s="31"/>
      <c r="M9" s="31"/>
      <c r="N9" s="31"/>
      <c r="O9" s="31"/>
      <c r="P9" s="31"/>
      <c r="Q9" s="31"/>
      <c r="R9" s="31"/>
      <c r="S9" s="31"/>
      <c r="T9" s="31"/>
      <c r="U9" s="31"/>
      <c r="V9" s="31"/>
      <c r="W9" s="31"/>
      <c r="X9" s="31"/>
      <c r="Y9" s="31"/>
      <c r="Z9" s="31"/>
      <c r="AA9" s="31"/>
    </row>
    <row r="10">
      <c r="A10" s="236">
        <f t="shared" si="1"/>
        <v>6</v>
      </c>
      <c r="B10" s="233" t="s">
        <v>876</v>
      </c>
      <c r="C10" s="233" t="s">
        <v>899</v>
      </c>
      <c r="D10" s="233" t="str">
        <f t="shared" si="2"/>
        <v>CPL HUANG JIANHAO </v>
      </c>
      <c r="E10" s="233" t="s">
        <v>900</v>
      </c>
      <c r="F10" s="237" t="s">
        <v>891</v>
      </c>
      <c r="G10" s="238">
        <v>46525.0</v>
      </c>
      <c r="H10" s="47"/>
      <c r="J10" s="31"/>
      <c r="K10" s="31"/>
      <c r="L10" s="31"/>
      <c r="M10" s="31"/>
      <c r="N10" s="31"/>
      <c r="O10" s="31"/>
      <c r="P10" s="31"/>
      <c r="Q10" s="31"/>
      <c r="R10" s="31"/>
      <c r="S10" s="31"/>
      <c r="T10" s="31"/>
      <c r="U10" s="31"/>
      <c r="V10" s="31"/>
      <c r="W10" s="31"/>
      <c r="X10" s="31"/>
      <c r="Y10" s="31"/>
      <c r="Z10" s="31"/>
      <c r="AA10" s="31"/>
    </row>
    <row r="11">
      <c r="A11" s="236">
        <f t="shared" si="1"/>
        <v>7</v>
      </c>
      <c r="B11" s="233" t="s">
        <v>879</v>
      </c>
      <c r="C11" s="233" t="s">
        <v>901</v>
      </c>
      <c r="D11" s="233" t="str">
        <f t="shared" si="2"/>
        <v>PTE CLARENCE ONG JUN YI</v>
      </c>
      <c r="E11" s="233" t="s">
        <v>902</v>
      </c>
      <c r="F11" s="233" t="s">
        <v>891</v>
      </c>
      <c r="G11" s="241">
        <v>46318.0</v>
      </c>
      <c r="H11" s="47"/>
      <c r="J11" s="31"/>
      <c r="K11" s="31"/>
      <c r="L11" s="31"/>
      <c r="M11" s="31"/>
      <c r="N11" s="31"/>
      <c r="O11" s="31"/>
      <c r="P11" s="31"/>
      <c r="Q11" s="31"/>
      <c r="R11" s="31"/>
      <c r="S11" s="31"/>
      <c r="T11" s="31"/>
      <c r="U11" s="31"/>
      <c r="V11" s="31"/>
      <c r="W11" s="31"/>
      <c r="X11" s="31"/>
      <c r="Y11" s="31"/>
      <c r="Z11" s="31"/>
      <c r="AA11" s="31"/>
    </row>
    <row r="12" hidden="1">
      <c r="A12" s="236" t="str">
        <f t="shared" si="1"/>
        <v/>
      </c>
      <c r="B12" s="233" t="s">
        <v>879</v>
      </c>
      <c r="C12" s="233"/>
      <c r="D12" s="233" t="str">
        <f t="shared" si="2"/>
        <v>PTE </v>
      </c>
      <c r="E12" s="233" t="s">
        <v>903</v>
      </c>
      <c r="F12" s="237" t="s">
        <v>891</v>
      </c>
      <c r="G12" s="31"/>
      <c r="H12" s="31"/>
      <c r="J12" s="31"/>
      <c r="K12" s="31"/>
      <c r="L12" s="31"/>
      <c r="M12" s="31"/>
      <c r="N12" s="31"/>
      <c r="O12" s="31"/>
      <c r="P12" s="31"/>
      <c r="Q12" s="31"/>
      <c r="R12" s="31"/>
      <c r="S12" s="31"/>
      <c r="T12" s="31"/>
      <c r="U12" s="31"/>
      <c r="V12" s="31"/>
      <c r="W12" s="31"/>
      <c r="X12" s="31"/>
      <c r="Y12" s="31"/>
      <c r="Z12" s="31"/>
      <c r="AA12" s="31"/>
    </row>
    <row r="13">
      <c r="A13" s="236">
        <f t="shared" si="1"/>
        <v>8</v>
      </c>
      <c r="B13" s="233" t="s">
        <v>872</v>
      </c>
      <c r="C13" s="233" t="s">
        <v>904</v>
      </c>
      <c r="D13" s="233" t="str">
        <f t="shared" si="2"/>
        <v>LCP IMRAN </v>
      </c>
      <c r="E13" s="233" t="s">
        <v>887</v>
      </c>
      <c r="F13" s="233" t="s">
        <v>126</v>
      </c>
      <c r="G13" s="47"/>
      <c r="H13" s="47" t="s">
        <v>905</v>
      </c>
      <c r="J13" s="31"/>
      <c r="K13" s="31"/>
      <c r="L13" s="31"/>
      <c r="M13" s="31"/>
      <c r="N13" s="31"/>
      <c r="O13" s="31"/>
      <c r="P13" s="31"/>
      <c r="Q13" s="31"/>
      <c r="R13" s="31"/>
      <c r="S13" s="31"/>
      <c r="T13" s="31"/>
      <c r="U13" s="31"/>
      <c r="V13" s="31"/>
      <c r="W13" s="31"/>
      <c r="X13" s="31"/>
      <c r="Y13" s="31"/>
      <c r="Z13" s="31"/>
      <c r="AA13" s="31"/>
    </row>
    <row r="14" hidden="1">
      <c r="A14" s="236" t="str">
        <f t="shared" si="1"/>
        <v/>
      </c>
      <c r="B14" s="233" t="s">
        <v>906</v>
      </c>
      <c r="C14" s="233"/>
      <c r="D14" s="233" t="str">
        <f t="shared" si="2"/>
        <v>REC </v>
      </c>
      <c r="E14" s="233" t="s">
        <v>907</v>
      </c>
      <c r="F14" s="233" t="s">
        <v>891</v>
      </c>
      <c r="G14" s="47"/>
      <c r="H14" s="31"/>
      <c r="J14" s="31"/>
      <c r="K14" s="31"/>
      <c r="L14" s="31"/>
      <c r="M14" s="31"/>
      <c r="N14" s="31"/>
      <c r="O14" s="31"/>
      <c r="P14" s="31"/>
      <c r="Q14" s="31"/>
      <c r="R14" s="31"/>
      <c r="S14" s="31"/>
      <c r="T14" s="31"/>
      <c r="U14" s="31"/>
      <c r="V14" s="31"/>
      <c r="W14" s="31"/>
      <c r="X14" s="31"/>
      <c r="Y14" s="31"/>
      <c r="Z14" s="31"/>
      <c r="AA14" s="31"/>
    </row>
    <row r="15" hidden="1">
      <c r="A15" s="236" t="str">
        <f t="shared" si="1"/>
        <v/>
      </c>
      <c r="B15" s="233" t="s">
        <v>879</v>
      </c>
      <c r="C15" s="233"/>
      <c r="D15" s="233" t="str">
        <f t="shared" si="2"/>
        <v>PTE </v>
      </c>
      <c r="E15" s="233" t="s">
        <v>908</v>
      </c>
      <c r="F15" s="233" t="s">
        <v>891</v>
      </c>
      <c r="G15" s="31"/>
      <c r="H15" s="31"/>
      <c r="J15" s="31"/>
      <c r="K15" s="31"/>
      <c r="L15" s="31"/>
      <c r="M15" s="31"/>
      <c r="N15" s="31"/>
      <c r="O15" s="31"/>
      <c r="P15" s="31"/>
      <c r="Q15" s="31"/>
      <c r="R15" s="31"/>
      <c r="S15" s="31"/>
      <c r="T15" s="31"/>
      <c r="U15" s="31"/>
      <c r="V15" s="31"/>
      <c r="W15" s="31"/>
      <c r="X15" s="31"/>
      <c r="Y15" s="31"/>
      <c r="Z15" s="31"/>
      <c r="AA15" s="31"/>
    </row>
    <row r="16" hidden="1">
      <c r="A16" s="236">
        <f t="shared" si="1"/>
        <v>8</v>
      </c>
      <c r="B16" s="233" t="s">
        <v>879</v>
      </c>
      <c r="C16" s="233" t="s">
        <v>909</v>
      </c>
      <c r="D16" s="233" t="str">
        <f t="shared" si="2"/>
        <v>PTE PARAM MEHROTRA </v>
      </c>
      <c r="E16" s="233" t="s">
        <v>910</v>
      </c>
      <c r="F16" s="237" t="s">
        <v>911</v>
      </c>
      <c r="G16" s="238">
        <v>46067.0</v>
      </c>
      <c r="H16" s="47"/>
      <c r="J16" s="31"/>
      <c r="K16" s="31"/>
      <c r="L16" s="31"/>
      <c r="M16" s="31"/>
      <c r="N16" s="31"/>
      <c r="O16" s="31"/>
      <c r="P16" s="31"/>
      <c r="Q16" s="31"/>
      <c r="R16" s="31"/>
      <c r="S16" s="31"/>
      <c r="T16" s="31"/>
      <c r="U16" s="31"/>
      <c r="V16" s="31"/>
      <c r="W16" s="31"/>
      <c r="X16" s="31"/>
      <c r="Y16" s="31"/>
      <c r="Z16" s="31"/>
      <c r="AA16" s="31"/>
    </row>
    <row r="17">
      <c r="A17" s="236">
        <f t="shared" si="1"/>
        <v>9</v>
      </c>
      <c r="B17" s="233" t="s">
        <v>879</v>
      </c>
      <c r="C17" s="233" t="s">
        <v>912</v>
      </c>
      <c r="D17" s="233" t="str">
        <f t="shared" si="2"/>
        <v>PTE FATHUL HAKIM BIN MUHAMMAD FAUZI </v>
      </c>
      <c r="E17" s="233">
        <v>9.1190114E7</v>
      </c>
      <c r="F17" s="233" t="s">
        <v>891</v>
      </c>
      <c r="G17" s="238">
        <v>46574.0</v>
      </c>
      <c r="H17" s="31"/>
      <c r="J17" s="31"/>
      <c r="K17" s="31"/>
      <c r="L17" s="31"/>
      <c r="M17" s="31"/>
      <c r="N17" s="31"/>
      <c r="O17" s="31"/>
      <c r="P17" s="31"/>
      <c r="Q17" s="31"/>
      <c r="R17" s="31"/>
      <c r="S17" s="31"/>
      <c r="T17" s="31"/>
      <c r="U17" s="31"/>
      <c r="V17" s="31"/>
      <c r="W17" s="31"/>
      <c r="X17" s="31"/>
      <c r="Y17" s="31"/>
      <c r="Z17" s="31"/>
      <c r="AA17" s="31"/>
    </row>
    <row r="18">
      <c r="A18" s="236">
        <f t="shared" si="1"/>
        <v>10</v>
      </c>
      <c r="B18" s="233" t="s">
        <v>879</v>
      </c>
      <c r="C18" s="233" t="s">
        <v>913</v>
      </c>
      <c r="D18" s="233" t="str">
        <f t="shared" si="2"/>
        <v>PTE MUHAMMAD NUR HAKIM BIN SHAHARIZIN </v>
      </c>
      <c r="E18" s="233">
        <v>9.1138112E7</v>
      </c>
      <c r="F18" s="233" t="s">
        <v>891</v>
      </c>
      <c r="G18" s="238">
        <v>46519.0</v>
      </c>
      <c r="H18" s="31"/>
      <c r="J18" s="31"/>
      <c r="K18" s="31"/>
      <c r="L18" s="31"/>
      <c r="M18" s="31"/>
      <c r="N18" s="31"/>
      <c r="O18" s="31"/>
      <c r="P18" s="31"/>
      <c r="Q18" s="31"/>
      <c r="R18" s="31"/>
      <c r="S18" s="31"/>
      <c r="T18" s="31"/>
      <c r="U18" s="31"/>
      <c r="V18" s="31"/>
      <c r="W18" s="31"/>
      <c r="X18" s="31"/>
      <c r="Y18" s="31"/>
      <c r="Z18" s="31"/>
      <c r="AA18" s="31"/>
    </row>
    <row r="19">
      <c r="A19" s="236">
        <f t="shared" si="1"/>
        <v>11</v>
      </c>
      <c r="B19" s="233" t="s">
        <v>876</v>
      </c>
      <c r="C19" s="233" t="s">
        <v>914</v>
      </c>
      <c r="D19" s="233" t="str">
        <f t="shared" si="2"/>
        <v>CPL ISAAC LOH KA LOK</v>
      </c>
      <c r="E19" s="233" t="s">
        <v>915</v>
      </c>
      <c r="F19" s="233" t="s">
        <v>911</v>
      </c>
      <c r="G19" s="238">
        <v>46158.0</v>
      </c>
      <c r="H19" s="47"/>
      <c r="J19" s="31"/>
      <c r="K19" s="31"/>
      <c r="L19" s="31"/>
      <c r="M19" s="31"/>
      <c r="N19" s="31"/>
      <c r="O19" s="31"/>
      <c r="P19" s="31"/>
      <c r="Q19" s="31"/>
      <c r="R19" s="31"/>
      <c r="S19" s="31"/>
      <c r="T19" s="31"/>
      <c r="U19" s="31"/>
      <c r="V19" s="31"/>
      <c r="W19" s="31"/>
      <c r="X19" s="31"/>
      <c r="Y19" s="31"/>
      <c r="Z19" s="31"/>
      <c r="AA19" s="31"/>
    </row>
    <row r="20">
      <c r="A20" s="236">
        <f t="shared" si="1"/>
        <v>12</v>
      </c>
      <c r="B20" s="233" t="s">
        <v>906</v>
      </c>
      <c r="C20" s="233" t="s">
        <v>916</v>
      </c>
      <c r="D20" s="233" t="str">
        <f t="shared" si="2"/>
        <v>REC MUHAMAD RIFQY AQIL BIN MUHAMAD SHAH </v>
      </c>
      <c r="E20" s="233">
        <v>9.0257052E7</v>
      </c>
      <c r="F20" s="233" t="s">
        <v>126</v>
      </c>
      <c r="G20" s="238">
        <v>46523.0</v>
      </c>
      <c r="H20" s="47"/>
      <c r="J20" s="31"/>
      <c r="K20" s="31"/>
      <c r="L20" s="31"/>
      <c r="M20" s="31"/>
      <c r="N20" s="31"/>
      <c r="O20" s="31"/>
      <c r="P20" s="31"/>
      <c r="Q20" s="31"/>
      <c r="R20" s="31"/>
      <c r="S20" s="31"/>
      <c r="T20" s="31"/>
      <c r="U20" s="31"/>
      <c r="V20" s="31"/>
      <c r="W20" s="31"/>
      <c r="X20" s="31"/>
      <c r="Y20" s="31"/>
      <c r="Z20" s="31"/>
      <c r="AA20" s="31"/>
    </row>
    <row r="21">
      <c r="A21" s="236">
        <f t="shared" si="1"/>
        <v>13</v>
      </c>
      <c r="B21" s="233" t="s">
        <v>876</v>
      </c>
      <c r="C21" s="233" t="s">
        <v>917</v>
      </c>
      <c r="D21" s="233" t="str">
        <f t="shared" si="2"/>
        <v>CPL JERRYL TAN MING JIE </v>
      </c>
      <c r="E21" s="233" t="s">
        <v>918</v>
      </c>
      <c r="F21" s="233" t="s">
        <v>741</v>
      </c>
      <c r="G21" s="242">
        <v>46154.0</v>
      </c>
      <c r="H21" s="243">
        <v>46154.0</v>
      </c>
      <c r="I21" s="17" t="s">
        <v>893</v>
      </c>
      <c r="J21" s="31"/>
      <c r="K21" s="31"/>
      <c r="L21" s="31"/>
      <c r="M21" s="31"/>
      <c r="N21" s="31"/>
      <c r="O21" s="31"/>
      <c r="P21" s="31"/>
      <c r="Q21" s="31"/>
      <c r="R21" s="31"/>
      <c r="S21" s="31"/>
      <c r="T21" s="31"/>
      <c r="U21" s="31"/>
      <c r="V21" s="31"/>
      <c r="W21" s="31"/>
      <c r="X21" s="31"/>
      <c r="Y21" s="31"/>
      <c r="Z21" s="31"/>
      <c r="AA21" s="31"/>
    </row>
    <row r="22">
      <c r="A22" s="236">
        <f t="shared" si="1"/>
        <v>14</v>
      </c>
      <c r="B22" s="233" t="s">
        <v>876</v>
      </c>
      <c r="C22" s="233" t="s">
        <v>919</v>
      </c>
      <c r="D22" s="233" t="str">
        <f t="shared" si="2"/>
        <v>CPL SURIAPRAKASH THRIUVALAKU</v>
      </c>
      <c r="E22" s="233" t="s">
        <v>884</v>
      </c>
      <c r="F22" s="233" t="s">
        <v>741</v>
      </c>
      <c r="G22" s="238">
        <v>46155.0</v>
      </c>
      <c r="H22" s="243">
        <v>46155.0</v>
      </c>
      <c r="I22" s="17" t="s">
        <v>893</v>
      </c>
      <c r="J22" s="31"/>
      <c r="K22" s="31"/>
      <c r="L22" s="31"/>
      <c r="M22" s="31"/>
      <c r="N22" s="31"/>
      <c r="O22" s="31"/>
      <c r="P22" s="31"/>
      <c r="Q22" s="31"/>
      <c r="R22" s="31"/>
      <c r="S22" s="31"/>
      <c r="T22" s="31"/>
      <c r="U22" s="31"/>
      <c r="V22" s="31"/>
      <c r="W22" s="31"/>
      <c r="X22" s="31"/>
      <c r="Y22" s="31"/>
      <c r="Z22" s="31"/>
      <c r="AA22" s="31"/>
    </row>
    <row r="23">
      <c r="A23" s="236">
        <f t="shared" si="1"/>
        <v>15</v>
      </c>
      <c r="B23" s="233" t="s">
        <v>876</v>
      </c>
      <c r="C23" s="233" t="s">
        <v>920</v>
      </c>
      <c r="D23" s="233" t="str">
        <f t="shared" si="2"/>
        <v>CPL NICO CHUA WEE FONG </v>
      </c>
      <c r="E23" s="233" t="s">
        <v>921</v>
      </c>
      <c r="F23" s="233" t="s">
        <v>741</v>
      </c>
      <c r="G23" s="238">
        <v>46144.0</v>
      </c>
      <c r="H23" s="239">
        <v>46206.0</v>
      </c>
      <c r="J23" s="31"/>
      <c r="K23" s="31"/>
      <c r="L23" s="31"/>
      <c r="M23" s="31"/>
      <c r="N23" s="31"/>
      <c r="O23" s="31"/>
      <c r="P23" s="31"/>
      <c r="Q23" s="31"/>
      <c r="R23" s="31"/>
      <c r="S23" s="31"/>
      <c r="T23" s="31"/>
      <c r="U23" s="31"/>
      <c r="V23" s="31"/>
      <c r="W23" s="31"/>
      <c r="X23" s="31"/>
      <c r="Y23" s="31"/>
      <c r="Z23" s="31"/>
      <c r="AA23" s="31"/>
    </row>
    <row r="24">
      <c r="A24" s="236">
        <f t="shared" si="1"/>
        <v>16</v>
      </c>
      <c r="B24" s="233" t="s">
        <v>872</v>
      </c>
      <c r="C24" s="233" t="s">
        <v>922</v>
      </c>
      <c r="D24" s="233" t="str">
        <f t="shared" si="2"/>
        <v>LCP DYLAN TAN </v>
      </c>
      <c r="E24" s="233" t="s">
        <v>923</v>
      </c>
      <c r="F24" s="233" t="s">
        <v>741</v>
      </c>
      <c r="G24" s="238">
        <v>46332.0</v>
      </c>
      <c r="H24" s="31"/>
      <c r="J24" s="31"/>
      <c r="K24" s="31"/>
      <c r="L24" s="31"/>
      <c r="M24" s="31"/>
      <c r="N24" s="31"/>
      <c r="O24" s="31"/>
      <c r="P24" s="31"/>
      <c r="Q24" s="31"/>
      <c r="R24" s="31"/>
      <c r="S24" s="31"/>
      <c r="T24" s="31"/>
      <c r="U24" s="31"/>
      <c r="V24" s="31"/>
      <c r="W24" s="31"/>
      <c r="X24" s="31"/>
      <c r="Y24" s="31"/>
      <c r="Z24" s="31"/>
      <c r="AA24" s="31"/>
    </row>
    <row r="25">
      <c r="A25" s="236">
        <f t="shared" si="1"/>
        <v>17</v>
      </c>
      <c r="B25" s="233" t="s">
        <v>872</v>
      </c>
      <c r="C25" s="233" t="s">
        <v>924</v>
      </c>
      <c r="D25" s="233" t="str">
        <f t="shared" si="2"/>
        <v>LCP EBRAHIM HAKEEM BIN AMEEHAR </v>
      </c>
      <c r="E25" s="233" t="s">
        <v>925</v>
      </c>
      <c r="F25" s="233" t="s">
        <v>911</v>
      </c>
      <c r="G25" s="238">
        <v>46428.0</v>
      </c>
      <c r="H25" s="47"/>
      <c r="J25" s="31"/>
      <c r="K25" s="31"/>
      <c r="L25" s="31"/>
      <c r="M25" s="31"/>
      <c r="N25" s="31"/>
      <c r="O25" s="31"/>
      <c r="P25" s="31"/>
      <c r="Q25" s="31"/>
      <c r="R25" s="31"/>
      <c r="S25" s="31"/>
      <c r="T25" s="31"/>
      <c r="U25" s="31"/>
      <c r="V25" s="31"/>
      <c r="W25" s="31"/>
      <c r="X25" s="31"/>
      <c r="Y25" s="31"/>
      <c r="Z25" s="31"/>
      <c r="AA25" s="31"/>
    </row>
    <row r="26">
      <c r="A26" s="236">
        <f t="shared" si="1"/>
        <v>18</v>
      </c>
      <c r="B26" s="233" t="s">
        <v>879</v>
      </c>
      <c r="C26" s="233" t="s">
        <v>926</v>
      </c>
      <c r="D26" s="233" t="str">
        <f t="shared" si="2"/>
        <v>PTE GUO JUNQI LEO</v>
      </c>
      <c r="E26" s="233" t="s">
        <v>927</v>
      </c>
      <c r="F26" s="233" t="s">
        <v>124</v>
      </c>
      <c r="G26" s="238">
        <v>46617.0</v>
      </c>
      <c r="H26" s="31"/>
      <c r="J26" s="31"/>
      <c r="K26" s="31"/>
      <c r="L26" s="31"/>
      <c r="M26" s="31"/>
      <c r="N26" s="31"/>
      <c r="O26" s="31"/>
      <c r="P26" s="31"/>
      <c r="Q26" s="31"/>
      <c r="R26" s="31"/>
      <c r="S26" s="31"/>
      <c r="T26" s="31"/>
      <c r="U26" s="31"/>
      <c r="V26" s="31"/>
      <c r="W26" s="31"/>
      <c r="X26" s="31"/>
      <c r="Y26" s="31"/>
      <c r="Z26" s="31"/>
      <c r="AA26" s="31"/>
    </row>
    <row r="27">
      <c r="A27" s="236">
        <f t="shared" si="1"/>
        <v>19</v>
      </c>
      <c r="B27" s="233" t="s">
        <v>879</v>
      </c>
      <c r="C27" s="233" t="s">
        <v>928</v>
      </c>
      <c r="D27" s="233" t="str">
        <f t="shared" si="2"/>
        <v>PTE SHYEIKH SALEH HUSSAIN BIN MOHAMMED SULAIMAN</v>
      </c>
      <c r="E27" s="233" t="s">
        <v>929</v>
      </c>
      <c r="F27" s="233" t="s">
        <v>891</v>
      </c>
      <c r="G27" s="238">
        <v>46617.0</v>
      </c>
      <c r="H27" s="31"/>
      <c r="J27" s="31"/>
      <c r="K27" s="31"/>
      <c r="L27" s="31"/>
      <c r="M27" s="31"/>
      <c r="N27" s="31"/>
      <c r="O27" s="31"/>
      <c r="P27" s="31"/>
      <c r="Q27" s="31"/>
      <c r="R27" s="31"/>
      <c r="S27" s="31"/>
      <c r="T27" s="31"/>
      <c r="U27" s="31"/>
      <c r="V27" s="31"/>
      <c r="W27" s="31"/>
      <c r="X27" s="31"/>
      <c r="Y27" s="31"/>
      <c r="Z27" s="31"/>
      <c r="AA27" s="31"/>
    </row>
    <row r="28">
      <c r="A28" s="236">
        <f t="shared" si="1"/>
        <v>20</v>
      </c>
      <c r="B28" s="233" t="s">
        <v>879</v>
      </c>
      <c r="C28" s="233" t="s">
        <v>930</v>
      </c>
      <c r="D28" s="233" t="s">
        <v>673</v>
      </c>
      <c r="E28" s="233" t="s">
        <v>931</v>
      </c>
      <c r="F28" s="233" t="s">
        <v>126</v>
      </c>
      <c r="G28" s="238">
        <v>46302.0</v>
      </c>
      <c r="H28" s="31"/>
      <c r="I28" s="31"/>
      <c r="J28" s="31"/>
      <c r="K28" s="47"/>
      <c r="L28" s="31"/>
      <c r="M28" s="31"/>
      <c r="N28" s="31"/>
      <c r="O28" s="31"/>
      <c r="P28" s="31"/>
      <c r="Q28" s="31"/>
      <c r="R28" s="31"/>
      <c r="S28" s="31"/>
      <c r="T28" s="31"/>
      <c r="U28" s="31"/>
      <c r="V28" s="31"/>
      <c r="W28" s="31"/>
      <c r="X28" s="31"/>
      <c r="Y28" s="31"/>
      <c r="Z28" s="31"/>
      <c r="AA28" s="31"/>
    </row>
    <row r="29">
      <c r="A29" s="236">
        <f t="shared" si="1"/>
        <v>21</v>
      </c>
      <c r="B29" s="233" t="s">
        <v>906</v>
      </c>
      <c r="C29" s="233" t="s">
        <v>932</v>
      </c>
      <c r="D29" s="233" t="str">
        <f t="shared" ref="D29:D32" si="3">CONCATENATE($B29," ", $C29)</f>
        <v>REC RAPHAEL</v>
      </c>
      <c r="E29" s="233" t="s">
        <v>933</v>
      </c>
      <c r="F29" s="233" t="s">
        <v>123</v>
      </c>
      <c r="G29" s="238">
        <v>46053.0</v>
      </c>
      <c r="H29" s="47"/>
      <c r="I29" s="31"/>
      <c r="J29" s="31"/>
      <c r="K29" s="47"/>
      <c r="L29" s="31"/>
      <c r="M29" s="31"/>
      <c r="N29" s="31"/>
      <c r="O29" s="31"/>
      <c r="P29" s="31"/>
      <c r="Q29" s="31"/>
      <c r="R29" s="31"/>
      <c r="S29" s="31"/>
      <c r="T29" s="31"/>
      <c r="U29" s="31"/>
      <c r="V29" s="31"/>
      <c r="W29" s="31"/>
      <c r="X29" s="31"/>
      <c r="Y29" s="31"/>
      <c r="Z29" s="31"/>
      <c r="AA29" s="31"/>
    </row>
    <row r="30">
      <c r="A30" s="236">
        <f t="shared" si="1"/>
        <v>22</v>
      </c>
      <c r="B30" s="233" t="s">
        <v>879</v>
      </c>
      <c r="C30" s="233" t="s">
        <v>934</v>
      </c>
      <c r="D30" s="233" t="str">
        <f t="shared" si="3"/>
        <v>PTE MOHAMED ROSHAN AKTAR BIN AZEES ALI </v>
      </c>
      <c r="E30" s="233">
        <v>8.89092E7</v>
      </c>
      <c r="F30" s="233" t="s">
        <v>124</v>
      </c>
      <c r="G30" s="241">
        <v>46318.0</v>
      </c>
      <c r="H30" s="31"/>
      <c r="I30" s="31"/>
      <c r="J30" s="31"/>
      <c r="K30" s="47"/>
      <c r="L30" s="31"/>
      <c r="M30" s="31"/>
      <c r="N30" s="31"/>
      <c r="O30" s="31"/>
      <c r="P30" s="31"/>
      <c r="Q30" s="31"/>
      <c r="R30" s="31"/>
      <c r="S30" s="31"/>
      <c r="T30" s="31"/>
      <c r="U30" s="31"/>
      <c r="V30" s="31"/>
      <c r="W30" s="31"/>
      <c r="X30" s="31"/>
      <c r="Y30" s="31"/>
      <c r="Z30" s="31"/>
      <c r="AA30" s="31"/>
    </row>
    <row r="31">
      <c r="A31" s="236">
        <f t="shared" si="1"/>
        <v>23</v>
      </c>
      <c r="B31" s="233" t="s">
        <v>879</v>
      </c>
      <c r="C31" s="233" t="s">
        <v>935</v>
      </c>
      <c r="D31" s="233" t="str">
        <f t="shared" si="3"/>
        <v>PTE AKMAL AHMAD PUTRA BIN SAMAD</v>
      </c>
      <c r="E31" s="233" t="s">
        <v>936</v>
      </c>
      <c r="F31" s="233" t="s">
        <v>891</v>
      </c>
      <c r="G31" s="31"/>
      <c r="H31" s="31"/>
      <c r="I31" s="31"/>
      <c r="J31" s="31"/>
      <c r="K31" s="31"/>
      <c r="L31" s="31"/>
      <c r="M31" s="31"/>
      <c r="N31" s="31"/>
      <c r="O31" s="31"/>
      <c r="P31" s="31"/>
      <c r="Q31" s="31"/>
      <c r="R31" s="31"/>
      <c r="S31" s="31"/>
      <c r="T31" s="31"/>
      <c r="U31" s="31"/>
      <c r="V31" s="31"/>
      <c r="W31" s="31"/>
      <c r="X31" s="31"/>
      <c r="Y31" s="31"/>
      <c r="Z31" s="31"/>
      <c r="AA31" s="31"/>
    </row>
    <row r="32">
      <c r="A32" s="236">
        <f t="shared" si="1"/>
        <v>24</v>
      </c>
      <c r="B32" s="233" t="s">
        <v>879</v>
      </c>
      <c r="C32" s="233" t="s">
        <v>937</v>
      </c>
      <c r="D32" s="233" t="str">
        <f t="shared" si="3"/>
        <v>PTE CHONG SIANG NATHAN</v>
      </c>
      <c r="E32" s="233">
        <v>8.9271158E7</v>
      </c>
      <c r="F32" s="233" t="s">
        <v>126</v>
      </c>
      <c r="G32" s="241">
        <v>46344.0</v>
      </c>
      <c r="H32" s="31"/>
      <c r="I32" s="31"/>
      <c r="J32" s="31"/>
      <c r="K32" s="31"/>
      <c r="L32" s="31"/>
      <c r="M32" s="31"/>
      <c r="N32" s="31"/>
      <c r="O32" s="31"/>
      <c r="P32" s="31"/>
      <c r="Q32" s="31"/>
      <c r="R32" s="31"/>
      <c r="S32" s="31"/>
      <c r="T32" s="31"/>
      <c r="U32" s="31"/>
      <c r="V32" s="31"/>
      <c r="W32" s="31"/>
      <c r="X32" s="31"/>
      <c r="Y32" s="31"/>
      <c r="Z32" s="31"/>
      <c r="AA32" s="31"/>
    </row>
    <row r="33">
      <c r="A33" s="236">
        <f t="shared" si="1"/>
        <v>25</v>
      </c>
      <c r="B33" s="233" t="s">
        <v>872</v>
      </c>
      <c r="C33" s="233" t="s">
        <v>938</v>
      </c>
      <c r="D33" s="233" t="str">
        <f t="shared" ref="D33:D47" si="4">CONCATENATE(B33," ", C33)</f>
        <v>LCP DYLAN TAN</v>
      </c>
      <c r="E33" s="233" t="s">
        <v>939</v>
      </c>
      <c r="F33" s="233" t="s">
        <v>741</v>
      </c>
      <c r="G33" s="238">
        <v>46332.0</v>
      </c>
      <c r="H33" s="239">
        <v>46248.0</v>
      </c>
      <c r="I33" s="31"/>
      <c r="J33" s="31"/>
      <c r="K33" s="31"/>
      <c r="L33" s="31"/>
      <c r="M33" s="31"/>
      <c r="N33" s="31"/>
      <c r="O33" s="31"/>
      <c r="P33" s="31"/>
      <c r="Q33" s="31"/>
      <c r="R33" s="31"/>
      <c r="S33" s="31"/>
      <c r="T33" s="31"/>
      <c r="U33" s="31"/>
      <c r="V33" s="31"/>
      <c r="W33" s="31"/>
      <c r="X33" s="31"/>
      <c r="Y33" s="31"/>
      <c r="Z33" s="31"/>
      <c r="AA33" s="31"/>
    </row>
    <row r="34">
      <c r="A34" s="236">
        <f t="shared" si="1"/>
        <v>26</v>
      </c>
      <c r="B34" s="233" t="s">
        <v>879</v>
      </c>
      <c r="C34" s="233" t="s">
        <v>940</v>
      </c>
      <c r="D34" s="233" t="str">
        <f t="shared" si="4"/>
        <v>PTE SUSHILTHERAN NAIR S/O SIRITHERAN </v>
      </c>
      <c r="E34" s="233" t="s">
        <v>941</v>
      </c>
      <c r="F34" s="233" t="s">
        <v>126</v>
      </c>
      <c r="G34" s="241">
        <v>46347.0</v>
      </c>
      <c r="H34" s="31"/>
      <c r="I34" s="31"/>
      <c r="J34" s="31"/>
      <c r="K34" s="31"/>
      <c r="L34" s="31"/>
      <c r="M34" s="31"/>
      <c r="N34" s="31"/>
      <c r="O34" s="31"/>
      <c r="P34" s="31"/>
      <c r="Q34" s="31"/>
      <c r="R34" s="31"/>
      <c r="S34" s="31"/>
      <c r="T34" s="31"/>
      <c r="U34" s="31"/>
      <c r="V34" s="31"/>
      <c r="W34" s="31"/>
      <c r="X34" s="31"/>
      <c r="Y34" s="31"/>
      <c r="Z34" s="31"/>
      <c r="AA34" s="31"/>
    </row>
    <row r="35">
      <c r="A35" s="236">
        <f t="shared" si="1"/>
        <v>27</v>
      </c>
      <c r="B35" s="233" t="s">
        <v>879</v>
      </c>
      <c r="C35" s="233" t="s">
        <v>942</v>
      </c>
      <c r="D35" s="233" t="str">
        <f t="shared" si="4"/>
        <v>PTE MUHAMMAD NORSYAFIQ BIN SELAMAT</v>
      </c>
      <c r="E35" s="233" t="s">
        <v>943</v>
      </c>
      <c r="F35" s="233" t="s">
        <v>891</v>
      </c>
      <c r="G35" s="31"/>
      <c r="H35" s="31"/>
      <c r="I35" s="31"/>
      <c r="J35" s="31"/>
      <c r="K35" s="31"/>
      <c r="L35" s="31"/>
      <c r="M35" s="31"/>
      <c r="N35" s="31"/>
      <c r="O35" s="31"/>
      <c r="P35" s="31"/>
      <c r="Q35" s="31"/>
      <c r="R35" s="31"/>
      <c r="S35" s="31"/>
      <c r="T35" s="31"/>
      <c r="U35" s="31"/>
      <c r="V35" s="31"/>
      <c r="W35" s="31"/>
      <c r="X35" s="31"/>
      <c r="Y35" s="31"/>
      <c r="Z35" s="31"/>
      <c r="AA35" s="31"/>
    </row>
    <row r="36">
      <c r="A36" s="236">
        <f t="shared" si="1"/>
        <v>28</v>
      </c>
      <c r="B36" s="233" t="s">
        <v>944</v>
      </c>
      <c r="C36" s="233" t="s">
        <v>945</v>
      </c>
      <c r="D36" s="233" t="str">
        <f t="shared" si="4"/>
        <v>3SG ANISH VINAAYAK SIVASANKAR</v>
      </c>
      <c r="E36" s="233" t="s">
        <v>946</v>
      </c>
      <c r="F36" s="233" t="s">
        <v>124</v>
      </c>
      <c r="G36" s="238">
        <v>46393.0</v>
      </c>
      <c r="H36" s="31"/>
      <c r="I36" s="31"/>
      <c r="J36" s="31"/>
      <c r="K36" s="31"/>
      <c r="L36" s="31"/>
      <c r="M36" s="31"/>
      <c r="N36" s="31"/>
      <c r="O36" s="31"/>
      <c r="P36" s="31"/>
      <c r="Q36" s="31"/>
      <c r="R36" s="31"/>
      <c r="S36" s="31"/>
      <c r="T36" s="31"/>
      <c r="U36" s="31"/>
      <c r="V36" s="31"/>
      <c r="W36" s="31"/>
      <c r="X36" s="31"/>
      <c r="Y36" s="31"/>
      <c r="Z36" s="31"/>
      <c r="AA36" s="31"/>
    </row>
    <row r="37">
      <c r="A37" s="236">
        <f t="shared" si="1"/>
        <v>29</v>
      </c>
      <c r="B37" s="233" t="s">
        <v>876</v>
      </c>
      <c r="C37" s="233" t="s">
        <v>947</v>
      </c>
      <c r="D37" s="233" t="str">
        <f t="shared" si="4"/>
        <v>CPL AUSTIN MAXIMILLIAN KOLBE LIM KIM</v>
      </c>
      <c r="E37" s="233" t="s">
        <v>948</v>
      </c>
      <c r="F37" s="233" t="s">
        <v>741</v>
      </c>
      <c r="G37" s="238"/>
      <c r="H37" s="47"/>
      <c r="I37" s="31"/>
      <c r="J37" s="31"/>
      <c r="K37" s="31"/>
      <c r="L37" s="31"/>
      <c r="M37" s="31"/>
      <c r="N37" s="31"/>
      <c r="O37" s="31"/>
      <c r="P37" s="31"/>
      <c r="Q37" s="31"/>
      <c r="R37" s="31"/>
      <c r="S37" s="31"/>
      <c r="T37" s="31"/>
      <c r="U37" s="31"/>
      <c r="V37" s="31"/>
      <c r="W37" s="31"/>
      <c r="X37" s="31"/>
      <c r="Y37" s="31"/>
      <c r="Z37" s="31"/>
      <c r="AA37" s="31"/>
    </row>
    <row r="38">
      <c r="A38" s="236">
        <f t="shared" si="1"/>
        <v>30</v>
      </c>
      <c r="B38" s="233" t="s">
        <v>879</v>
      </c>
      <c r="C38" s="233" t="s">
        <v>949</v>
      </c>
      <c r="D38" s="233" t="str">
        <f t="shared" si="4"/>
        <v>PTE BRYAN MARC MEHAR</v>
      </c>
      <c r="E38" s="233" t="s">
        <v>950</v>
      </c>
      <c r="F38" s="233" t="s">
        <v>124</v>
      </c>
      <c r="G38" s="238">
        <v>46250.0</v>
      </c>
      <c r="H38" s="239">
        <v>46250.0</v>
      </c>
      <c r="I38" s="31"/>
      <c r="J38" s="31"/>
      <c r="K38" s="31"/>
      <c r="L38" s="31"/>
      <c r="M38" s="31"/>
      <c r="N38" s="31"/>
      <c r="O38" s="31"/>
      <c r="P38" s="31"/>
      <c r="Q38" s="31"/>
      <c r="R38" s="31"/>
      <c r="S38" s="31"/>
      <c r="T38" s="31"/>
      <c r="U38" s="31"/>
      <c r="V38" s="31"/>
      <c r="W38" s="31"/>
      <c r="X38" s="31"/>
      <c r="Y38" s="31"/>
      <c r="Z38" s="31"/>
      <c r="AA38" s="31"/>
    </row>
    <row r="39">
      <c r="A39" s="236">
        <f t="shared" si="1"/>
        <v>31</v>
      </c>
      <c r="B39" s="233" t="s">
        <v>879</v>
      </c>
      <c r="C39" s="233" t="s">
        <v>951</v>
      </c>
      <c r="D39" s="233" t="str">
        <f t="shared" si="4"/>
        <v>PTE MUHAMMAD HILAL IZDIHAR BIN MOHAMAD IZZUL SHAH</v>
      </c>
      <c r="E39" s="233" t="s">
        <v>952</v>
      </c>
      <c r="F39" s="233" t="s">
        <v>891</v>
      </c>
      <c r="G39" s="238">
        <v>46393.0</v>
      </c>
      <c r="H39" s="31"/>
      <c r="I39" s="31"/>
      <c r="J39" s="31"/>
      <c r="K39" s="31"/>
      <c r="L39" s="31"/>
      <c r="M39" s="31"/>
      <c r="N39" s="31"/>
      <c r="O39" s="31"/>
      <c r="P39" s="31"/>
      <c r="Q39" s="31"/>
      <c r="R39" s="31"/>
      <c r="S39" s="31"/>
      <c r="T39" s="31"/>
      <c r="U39" s="31"/>
      <c r="V39" s="31"/>
      <c r="W39" s="31"/>
      <c r="X39" s="31"/>
      <c r="Y39" s="31"/>
      <c r="Z39" s="31"/>
      <c r="AA39" s="31"/>
    </row>
    <row r="40">
      <c r="A40" s="236">
        <f t="shared" si="1"/>
        <v>32</v>
      </c>
      <c r="B40" s="233" t="s">
        <v>944</v>
      </c>
      <c r="C40" s="233" t="s">
        <v>953</v>
      </c>
      <c r="D40" s="233" t="str">
        <f t="shared" si="4"/>
        <v>3SG RYAN TAY RUI YANG</v>
      </c>
      <c r="E40" s="233" t="s">
        <v>954</v>
      </c>
      <c r="F40" s="233" t="s">
        <v>891</v>
      </c>
      <c r="G40" s="238">
        <v>46430.0</v>
      </c>
      <c r="H40" s="31"/>
      <c r="I40" s="31"/>
      <c r="J40" s="31"/>
      <c r="K40" s="31"/>
      <c r="L40" s="31"/>
      <c r="M40" s="31"/>
      <c r="N40" s="31"/>
      <c r="O40" s="31"/>
      <c r="P40" s="31"/>
      <c r="Q40" s="31"/>
      <c r="R40" s="31"/>
      <c r="S40" s="31"/>
      <c r="T40" s="31"/>
      <c r="U40" s="31"/>
      <c r="V40" s="31"/>
      <c r="W40" s="31"/>
      <c r="X40" s="31"/>
      <c r="Y40" s="31"/>
      <c r="Z40" s="31"/>
      <c r="AA40" s="31"/>
    </row>
    <row r="41">
      <c r="A41" s="236">
        <f t="shared" si="1"/>
        <v>33</v>
      </c>
      <c r="B41" s="233" t="s">
        <v>944</v>
      </c>
      <c r="C41" s="233" t="s">
        <v>955</v>
      </c>
      <c r="D41" s="233" t="str">
        <f t="shared" si="4"/>
        <v>3SG DARYL SEOW  SHI YU</v>
      </c>
      <c r="E41" s="233" t="s">
        <v>956</v>
      </c>
      <c r="F41" s="233" t="s">
        <v>891</v>
      </c>
      <c r="G41" s="238">
        <v>46430.0</v>
      </c>
      <c r="H41" s="31"/>
      <c r="I41" s="31"/>
      <c r="J41" s="31"/>
      <c r="K41" s="31"/>
      <c r="L41" s="31"/>
      <c r="M41" s="31"/>
      <c r="N41" s="31"/>
      <c r="O41" s="31"/>
      <c r="P41" s="31"/>
      <c r="Q41" s="31"/>
      <c r="R41" s="31"/>
      <c r="S41" s="31"/>
      <c r="T41" s="31"/>
      <c r="U41" s="31"/>
      <c r="V41" s="31"/>
      <c r="W41" s="31"/>
      <c r="X41" s="31"/>
      <c r="Y41" s="31"/>
      <c r="Z41" s="31"/>
      <c r="AA41" s="31"/>
    </row>
    <row r="42">
      <c r="A42" s="236">
        <f t="shared" si="1"/>
        <v>34</v>
      </c>
      <c r="B42" s="233" t="s">
        <v>879</v>
      </c>
      <c r="C42" s="233" t="s">
        <v>957</v>
      </c>
      <c r="D42" s="233" t="str">
        <f t="shared" si="4"/>
        <v>PTE JEREMIAH FOO JI SHUAN</v>
      </c>
      <c r="E42" s="233" t="s">
        <v>958</v>
      </c>
      <c r="F42" s="233" t="s">
        <v>123</v>
      </c>
      <c r="G42" s="238">
        <v>46233.0</v>
      </c>
      <c r="H42" s="239">
        <v>46233.0</v>
      </c>
      <c r="I42" s="31"/>
      <c r="J42" s="31"/>
      <c r="K42" s="31"/>
      <c r="L42" s="31"/>
      <c r="M42" s="31"/>
      <c r="N42" s="31"/>
      <c r="O42" s="31"/>
      <c r="P42" s="31"/>
      <c r="Q42" s="31"/>
      <c r="R42" s="31"/>
      <c r="S42" s="31"/>
      <c r="T42" s="31"/>
      <c r="U42" s="31"/>
      <c r="V42" s="31"/>
      <c r="W42" s="31"/>
      <c r="X42" s="31"/>
      <c r="Y42" s="31"/>
      <c r="Z42" s="31"/>
      <c r="AA42" s="31"/>
    </row>
    <row r="43">
      <c r="A43" s="236">
        <f t="shared" si="1"/>
        <v>35</v>
      </c>
      <c r="B43" s="233" t="s">
        <v>872</v>
      </c>
      <c r="C43" s="233" t="s">
        <v>959</v>
      </c>
      <c r="D43" s="233" t="str">
        <f t="shared" si="4"/>
        <v>LCP CHEONG KAI JIE</v>
      </c>
      <c r="E43" s="233" t="s">
        <v>960</v>
      </c>
      <c r="F43" s="233" t="s">
        <v>123</v>
      </c>
      <c r="G43" s="238">
        <v>46144.0</v>
      </c>
      <c r="H43" s="243">
        <v>46144.0</v>
      </c>
      <c r="I43" s="47" t="s">
        <v>893</v>
      </c>
      <c r="J43" s="31"/>
      <c r="K43" s="31"/>
      <c r="L43" s="31"/>
      <c r="M43" s="31"/>
      <c r="N43" s="31"/>
      <c r="O43" s="31"/>
      <c r="P43" s="31"/>
      <c r="Q43" s="31"/>
      <c r="R43" s="31"/>
      <c r="S43" s="31"/>
      <c r="T43" s="31"/>
      <c r="U43" s="31"/>
      <c r="V43" s="31"/>
      <c r="W43" s="31"/>
      <c r="X43" s="31"/>
      <c r="Y43" s="31"/>
      <c r="Z43" s="31"/>
      <c r="AA43" s="31"/>
    </row>
    <row r="44">
      <c r="A44" s="236">
        <f t="shared" si="1"/>
        <v>36</v>
      </c>
      <c r="B44" s="233" t="s">
        <v>879</v>
      </c>
      <c r="C44" s="233" t="s">
        <v>478</v>
      </c>
      <c r="D44" s="233" t="str">
        <f t="shared" si="4"/>
        <v>PTE CHEONG JUN KAI, HARRY</v>
      </c>
      <c r="E44" s="233" t="s">
        <v>961</v>
      </c>
      <c r="F44" s="233" t="s">
        <v>234</v>
      </c>
      <c r="G44" s="238">
        <v>46395.0</v>
      </c>
      <c r="H44" s="31"/>
      <c r="I44" s="31"/>
      <c r="J44" s="31"/>
      <c r="K44" s="31"/>
      <c r="L44" s="31"/>
      <c r="M44" s="31"/>
      <c r="N44" s="31"/>
      <c r="O44" s="31"/>
      <c r="P44" s="31"/>
      <c r="Q44" s="31"/>
      <c r="R44" s="31"/>
      <c r="S44" s="31"/>
      <c r="T44" s="31"/>
      <c r="U44" s="31"/>
      <c r="V44" s="31"/>
      <c r="W44" s="31"/>
      <c r="X44" s="31"/>
      <c r="Y44" s="31"/>
      <c r="Z44" s="31"/>
      <c r="AA44" s="31"/>
    </row>
    <row r="45">
      <c r="A45" s="236">
        <f t="shared" si="1"/>
        <v>37</v>
      </c>
      <c r="B45" s="233" t="s">
        <v>879</v>
      </c>
      <c r="C45" s="233" t="s">
        <v>962</v>
      </c>
      <c r="D45" s="233" t="str">
        <f t="shared" si="4"/>
        <v>PTE SIDDARTH SREEKUMAR CHERUBAL </v>
      </c>
      <c r="E45" s="233" t="s">
        <v>963</v>
      </c>
      <c r="F45" s="233" t="s">
        <v>911</v>
      </c>
      <c r="G45" s="238">
        <v>46483.0</v>
      </c>
      <c r="H45" s="31"/>
      <c r="I45" s="31"/>
      <c r="J45" s="31"/>
      <c r="K45" s="31"/>
      <c r="L45" s="31"/>
      <c r="M45" s="31"/>
      <c r="N45" s="31"/>
      <c r="O45" s="31"/>
      <c r="P45" s="31"/>
      <c r="Q45" s="31"/>
      <c r="R45" s="31"/>
      <c r="S45" s="31"/>
      <c r="T45" s="31"/>
      <c r="U45" s="31"/>
      <c r="V45" s="31"/>
      <c r="W45" s="31"/>
      <c r="X45" s="31"/>
      <c r="Y45" s="31"/>
      <c r="Z45" s="31"/>
      <c r="AA45" s="31"/>
    </row>
    <row r="46">
      <c r="A46" s="236">
        <f t="shared" si="1"/>
        <v>38</v>
      </c>
      <c r="B46" s="233" t="s">
        <v>872</v>
      </c>
      <c r="C46" s="233" t="s">
        <v>964</v>
      </c>
      <c r="D46" s="233" t="str">
        <f t="shared" si="4"/>
        <v>LCP OH EE BING</v>
      </c>
      <c r="E46" s="233" t="s">
        <v>965</v>
      </c>
      <c r="F46" s="233" t="s">
        <v>891</v>
      </c>
      <c r="G46" s="238">
        <v>46484.0</v>
      </c>
      <c r="H46" s="31"/>
      <c r="I46" s="31"/>
      <c r="J46" s="31"/>
      <c r="K46" s="31"/>
      <c r="L46" s="31"/>
      <c r="M46" s="31"/>
      <c r="N46" s="31"/>
      <c r="O46" s="31"/>
      <c r="P46" s="31"/>
      <c r="Q46" s="31"/>
      <c r="R46" s="31"/>
      <c r="S46" s="31"/>
      <c r="T46" s="31"/>
      <c r="U46" s="31"/>
      <c r="V46" s="31"/>
      <c r="W46" s="31"/>
      <c r="X46" s="31"/>
      <c r="Y46" s="31"/>
      <c r="Z46" s="31"/>
      <c r="AA46" s="31"/>
    </row>
    <row r="47">
      <c r="A47" s="236">
        <f t="shared" si="1"/>
        <v>39</v>
      </c>
      <c r="B47" s="233" t="s">
        <v>879</v>
      </c>
      <c r="C47" s="233" t="s">
        <v>966</v>
      </c>
      <c r="D47" s="233" t="str">
        <f t="shared" si="4"/>
        <v>PTE WANG XINHANG</v>
      </c>
      <c r="E47" s="233" t="s">
        <v>967</v>
      </c>
      <c r="F47" s="233" t="s">
        <v>891</v>
      </c>
      <c r="G47" s="241">
        <v>46318.0</v>
      </c>
      <c r="H47" s="31"/>
      <c r="I47" s="31"/>
      <c r="J47" s="31"/>
      <c r="K47" s="31"/>
      <c r="L47" s="31"/>
      <c r="M47" s="31"/>
      <c r="N47" s="31"/>
      <c r="O47" s="31"/>
      <c r="P47" s="31"/>
      <c r="Q47" s="31"/>
      <c r="R47" s="31"/>
      <c r="S47" s="31"/>
      <c r="T47" s="31"/>
      <c r="U47" s="31"/>
      <c r="V47" s="31"/>
      <c r="W47" s="31"/>
      <c r="X47" s="31"/>
      <c r="Y47" s="31"/>
      <c r="Z47" s="31"/>
      <c r="AA47" s="31"/>
    </row>
    <row r="48">
      <c r="A48" s="31"/>
      <c r="B48" s="31"/>
      <c r="C48" s="233"/>
      <c r="D48" s="31"/>
      <c r="E48" s="31"/>
      <c r="F48" s="31"/>
      <c r="G48" s="47"/>
      <c r="H48" s="31"/>
      <c r="I48" s="31"/>
      <c r="J48" s="31"/>
      <c r="K48" s="31"/>
      <c r="L48" s="31"/>
      <c r="M48" s="31"/>
      <c r="N48" s="31"/>
      <c r="O48" s="31"/>
      <c r="P48" s="31"/>
      <c r="Q48" s="31"/>
      <c r="R48" s="31"/>
      <c r="S48" s="31"/>
      <c r="T48" s="31"/>
      <c r="U48" s="31"/>
      <c r="V48" s="31"/>
      <c r="W48" s="31"/>
      <c r="X48" s="31"/>
      <c r="Y48" s="31"/>
      <c r="Z48" s="31"/>
      <c r="AA48" s="31"/>
    </row>
    <row r="49">
      <c r="A49" s="31"/>
      <c r="B49" s="31"/>
      <c r="C49" s="233"/>
      <c r="D49" s="31"/>
      <c r="E49" s="31"/>
      <c r="F49" s="47"/>
      <c r="G49" s="47"/>
      <c r="H49" s="31"/>
      <c r="I49" s="31"/>
      <c r="J49" s="31"/>
      <c r="K49" s="31"/>
      <c r="L49" s="31"/>
      <c r="M49" s="31"/>
      <c r="N49" s="31"/>
      <c r="O49" s="31"/>
      <c r="P49" s="31"/>
      <c r="Q49" s="31"/>
      <c r="R49" s="31"/>
      <c r="S49" s="31"/>
      <c r="T49" s="31"/>
      <c r="U49" s="31"/>
      <c r="V49" s="31"/>
      <c r="W49" s="31"/>
      <c r="X49" s="31"/>
      <c r="Y49" s="31"/>
      <c r="Z49" s="31"/>
      <c r="AA49" s="31"/>
    </row>
    <row r="50">
      <c r="A50" s="31"/>
      <c r="B50" s="31"/>
      <c r="C50" s="233"/>
      <c r="D50" s="31"/>
      <c r="E50" s="31"/>
      <c r="F50" s="47"/>
      <c r="G50" s="47"/>
      <c r="H50" s="31"/>
      <c r="I50" s="31"/>
      <c r="J50" s="31"/>
      <c r="K50" s="31"/>
      <c r="L50" s="31"/>
      <c r="M50" s="31"/>
      <c r="N50" s="31"/>
      <c r="O50" s="31"/>
      <c r="P50" s="31"/>
      <c r="Q50" s="31"/>
      <c r="R50" s="31"/>
      <c r="S50" s="31"/>
      <c r="T50" s="31"/>
      <c r="U50" s="31"/>
      <c r="V50" s="31"/>
      <c r="W50" s="31"/>
      <c r="X50" s="31"/>
      <c r="Y50" s="31"/>
      <c r="Z50" s="31"/>
      <c r="AA50" s="31"/>
    </row>
    <row r="51">
      <c r="A51" s="31"/>
      <c r="B51" s="31"/>
      <c r="C51" s="233"/>
      <c r="D51" s="31"/>
      <c r="E51" s="31"/>
      <c r="F51" s="31"/>
      <c r="G51" s="47"/>
      <c r="H51" s="47"/>
      <c r="I51" s="31"/>
      <c r="J51" s="31"/>
      <c r="K51" s="31"/>
      <c r="L51" s="31"/>
      <c r="M51" s="31"/>
      <c r="N51" s="31"/>
      <c r="O51" s="31"/>
      <c r="P51" s="31"/>
      <c r="Q51" s="31"/>
      <c r="R51" s="31"/>
      <c r="S51" s="31"/>
      <c r="T51" s="31"/>
      <c r="U51" s="31"/>
      <c r="V51" s="31"/>
      <c r="W51" s="31"/>
      <c r="X51" s="31"/>
      <c r="Y51" s="31"/>
      <c r="Z51" s="31"/>
      <c r="AA51" s="31"/>
    </row>
    <row r="52">
      <c r="A52" s="31"/>
      <c r="B52" s="31"/>
      <c r="C52" s="233"/>
      <c r="D52" s="31"/>
      <c r="E52" s="31"/>
      <c r="F52" s="31"/>
      <c r="G52" s="47"/>
      <c r="H52" s="31"/>
      <c r="I52" s="31"/>
      <c r="J52" s="31"/>
      <c r="K52" s="31"/>
      <c r="L52" s="31"/>
      <c r="M52" s="31"/>
      <c r="N52" s="31"/>
      <c r="O52" s="31"/>
      <c r="P52" s="31"/>
      <c r="Q52" s="31"/>
      <c r="R52" s="31"/>
      <c r="S52" s="31"/>
      <c r="T52" s="31"/>
      <c r="U52" s="31"/>
      <c r="V52" s="31"/>
      <c r="W52" s="31"/>
      <c r="X52" s="31"/>
      <c r="Y52" s="31"/>
      <c r="Z52" s="31"/>
      <c r="AA52" s="31"/>
    </row>
    <row r="53">
      <c r="A53" s="31"/>
      <c r="B53" s="31"/>
      <c r="C53" s="233"/>
      <c r="D53" s="47" t="s">
        <v>968</v>
      </c>
      <c r="E53" s="31"/>
      <c r="F53" s="31"/>
      <c r="G53" s="31"/>
      <c r="H53" s="31"/>
      <c r="I53" s="31"/>
      <c r="J53" s="31"/>
      <c r="K53" s="31"/>
      <c r="L53" s="31"/>
      <c r="M53" s="31"/>
      <c r="N53" s="31"/>
      <c r="O53" s="31"/>
      <c r="P53" s="31"/>
      <c r="Q53" s="31"/>
      <c r="R53" s="31"/>
      <c r="S53" s="31"/>
      <c r="T53" s="31"/>
      <c r="U53" s="31"/>
      <c r="V53" s="31"/>
      <c r="W53" s="31"/>
      <c r="X53" s="31"/>
      <c r="Y53" s="31"/>
      <c r="Z53" s="31"/>
      <c r="AA53" s="31"/>
    </row>
    <row r="54">
      <c r="A54" s="31"/>
      <c r="B54" s="31"/>
      <c r="C54" s="233"/>
      <c r="D54" s="47" t="s">
        <v>969</v>
      </c>
      <c r="E54" s="31"/>
      <c r="F54" s="31"/>
      <c r="G54" s="31"/>
      <c r="H54" s="31"/>
      <c r="I54" s="31"/>
      <c r="J54" s="31"/>
      <c r="K54" s="31"/>
      <c r="L54" s="31"/>
      <c r="M54" s="31"/>
      <c r="N54" s="31"/>
      <c r="O54" s="31"/>
      <c r="P54" s="31"/>
      <c r="Q54" s="31"/>
      <c r="R54" s="31"/>
      <c r="S54" s="31"/>
      <c r="T54" s="31"/>
      <c r="U54" s="31"/>
      <c r="V54" s="31"/>
      <c r="W54" s="31"/>
      <c r="X54" s="31"/>
      <c r="Y54" s="31"/>
      <c r="Z54" s="31"/>
      <c r="AA54" s="31"/>
    </row>
    <row r="55">
      <c r="A55" s="31"/>
      <c r="B55" s="31"/>
      <c r="C55" s="233"/>
      <c r="D55" s="47" t="s">
        <v>970</v>
      </c>
      <c r="E55" s="31"/>
      <c r="F55" s="31"/>
      <c r="G55" s="47"/>
      <c r="H55" s="31"/>
      <c r="I55" s="31"/>
      <c r="J55" s="31"/>
      <c r="K55" s="31"/>
      <c r="L55" s="31"/>
      <c r="M55" s="31"/>
      <c r="N55" s="31"/>
      <c r="O55" s="31"/>
      <c r="P55" s="31"/>
      <c r="Q55" s="31"/>
      <c r="R55" s="31"/>
      <c r="S55" s="31"/>
      <c r="T55" s="31"/>
      <c r="U55" s="31"/>
      <c r="V55" s="31"/>
      <c r="W55" s="31"/>
      <c r="X55" s="31"/>
      <c r="Y55" s="31"/>
      <c r="Z55" s="31"/>
      <c r="AA55" s="31"/>
    </row>
    <row r="56">
      <c r="A56" s="31"/>
      <c r="B56" s="31"/>
      <c r="C56" s="233"/>
      <c r="D56" s="47" t="s">
        <v>971</v>
      </c>
      <c r="E56" s="31"/>
      <c r="F56" s="31"/>
      <c r="G56" s="31"/>
      <c r="H56" s="31"/>
      <c r="I56" s="31"/>
      <c r="J56" s="31"/>
      <c r="K56" s="31"/>
      <c r="L56" s="31"/>
      <c r="M56" s="31"/>
      <c r="N56" s="31"/>
      <c r="O56" s="31"/>
      <c r="P56" s="31"/>
      <c r="Q56" s="31"/>
      <c r="R56" s="31"/>
      <c r="S56" s="31"/>
      <c r="T56" s="31"/>
      <c r="U56" s="31"/>
      <c r="V56" s="31"/>
      <c r="W56" s="31"/>
      <c r="X56" s="31"/>
      <c r="Y56" s="31"/>
      <c r="Z56" s="31"/>
      <c r="AA56" s="31"/>
    </row>
    <row r="57">
      <c r="A57" s="31"/>
      <c r="B57" s="31"/>
      <c r="C57" s="233"/>
      <c r="D57" s="47" t="s">
        <v>972</v>
      </c>
      <c r="E57" s="31"/>
      <c r="F57" s="31"/>
      <c r="G57" s="31"/>
      <c r="H57" s="31"/>
      <c r="I57" s="31"/>
      <c r="J57" s="31"/>
      <c r="K57" s="31"/>
      <c r="L57" s="31"/>
      <c r="M57" s="31"/>
      <c r="N57" s="31"/>
      <c r="O57" s="31"/>
      <c r="P57" s="31"/>
      <c r="Q57" s="31"/>
      <c r="R57" s="31"/>
      <c r="S57" s="31"/>
      <c r="T57" s="31"/>
      <c r="U57" s="31"/>
      <c r="V57" s="31"/>
      <c r="W57" s="31"/>
      <c r="X57" s="31"/>
      <c r="Y57" s="31"/>
      <c r="Z57" s="31"/>
      <c r="AA57" s="31"/>
    </row>
    <row r="58">
      <c r="A58" s="31"/>
      <c r="B58" s="31"/>
      <c r="C58" s="233"/>
      <c r="D58" s="31"/>
      <c r="E58" s="31"/>
      <c r="F58" s="31"/>
      <c r="G58" s="31"/>
      <c r="H58" s="31"/>
      <c r="I58" s="31"/>
      <c r="J58" s="31"/>
      <c r="K58" s="31"/>
      <c r="L58" s="31"/>
      <c r="M58" s="31"/>
      <c r="N58" s="31"/>
      <c r="O58" s="31"/>
      <c r="P58" s="31"/>
      <c r="Q58" s="31"/>
      <c r="R58" s="31"/>
      <c r="S58" s="31"/>
      <c r="T58" s="31"/>
      <c r="U58" s="31"/>
      <c r="V58" s="31"/>
      <c r="W58" s="31"/>
      <c r="X58" s="31"/>
      <c r="Y58" s="31"/>
      <c r="Z58" s="31"/>
      <c r="AA58" s="31"/>
    </row>
    <row r="59">
      <c r="A59" s="31"/>
      <c r="B59" s="31"/>
      <c r="C59" s="233"/>
      <c r="D59" s="31"/>
      <c r="E59" s="31"/>
      <c r="F59" s="31"/>
      <c r="G59" s="31"/>
      <c r="H59" s="31"/>
      <c r="I59" s="31"/>
      <c r="J59" s="31"/>
      <c r="K59" s="31"/>
      <c r="L59" s="31"/>
      <c r="M59" s="31"/>
      <c r="N59" s="31"/>
      <c r="O59" s="31"/>
      <c r="P59" s="31"/>
      <c r="Q59" s="31"/>
      <c r="R59" s="31"/>
      <c r="S59" s="31"/>
      <c r="T59" s="31"/>
      <c r="U59" s="31"/>
      <c r="V59" s="31"/>
      <c r="W59" s="31"/>
      <c r="X59" s="31"/>
      <c r="Y59" s="31"/>
      <c r="Z59" s="31"/>
      <c r="AA59" s="31"/>
    </row>
    <row r="60">
      <c r="A60" s="31"/>
      <c r="B60" s="31"/>
      <c r="C60" s="233"/>
      <c r="D60" s="31"/>
      <c r="E60" s="31"/>
      <c r="F60" s="31"/>
      <c r="G60" s="31"/>
      <c r="H60" s="31"/>
      <c r="I60" s="31"/>
      <c r="J60" s="31"/>
      <c r="K60" s="31"/>
      <c r="L60" s="31"/>
      <c r="M60" s="31"/>
      <c r="N60" s="31"/>
      <c r="O60" s="31"/>
      <c r="P60" s="31"/>
      <c r="Q60" s="31"/>
      <c r="R60" s="31"/>
      <c r="S60" s="31"/>
      <c r="T60" s="31"/>
      <c r="U60" s="31"/>
      <c r="V60" s="31"/>
      <c r="W60" s="31"/>
      <c r="X60" s="31"/>
      <c r="Y60" s="31"/>
      <c r="Z60" s="31"/>
      <c r="AA60" s="31"/>
    </row>
    <row r="61">
      <c r="A61" s="31"/>
      <c r="B61" s="31"/>
      <c r="C61" s="233"/>
      <c r="D61" s="31"/>
      <c r="E61" s="31"/>
      <c r="F61" s="31"/>
      <c r="G61" s="31"/>
      <c r="H61" s="31"/>
      <c r="I61" s="31"/>
      <c r="J61" s="31"/>
      <c r="K61" s="31"/>
      <c r="L61" s="31"/>
      <c r="M61" s="31"/>
      <c r="N61" s="31"/>
      <c r="O61" s="31"/>
      <c r="P61" s="31"/>
      <c r="Q61" s="31"/>
      <c r="R61" s="31"/>
      <c r="S61" s="31"/>
      <c r="T61" s="31"/>
      <c r="U61" s="31"/>
      <c r="V61" s="31"/>
      <c r="W61" s="31"/>
      <c r="X61" s="31"/>
      <c r="Y61" s="31"/>
      <c r="Z61" s="31"/>
      <c r="AA61" s="31"/>
    </row>
    <row r="62">
      <c r="A62" s="31"/>
      <c r="B62" s="31"/>
      <c r="C62" s="233"/>
      <c r="D62" s="31"/>
      <c r="E62" s="31"/>
      <c r="F62" s="31"/>
      <c r="G62" s="31"/>
      <c r="H62" s="31"/>
      <c r="I62" s="31"/>
      <c r="J62" s="31"/>
      <c r="K62" s="31"/>
      <c r="L62" s="31"/>
      <c r="M62" s="31"/>
      <c r="N62" s="31"/>
      <c r="O62" s="31"/>
      <c r="P62" s="31"/>
      <c r="Q62" s="31"/>
      <c r="R62" s="31"/>
      <c r="S62" s="31"/>
      <c r="T62" s="31"/>
      <c r="U62" s="31"/>
      <c r="V62" s="31"/>
      <c r="W62" s="31"/>
      <c r="X62" s="31"/>
      <c r="Y62" s="31"/>
      <c r="Z62" s="31"/>
      <c r="AA62" s="31"/>
    </row>
    <row r="63">
      <c r="A63" s="31"/>
      <c r="B63" s="31"/>
      <c r="C63" s="233"/>
      <c r="D63" s="31"/>
      <c r="E63" s="31"/>
      <c r="F63" s="31"/>
      <c r="G63" s="31"/>
      <c r="H63" s="31"/>
      <c r="I63" s="31"/>
      <c r="J63" s="31"/>
      <c r="K63" s="31"/>
      <c r="L63" s="31"/>
      <c r="M63" s="31"/>
      <c r="N63" s="31"/>
      <c r="O63" s="31"/>
      <c r="P63" s="31"/>
      <c r="Q63" s="31"/>
      <c r="R63" s="31"/>
      <c r="S63" s="31"/>
      <c r="T63" s="31"/>
      <c r="U63" s="31"/>
      <c r="V63" s="31"/>
      <c r="W63" s="31"/>
      <c r="X63" s="31"/>
      <c r="Y63" s="31"/>
      <c r="Z63" s="31"/>
      <c r="AA63" s="31"/>
    </row>
    <row r="64">
      <c r="A64" s="31"/>
      <c r="B64" s="31"/>
      <c r="C64" s="233"/>
      <c r="D64" s="31"/>
      <c r="E64" s="31"/>
      <c r="F64" s="31"/>
      <c r="G64" s="31"/>
      <c r="H64" s="31"/>
      <c r="I64" s="31"/>
      <c r="J64" s="31"/>
      <c r="K64" s="31"/>
      <c r="L64" s="31"/>
      <c r="M64" s="31"/>
      <c r="N64" s="31"/>
      <c r="O64" s="31"/>
      <c r="P64" s="31"/>
      <c r="Q64" s="31"/>
      <c r="R64" s="31"/>
      <c r="S64" s="31"/>
      <c r="T64" s="31"/>
      <c r="U64" s="31"/>
      <c r="V64" s="31"/>
      <c r="W64" s="31"/>
      <c r="X64" s="31"/>
      <c r="Y64" s="31"/>
      <c r="Z64" s="31"/>
      <c r="AA64" s="31"/>
    </row>
    <row r="65">
      <c r="A65" s="31"/>
      <c r="B65" s="31"/>
      <c r="C65" s="233"/>
      <c r="D65" s="31"/>
      <c r="E65" s="31"/>
      <c r="F65" s="31"/>
      <c r="G65" s="31"/>
      <c r="H65" s="31"/>
      <c r="I65" s="31"/>
      <c r="J65" s="31"/>
      <c r="K65" s="31"/>
      <c r="L65" s="31"/>
      <c r="M65" s="31"/>
      <c r="N65" s="31"/>
      <c r="O65" s="31"/>
      <c r="P65" s="31"/>
      <c r="Q65" s="31"/>
      <c r="R65" s="31"/>
      <c r="S65" s="31"/>
      <c r="T65" s="31"/>
      <c r="U65" s="31"/>
      <c r="V65" s="31"/>
      <c r="W65" s="31"/>
      <c r="X65" s="31"/>
      <c r="Y65" s="31"/>
      <c r="Z65" s="31"/>
      <c r="AA65" s="31"/>
    </row>
    <row r="66">
      <c r="A66" s="31"/>
      <c r="B66" s="31"/>
      <c r="C66" s="233"/>
      <c r="D66" s="31"/>
      <c r="E66" s="31"/>
      <c r="F66" s="31"/>
      <c r="G66" s="31"/>
      <c r="H66" s="31"/>
      <c r="I66" s="31"/>
      <c r="J66" s="31"/>
      <c r="K66" s="31"/>
      <c r="L66" s="31"/>
      <c r="M66" s="31"/>
      <c r="N66" s="31"/>
      <c r="O66" s="31"/>
      <c r="P66" s="31"/>
      <c r="Q66" s="31"/>
      <c r="R66" s="31"/>
      <c r="S66" s="31"/>
      <c r="T66" s="31"/>
      <c r="U66" s="31"/>
      <c r="V66" s="31"/>
      <c r="W66" s="31"/>
      <c r="X66" s="31"/>
      <c r="Y66" s="31"/>
      <c r="Z66" s="31"/>
      <c r="AA66" s="31"/>
    </row>
    <row r="67">
      <c r="A67" s="31"/>
      <c r="B67" s="31"/>
      <c r="C67" s="233"/>
      <c r="D67" s="31"/>
      <c r="E67" s="31"/>
      <c r="F67" s="31"/>
      <c r="G67" s="31"/>
      <c r="H67" s="31"/>
      <c r="I67" s="31"/>
      <c r="J67" s="31"/>
      <c r="K67" s="31"/>
      <c r="L67" s="31"/>
      <c r="M67" s="31"/>
      <c r="N67" s="31"/>
      <c r="O67" s="31"/>
      <c r="P67" s="31"/>
      <c r="Q67" s="31"/>
      <c r="R67" s="31"/>
      <c r="S67" s="31"/>
      <c r="T67" s="31"/>
      <c r="U67" s="31"/>
      <c r="V67" s="31"/>
      <c r="W67" s="31"/>
      <c r="X67" s="31"/>
      <c r="Y67" s="31"/>
      <c r="Z67" s="31"/>
      <c r="AA67" s="31"/>
    </row>
    <row r="68">
      <c r="A68" s="31"/>
      <c r="B68" s="31"/>
      <c r="C68" s="233"/>
      <c r="D68" s="31"/>
      <c r="E68" s="31"/>
      <c r="F68" s="31"/>
      <c r="G68" s="31"/>
      <c r="H68" s="31"/>
      <c r="I68" s="31"/>
      <c r="J68" s="31"/>
      <c r="K68" s="31"/>
      <c r="L68" s="31"/>
      <c r="M68" s="31"/>
      <c r="N68" s="31"/>
      <c r="O68" s="31"/>
      <c r="P68" s="31"/>
      <c r="Q68" s="31"/>
      <c r="R68" s="31"/>
      <c r="S68" s="31"/>
      <c r="T68" s="31"/>
      <c r="U68" s="31"/>
      <c r="V68" s="31"/>
      <c r="W68" s="31"/>
      <c r="X68" s="31"/>
      <c r="Y68" s="31"/>
      <c r="Z68" s="31"/>
      <c r="AA68" s="31"/>
    </row>
    <row r="69">
      <c r="A69" s="31"/>
      <c r="B69" s="31"/>
      <c r="C69" s="233"/>
      <c r="D69" s="31"/>
      <c r="E69" s="31"/>
      <c r="F69" s="31"/>
      <c r="G69" s="31"/>
      <c r="H69" s="31"/>
      <c r="I69" s="31"/>
      <c r="J69" s="31"/>
      <c r="K69" s="31"/>
      <c r="L69" s="31"/>
      <c r="M69" s="31"/>
      <c r="N69" s="31"/>
      <c r="O69" s="31"/>
      <c r="P69" s="31"/>
      <c r="Q69" s="31"/>
      <c r="R69" s="31"/>
      <c r="S69" s="31"/>
      <c r="T69" s="31"/>
      <c r="U69" s="31"/>
      <c r="V69" s="31"/>
      <c r="W69" s="31"/>
      <c r="X69" s="31"/>
      <c r="Y69" s="31"/>
      <c r="Z69" s="31"/>
      <c r="AA69" s="31"/>
    </row>
    <row r="70">
      <c r="A70" s="31"/>
      <c r="B70" s="31"/>
      <c r="C70" s="233"/>
      <c r="D70" s="31"/>
      <c r="E70" s="31"/>
      <c r="F70" s="31"/>
      <c r="G70" s="31"/>
      <c r="H70" s="31"/>
      <c r="I70" s="31"/>
      <c r="J70" s="31"/>
      <c r="K70" s="31"/>
      <c r="L70" s="31"/>
      <c r="M70" s="31"/>
      <c r="N70" s="31"/>
      <c r="O70" s="31"/>
      <c r="P70" s="31"/>
      <c r="Q70" s="31"/>
      <c r="R70" s="31"/>
      <c r="S70" s="31"/>
      <c r="T70" s="31"/>
      <c r="U70" s="31"/>
      <c r="V70" s="31"/>
      <c r="W70" s="31"/>
      <c r="X70" s="31"/>
      <c r="Y70" s="31"/>
      <c r="Z70" s="31"/>
      <c r="AA70" s="31"/>
    </row>
    <row r="71">
      <c r="A71" s="31"/>
      <c r="B71" s="31"/>
      <c r="C71" s="233"/>
      <c r="D71" s="31"/>
      <c r="E71" s="31"/>
      <c r="F71" s="31"/>
      <c r="G71" s="31"/>
      <c r="H71" s="31"/>
      <c r="I71" s="31"/>
      <c r="J71" s="31"/>
      <c r="K71" s="31"/>
      <c r="L71" s="31"/>
      <c r="M71" s="31"/>
      <c r="N71" s="31"/>
      <c r="O71" s="31"/>
      <c r="P71" s="31"/>
      <c r="Q71" s="31"/>
      <c r="R71" s="31"/>
      <c r="S71" s="31"/>
      <c r="T71" s="31"/>
      <c r="U71" s="31"/>
      <c r="V71" s="31"/>
      <c r="W71" s="31"/>
      <c r="X71" s="31"/>
      <c r="Y71" s="31"/>
      <c r="Z71" s="31"/>
      <c r="AA71" s="31"/>
    </row>
    <row r="72">
      <c r="A72" s="31"/>
      <c r="B72" s="31"/>
      <c r="C72" s="233"/>
      <c r="D72" s="31"/>
      <c r="E72" s="31"/>
      <c r="F72" s="31"/>
      <c r="G72" s="31"/>
      <c r="H72" s="31"/>
      <c r="I72" s="31"/>
      <c r="J72" s="31"/>
      <c r="K72" s="31"/>
      <c r="L72" s="31"/>
      <c r="M72" s="31"/>
      <c r="N72" s="31"/>
      <c r="O72" s="31"/>
      <c r="P72" s="31"/>
      <c r="Q72" s="31"/>
      <c r="R72" s="31"/>
      <c r="S72" s="31"/>
      <c r="T72" s="31"/>
      <c r="U72" s="31"/>
      <c r="V72" s="31"/>
      <c r="W72" s="31"/>
      <c r="X72" s="31"/>
      <c r="Y72" s="31"/>
      <c r="Z72" s="31"/>
      <c r="AA72" s="31"/>
    </row>
    <row r="73">
      <c r="A73" s="31"/>
      <c r="B73" s="31"/>
      <c r="C73" s="233"/>
      <c r="D73" s="31"/>
      <c r="E73" s="31"/>
      <c r="F73" s="31"/>
      <c r="G73" s="31"/>
      <c r="H73" s="31"/>
      <c r="I73" s="31"/>
      <c r="J73" s="31"/>
      <c r="K73" s="31"/>
      <c r="L73" s="31"/>
      <c r="M73" s="31"/>
      <c r="N73" s="31"/>
      <c r="O73" s="31"/>
      <c r="P73" s="31"/>
      <c r="Q73" s="31"/>
      <c r="R73" s="31"/>
      <c r="S73" s="31"/>
      <c r="T73" s="31"/>
      <c r="U73" s="31"/>
      <c r="V73" s="31"/>
      <c r="W73" s="31"/>
      <c r="X73" s="31"/>
      <c r="Y73" s="31"/>
      <c r="Z73" s="31"/>
      <c r="AA73" s="31"/>
    </row>
    <row r="74">
      <c r="A74" s="31"/>
      <c r="B74" s="31"/>
      <c r="C74" s="233"/>
      <c r="D74" s="31"/>
      <c r="E74" s="31"/>
      <c r="F74" s="31"/>
      <c r="G74" s="31"/>
      <c r="H74" s="31"/>
      <c r="I74" s="31"/>
      <c r="J74" s="31"/>
      <c r="K74" s="31"/>
      <c r="L74" s="31"/>
      <c r="M74" s="31"/>
      <c r="N74" s="31"/>
      <c r="O74" s="31"/>
      <c r="P74" s="31"/>
      <c r="Q74" s="31"/>
      <c r="R74" s="31"/>
      <c r="S74" s="31"/>
      <c r="T74" s="31"/>
      <c r="U74" s="31"/>
      <c r="V74" s="31"/>
      <c r="W74" s="31"/>
      <c r="X74" s="31"/>
      <c r="Y74" s="31"/>
      <c r="Z74" s="31"/>
      <c r="AA74" s="31"/>
    </row>
    <row r="75">
      <c r="A75" s="31"/>
      <c r="B75" s="31"/>
      <c r="C75" s="233"/>
      <c r="D75" s="31"/>
      <c r="E75" s="31"/>
      <c r="F75" s="31"/>
      <c r="G75" s="31"/>
      <c r="H75" s="31"/>
      <c r="I75" s="31"/>
      <c r="J75" s="31"/>
      <c r="K75" s="31"/>
      <c r="L75" s="31"/>
      <c r="M75" s="31"/>
      <c r="N75" s="31"/>
      <c r="O75" s="31"/>
      <c r="P75" s="31"/>
      <c r="Q75" s="31"/>
      <c r="R75" s="31"/>
      <c r="S75" s="31"/>
      <c r="T75" s="31"/>
      <c r="U75" s="31"/>
      <c r="V75" s="31"/>
      <c r="W75" s="31"/>
      <c r="X75" s="31"/>
      <c r="Y75" s="31"/>
      <c r="Z75" s="31"/>
      <c r="AA75" s="31"/>
    </row>
    <row r="76">
      <c r="A76" s="31"/>
      <c r="B76" s="31"/>
      <c r="C76" s="233"/>
      <c r="D76" s="31"/>
      <c r="E76" s="31"/>
      <c r="F76" s="31"/>
      <c r="G76" s="31"/>
      <c r="H76" s="31"/>
      <c r="I76" s="31"/>
      <c r="J76" s="31"/>
      <c r="K76" s="31"/>
      <c r="L76" s="31"/>
      <c r="M76" s="31"/>
      <c r="N76" s="31"/>
      <c r="O76" s="31"/>
      <c r="P76" s="31"/>
      <c r="Q76" s="31"/>
      <c r="R76" s="31"/>
      <c r="S76" s="31"/>
      <c r="T76" s="31"/>
      <c r="U76" s="31"/>
      <c r="V76" s="31"/>
      <c r="W76" s="31"/>
      <c r="X76" s="31"/>
      <c r="Y76" s="31"/>
      <c r="Z76" s="31"/>
      <c r="AA76" s="31"/>
    </row>
    <row r="77">
      <c r="A77" s="31"/>
      <c r="B77" s="31"/>
      <c r="C77" s="233"/>
      <c r="D77" s="31"/>
      <c r="E77" s="31"/>
      <c r="F77" s="31"/>
      <c r="G77" s="31"/>
      <c r="H77" s="31"/>
      <c r="I77" s="31"/>
      <c r="J77" s="31"/>
      <c r="K77" s="31"/>
      <c r="L77" s="31"/>
      <c r="M77" s="31"/>
      <c r="N77" s="31"/>
      <c r="O77" s="31"/>
      <c r="P77" s="31"/>
      <c r="Q77" s="31"/>
      <c r="R77" s="31"/>
      <c r="S77" s="31"/>
      <c r="T77" s="31"/>
      <c r="U77" s="31"/>
      <c r="V77" s="31"/>
      <c r="W77" s="31"/>
      <c r="X77" s="31"/>
      <c r="Y77" s="31"/>
      <c r="Z77" s="31"/>
      <c r="AA77" s="31"/>
    </row>
    <row r="78">
      <c r="A78" s="31"/>
      <c r="B78" s="31"/>
      <c r="C78" s="233"/>
      <c r="D78" s="31"/>
      <c r="E78" s="31"/>
      <c r="F78" s="31"/>
      <c r="G78" s="31"/>
      <c r="H78" s="31"/>
      <c r="I78" s="31"/>
      <c r="J78" s="31"/>
      <c r="K78" s="31"/>
      <c r="L78" s="31"/>
      <c r="M78" s="31"/>
      <c r="N78" s="31"/>
      <c r="O78" s="31"/>
      <c r="P78" s="31"/>
      <c r="Q78" s="31"/>
      <c r="R78" s="31"/>
      <c r="S78" s="31"/>
      <c r="T78" s="31"/>
      <c r="U78" s="31"/>
      <c r="V78" s="31"/>
      <c r="W78" s="31"/>
      <c r="X78" s="31"/>
      <c r="Y78" s="31"/>
      <c r="Z78" s="31"/>
      <c r="AA78" s="31"/>
    </row>
    <row r="79">
      <c r="A79" s="31"/>
      <c r="B79" s="31"/>
      <c r="C79" s="233"/>
      <c r="D79" s="31"/>
      <c r="E79" s="31"/>
      <c r="F79" s="31"/>
      <c r="G79" s="31"/>
      <c r="H79" s="31"/>
      <c r="I79" s="31"/>
      <c r="J79" s="31"/>
      <c r="K79" s="31"/>
      <c r="L79" s="31"/>
      <c r="M79" s="31"/>
      <c r="N79" s="31"/>
      <c r="O79" s="31"/>
      <c r="P79" s="31"/>
      <c r="Q79" s="31"/>
      <c r="R79" s="31"/>
      <c r="S79" s="31"/>
      <c r="T79" s="31"/>
      <c r="U79" s="31"/>
      <c r="V79" s="31"/>
      <c r="W79" s="31"/>
      <c r="X79" s="31"/>
      <c r="Y79" s="31"/>
      <c r="Z79" s="31"/>
      <c r="AA79" s="31"/>
    </row>
    <row r="80">
      <c r="A80" s="31"/>
      <c r="B80" s="31"/>
      <c r="C80" s="233"/>
      <c r="D80" s="31"/>
      <c r="E80" s="31"/>
      <c r="F80" s="31"/>
      <c r="G80" s="31"/>
      <c r="H80" s="31"/>
      <c r="I80" s="31"/>
      <c r="J80" s="31"/>
      <c r="K80" s="31"/>
      <c r="L80" s="31"/>
      <c r="M80" s="31"/>
      <c r="N80" s="31"/>
      <c r="O80" s="31"/>
      <c r="P80" s="31"/>
      <c r="Q80" s="31"/>
      <c r="R80" s="31"/>
      <c r="S80" s="31"/>
      <c r="T80" s="31"/>
      <c r="U80" s="31"/>
      <c r="V80" s="31"/>
      <c r="W80" s="31"/>
      <c r="X80" s="31"/>
      <c r="Y80" s="31"/>
      <c r="Z80" s="31"/>
      <c r="AA80" s="31"/>
    </row>
    <row r="81">
      <c r="A81" s="31"/>
      <c r="B81" s="31"/>
      <c r="C81" s="233"/>
      <c r="D81" s="31"/>
      <c r="E81" s="31"/>
      <c r="F81" s="31"/>
      <c r="G81" s="31"/>
      <c r="H81" s="31"/>
      <c r="I81" s="31"/>
      <c r="J81" s="31"/>
      <c r="K81" s="31"/>
      <c r="L81" s="31"/>
      <c r="M81" s="31"/>
      <c r="N81" s="31"/>
      <c r="O81" s="31"/>
      <c r="P81" s="31"/>
      <c r="Q81" s="31"/>
      <c r="R81" s="31"/>
      <c r="S81" s="31"/>
      <c r="T81" s="31"/>
      <c r="U81" s="31"/>
      <c r="V81" s="31"/>
      <c r="W81" s="31"/>
      <c r="X81" s="31"/>
      <c r="Y81" s="31"/>
      <c r="Z81" s="31"/>
      <c r="AA81" s="31"/>
    </row>
    <row r="82">
      <c r="A82" s="31"/>
      <c r="B82" s="31"/>
      <c r="C82" s="233"/>
      <c r="D82" s="31"/>
      <c r="E82" s="31"/>
      <c r="F82" s="31"/>
      <c r="G82" s="31"/>
      <c r="H82" s="31"/>
      <c r="I82" s="31"/>
      <c r="J82" s="31"/>
      <c r="K82" s="31"/>
      <c r="L82" s="31"/>
      <c r="M82" s="31"/>
      <c r="N82" s="31"/>
      <c r="O82" s="31"/>
      <c r="P82" s="31"/>
      <c r="Q82" s="31"/>
      <c r="R82" s="31"/>
      <c r="S82" s="31"/>
      <c r="T82" s="31"/>
      <c r="U82" s="31"/>
      <c r="V82" s="31"/>
      <c r="W82" s="31"/>
      <c r="X82" s="31"/>
      <c r="Y82" s="31"/>
      <c r="Z82" s="31"/>
      <c r="AA82" s="31"/>
    </row>
    <row r="83">
      <c r="A83" s="31"/>
      <c r="B83" s="31"/>
      <c r="C83" s="233"/>
      <c r="D83" s="31"/>
      <c r="E83" s="31"/>
      <c r="F83" s="31"/>
      <c r="G83" s="31"/>
      <c r="H83" s="31"/>
      <c r="I83" s="31"/>
      <c r="J83" s="31"/>
      <c r="K83" s="31"/>
      <c r="L83" s="31"/>
      <c r="M83" s="31"/>
      <c r="N83" s="31"/>
      <c r="O83" s="31"/>
      <c r="P83" s="31"/>
      <c r="Q83" s="31"/>
      <c r="R83" s="31"/>
      <c r="S83" s="31"/>
      <c r="T83" s="31"/>
      <c r="U83" s="31"/>
      <c r="V83" s="31"/>
      <c r="W83" s="31"/>
      <c r="X83" s="31"/>
      <c r="Y83" s="31"/>
      <c r="Z83" s="31"/>
      <c r="AA83" s="31"/>
    </row>
    <row r="84">
      <c r="A84" s="31"/>
      <c r="B84" s="31"/>
      <c r="C84" s="233"/>
      <c r="D84" s="31"/>
      <c r="E84" s="31"/>
      <c r="F84" s="31"/>
      <c r="G84" s="31"/>
      <c r="H84" s="31"/>
      <c r="I84" s="31"/>
      <c r="J84" s="31"/>
      <c r="K84" s="31"/>
      <c r="L84" s="31"/>
      <c r="M84" s="31"/>
      <c r="N84" s="31"/>
      <c r="O84" s="31"/>
      <c r="P84" s="31"/>
      <c r="Q84" s="31"/>
      <c r="R84" s="31"/>
      <c r="S84" s="31"/>
      <c r="T84" s="31"/>
      <c r="U84" s="31"/>
      <c r="V84" s="31"/>
      <c r="W84" s="31"/>
      <c r="X84" s="31"/>
      <c r="Y84" s="31"/>
      <c r="Z84" s="31"/>
      <c r="AA84" s="31"/>
    </row>
    <row r="85">
      <c r="A85" s="31"/>
      <c r="B85" s="31"/>
      <c r="C85" s="233"/>
      <c r="D85" s="31"/>
      <c r="E85" s="31"/>
      <c r="F85" s="31"/>
      <c r="G85" s="31"/>
      <c r="H85" s="31"/>
      <c r="I85" s="31"/>
      <c r="J85" s="31"/>
      <c r="K85" s="31"/>
      <c r="L85" s="31"/>
      <c r="M85" s="31"/>
      <c r="N85" s="31"/>
      <c r="O85" s="31"/>
      <c r="P85" s="31"/>
      <c r="Q85" s="31"/>
      <c r="R85" s="31"/>
      <c r="S85" s="31"/>
      <c r="T85" s="31"/>
      <c r="U85" s="31"/>
      <c r="V85" s="31"/>
      <c r="W85" s="31"/>
      <c r="X85" s="31"/>
      <c r="Y85" s="31"/>
      <c r="Z85" s="31"/>
      <c r="AA85" s="31"/>
    </row>
    <row r="86">
      <c r="A86" s="31"/>
      <c r="B86" s="31"/>
      <c r="C86" s="233"/>
      <c r="D86" s="31"/>
      <c r="E86" s="31"/>
      <c r="F86" s="31"/>
      <c r="G86" s="31"/>
      <c r="H86" s="31"/>
      <c r="I86" s="31"/>
      <c r="J86" s="31"/>
      <c r="K86" s="31"/>
      <c r="L86" s="31"/>
      <c r="M86" s="31"/>
      <c r="N86" s="31"/>
      <c r="O86" s="31"/>
      <c r="P86" s="31"/>
      <c r="Q86" s="31"/>
      <c r="R86" s="31"/>
      <c r="S86" s="31"/>
      <c r="T86" s="31"/>
      <c r="U86" s="31"/>
      <c r="V86" s="31"/>
      <c r="W86" s="31"/>
      <c r="X86" s="31"/>
      <c r="Y86" s="31"/>
      <c r="Z86" s="31"/>
      <c r="AA86" s="31"/>
    </row>
    <row r="87">
      <c r="A87" s="31"/>
      <c r="B87" s="31"/>
      <c r="C87" s="233"/>
      <c r="D87" s="31"/>
      <c r="E87" s="31"/>
      <c r="F87" s="31"/>
      <c r="G87" s="31"/>
      <c r="H87" s="31"/>
      <c r="I87" s="31"/>
      <c r="J87" s="31"/>
      <c r="K87" s="31"/>
      <c r="L87" s="31"/>
      <c r="M87" s="31"/>
      <c r="N87" s="31"/>
      <c r="O87" s="31"/>
      <c r="P87" s="31"/>
      <c r="Q87" s="31"/>
      <c r="R87" s="31"/>
      <c r="S87" s="31"/>
      <c r="T87" s="31"/>
      <c r="U87" s="31"/>
      <c r="V87" s="31"/>
      <c r="W87" s="31"/>
      <c r="X87" s="31"/>
      <c r="Y87" s="31"/>
      <c r="Z87" s="31"/>
      <c r="AA87" s="31"/>
    </row>
    <row r="88">
      <c r="A88" s="31"/>
      <c r="B88" s="31"/>
      <c r="C88" s="233"/>
      <c r="D88" s="31"/>
      <c r="E88" s="31"/>
      <c r="F88" s="31"/>
      <c r="G88" s="31"/>
      <c r="H88" s="31"/>
      <c r="I88" s="31"/>
      <c r="J88" s="31"/>
      <c r="K88" s="31"/>
      <c r="L88" s="31"/>
      <c r="M88" s="31"/>
      <c r="N88" s="31"/>
      <c r="O88" s="31"/>
      <c r="P88" s="31"/>
      <c r="Q88" s="31"/>
      <c r="R88" s="31"/>
      <c r="S88" s="31"/>
      <c r="T88" s="31"/>
      <c r="U88" s="31"/>
      <c r="V88" s="31"/>
      <c r="W88" s="31"/>
      <c r="X88" s="31"/>
      <c r="Y88" s="31"/>
      <c r="Z88" s="31"/>
      <c r="AA88" s="31"/>
    </row>
    <row r="89">
      <c r="A89" s="31"/>
      <c r="B89" s="31"/>
      <c r="C89" s="233"/>
      <c r="D89" s="31"/>
      <c r="E89" s="31"/>
      <c r="F89" s="31"/>
      <c r="G89" s="31"/>
      <c r="H89" s="31"/>
      <c r="I89" s="31"/>
      <c r="J89" s="31"/>
      <c r="K89" s="31"/>
      <c r="L89" s="31"/>
      <c r="M89" s="31"/>
      <c r="N89" s="31"/>
      <c r="O89" s="31"/>
      <c r="P89" s="31"/>
      <c r="Q89" s="31"/>
      <c r="R89" s="31"/>
      <c r="S89" s="31"/>
      <c r="T89" s="31"/>
      <c r="U89" s="31"/>
      <c r="V89" s="31"/>
      <c r="W89" s="31"/>
      <c r="X89" s="31"/>
      <c r="Y89" s="31"/>
      <c r="Z89" s="31"/>
      <c r="AA89" s="31"/>
    </row>
    <row r="90">
      <c r="A90" s="31"/>
      <c r="B90" s="31"/>
      <c r="C90" s="233"/>
      <c r="D90" s="31"/>
      <c r="E90" s="31"/>
      <c r="F90" s="31"/>
      <c r="G90" s="31"/>
      <c r="H90" s="31"/>
      <c r="I90" s="31"/>
      <c r="J90" s="31"/>
      <c r="K90" s="31"/>
      <c r="L90" s="31"/>
      <c r="M90" s="31"/>
      <c r="N90" s="31"/>
      <c r="O90" s="31"/>
      <c r="P90" s="31"/>
      <c r="Q90" s="31"/>
      <c r="R90" s="31"/>
      <c r="S90" s="31"/>
      <c r="T90" s="31"/>
      <c r="U90" s="31"/>
      <c r="V90" s="31"/>
      <c r="W90" s="31"/>
      <c r="X90" s="31"/>
      <c r="Y90" s="31"/>
      <c r="Z90" s="31"/>
      <c r="AA90" s="31"/>
    </row>
    <row r="91">
      <c r="A91" s="31"/>
      <c r="B91" s="31"/>
      <c r="C91" s="233"/>
      <c r="D91" s="31"/>
      <c r="E91" s="31"/>
      <c r="F91" s="31"/>
      <c r="G91" s="31"/>
      <c r="H91" s="31"/>
      <c r="I91" s="31"/>
      <c r="J91" s="31"/>
      <c r="K91" s="31"/>
      <c r="L91" s="31"/>
      <c r="M91" s="31"/>
      <c r="N91" s="31"/>
      <c r="O91" s="31"/>
      <c r="P91" s="31"/>
      <c r="Q91" s="31"/>
      <c r="R91" s="31"/>
      <c r="S91" s="31"/>
      <c r="T91" s="31"/>
      <c r="U91" s="31"/>
      <c r="V91" s="31"/>
      <c r="W91" s="31"/>
      <c r="X91" s="31"/>
      <c r="Y91" s="31"/>
      <c r="Z91" s="31"/>
      <c r="AA91" s="31"/>
    </row>
    <row r="92">
      <c r="A92" s="31"/>
      <c r="B92" s="31"/>
      <c r="C92" s="233"/>
      <c r="D92" s="31"/>
      <c r="E92" s="31"/>
      <c r="F92" s="31"/>
      <c r="G92" s="31"/>
      <c r="H92" s="31"/>
      <c r="I92" s="31"/>
      <c r="J92" s="31"/>
      <c r="K92" s="31"/>
      <c r="L92" s="31"/>
      <c r="M92" s="31"/>
      <c r="N92" s="31"/>
      <c r="O92" s="31"/>
      <c r="P92" s="31"/>
      <c r="Q92" s="31"/>
      <c r="R92" s="31"/>
      <c r="S92" s="31"/>
      <c r="T92" s="31"/>
      <c r="U92" s="31"/>
      <c r="V92" s="31"/>
      <c r="W92" s="31"/>
      <c r="X92" s="31"/>
      <c r="Y92" s="31"/>
      <c r="Z92" s="31"/>
      <c r="AA92" s="31"/>
    </row>
    <row r="93">
      <c r="A93" s="31"/>
      <c r="B93" s="31"/>
      <c r="C93" s="233"/>
      <c r="D93" s="31"/>
      <c r="E93" s="31"/>
      <c r="F93" s="31"/>
      <c r="G93" s="31"/>
      <c r="H93" s="31"/>
      <c r="I93" s="31"/>
      <c r="J93" s="31"/>
      <c r="K93" s="31"/>
      <c r="L93" s="31"/>
      <c r="M93" s="31"/>
      <c r="N93" s="31"/>
      <c r="O93" s="31"/>
      <c r="P93" s="31"/>
      <c r="Q93" s="31"/>
      <c r="R93" s="31"/>
      <c r="S93" s="31"/>
      <c r="T93" s="31"/>
      <c r="U93" s="31"/>
      <c r="V93" s="31"/>
      <c r="W93" s="31"/>
      <c r="X93" s="31"/>
      <c r="Y93" s="31"/>
      <c r="Z93" s="31"/>
      <c r="AA93" s="31"/>
    </row>
    <row r="94">
      <c r="A94" s="31"/>
      <c r="B94" s="31"/>
      <c r="C94" s="233"/>
      <c r="D94" s="31"/>
      <c r="E94" s="31"/>
      <c r="F94" s="31"/>
      <c r="G94" s="31"/>
      <c r="H94" s="31"/>
      <c r="I94" s="31"/>
      <c r="J94" s="31"/>
      <c r="K94" s="31"/>
      <c r="L94" s="31"/>
      <c r="M94" s="31"/>
      <c r="N94" s="31"/>
      <c r="O94" s="31"/>
      <c r="P94" s="31"/>
      <c r="Q94" s="31"/>
      <c r="R94" s="31"/>
      <c r="S94" s="31"/>
      <c r="T94" s="31"/>
      <c r="U94" s="31"/>
      <c r="V94" s="31"/>
      <c r="W94" s="31"/>
      <c r="X94" s="31"/>
      <c r="Y94" s="31"/>
      <c r="Z94" s="31"/>
      <c r="AA94" s="31"/>
    </row>
    <row r="95">
      <c r="A95" s="31"/>
      <c r="B95" s="31"/>
      <c r="C95" s="233"/>
      <c r="D95" s="31"/>
      <c r="E95" s="31"/>
      <c r="F95" s="31"/>
      <c r="G95" s="31"/>
      <c r="H95" s="31"/>
      <c r="I95" s="31"/>
      <c r="J95" s="31"/>
      <c r="K95" s="31"/>
      <c r="L95" s="31"/>
      <c r="M95" s="31"/>
      <c r="N95" s="31"/>
      <c r="O95" s="31"/>
      <c r="P95" s="31"/>
      <c r="Q95" s="31"/>
      <c r="R95" s="31"/>
      <c r="S95" s="31"/>
      <c r="T95" s="31"/>
      <c r="U95" s="31"/>
      <c r="V95" s="31"/>
      <c r="W95" s="31"/>
      <c r="X95" s="31"/>
      <c r="Y95" s="31"/>
      <c r="Z95" s="31"/>
      <c r="AA95" s="31"/>
    </row>
    <row r="96">
      <c r="A96" s="31"/>
      <c r="B96" s="31"/>
      <c r="C96" s="233"/>
      <c r="D96" s="31"/>
      <c r="E96" s="31"/>
      <c r="F96" s="31"/>
      <c r="G96" s="31"/>
      <c r="H96" s="31"/>
      <c r="I96" s="31"/>
      <c r="J96" s="31"/>
      <c r="K96" s="31"/>
      <c r="L96" s="31"/>
      <c r="M96" s="31"/>
      <c r="N96" s="31"/>
      <c r="O96" s="31"/>
      <c r="P96" s="31"/>
      <c r="Q96" s="31"/>
      <c r="R96" s="31"/>
      <c r="S96" s="31"/>
      <c r="T96" s="31"/>
      <c r="U96" s="31"/>
      <c r="V96" s="31"/>
      <c r="W96" s="31"/>
      <c r="X96" s="31"/>
      <c r="Y96" s="31"/>
      <c r="Z96" s="31"/>
      <c r="AA96" s="31"/>
    </row>
    <row r="97">
      <c r="A97" s="31"/>
      <c r="B97" s="31"/>
      <c r="C97" s="233"/>
      <c r="D97" s="31"/>
      <c r="E97" s="31"/>
      <c r="F97" s="31"/>
      <c r="G97" s="31"/>
      <c r="H97" s="31"/>
      <c r="I97" s="31"/>
      <c r="J97" s="31"/>
      <c r="K97" s="31"/>
      <c r="L97" s="31"/>
      <c r="M97" s="31"/>
      <c r="N97" s="31"/>
      <c r="O97" s="31"/>
      <c r="P97" s="31"/>
      <c r="Q97" s="31"/>
      <c r="R97" s="31"/>
      <c r="S97" s="31"/>
      <c r="T97" s="31"/>
      <c r="U97" s="31"/>
      <c r="V97" s="31"/>
      <c r="W97" s="31"/>
      <c r="X97" s="31"/>
      <c r="Y97" s="31"/>
      <c r="Z97" s="31"/>
      <c r="AA97" s="31"/>
    </row>
    <row r="98">
      <c r="A98" s="31"/>
      <c r="B98" s="31"/>
      <c r="C98" s="233"/>
      <c r="D98" s="31"/>
      <c r="E98" s="31"/>
      <c r="F98" s="31"/>
      <c r="G98" s="31"/>
      <c r="H98" s="31"/>
      <c r="I98" s="31"/>
      <c r="J98" s="31"/>
      <c r="K98" s="31"/>
      <c r="L98" s="31"/>
      <c r="M98" s="31"/>
      <c r="N98" s="31"/>
      <c r="O98" s="31"/>
      <c r="P98" s="31"/>
      <c r="Q98" s="31"/>
      <c r="R98" s="31"/>
      <c r="S98" s="31"/>
      <c r="T98" s="31"/>
      <c r="U98" s="31"/>
      <c r="V98" s="31"/>
      <c r="W98" s="31"/>
      <c r="X98" s="31"/>
      <c r="Y98" s="31"/>
      <c r="Z98" s="31"/>
      <c r="AA98" s="31"/>
    </row>
    <row r="99">
      <c r="A99" s="31"/>
      <c r="B99" s="31"/>
      <c r="C99" s="233"/>
      <c r="D99" s="31"/>
      <c r="E99" s="31"/>
      <c r="F99" s="31"/>
      <c r="G99" s="31"/>
      <c r="H99" s="31"/>
      <c r="I99" s="31"/>
      <c r="J99" s="31"/>
      <c r="K99" s="31"/>
      <c r="L99" s="31"/>
      <c r="M99" s="31"/>
      <c r="N99" s="31"/>
      <c r="O99" s="31"/>
      <c r="P99" s="31"/>
      <c r="Q99" s="31"/>
      <c r="R99" s="31"/>
      <c r="S99" s="31"/>
      <c r="T99" s="31"/>
      <c r="U99" s="31"/>
      <c r="V99" s="31"/>
      <c r="W99" s="31"/>
      <c r="X99" s="31"/>
      <c r="Y99" s="31"/>
      <c r="Z99" s="31"/>
      <c r="AA99" s="31"/>
    </row>
    <row r="100">
      <c r="A100" s="31"/>
      <c r="B100" s="31"/>
      <c r="C100" s="233"/>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row>
    <row r="101">
      <c r="A101" s="31"/>
      <c r="B101" s="31"/>
      <c r="C101" s="233"/>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row>
    <row r="102">
      <c r="A102" s="31"/>
      <c r="B102" s="31"/>
      <c r="C102" s="233"/>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row>
    <row r="103">
      <c r="A103" s="31"/>
      <c r="B103" s="31"/>
      <c r="C103" s="233"/>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row>
    <row r="104">
      <c r="A104" s="31"/>
      <c r="B104" s="31"/>
      <c r="C104" s="233"/>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row>
    <row r="105">
      <c r="A105" s="31"/>
      <c r="B105" s="31"/>
      <c r="C105" s="233"/>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row>
    <row r="106">
      <c r="A106" s="31"/>
      <c r="B106" s="31"/>
      <c r="C106" s="233"/>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row>
    <row r="107">
      <c r="A107" s="31"/>
      <c r="B107" s="31"/>
      <c r="C107" s="233"/>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row>
    <row r="108">
      <c r="A108" s="31"/>
      <c r="B108" s="31"/>
      <c r="C108" s="233"/>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row>
    <row r="109">
      <c r="A109" s="31"/>
      <c r="B109" s="31"/>
      <c r="C109" s="233"/>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row>
    <row r="110">
      <c r="A110" s="31"/>
      <c r="B110" s="31"/>
      <c r="C110" s="233"/>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row>
    <row r="111">
      <c r="A111" s="31"/>
      <c r="B111" s="31"/>
      <c r="C111" s="233"/>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row>
    <row r="112">
      <c r="A112" s="31"/>
      <c r="B112" s="31"/>
      <c r="C112" s="233"/>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row>
    <row r="113">
      <c r="A113" s="31"/>
      <c r="B113" s="31"/>
      <c r="C113" s="233"/>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row>
    <row r="114">
      <c r="A114" s="31"/>
      <c r="B114" s="31"/>
      <c r="C114" s="233"/>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row>
    <row r="115">
      <c r="A115" s="31"/>
      <c r="B115" s="31"/>
      <c r="C115" s="233"/>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row>
    <row r="116">
      <c r="A116" s="31"/>
      <c r="B116" s="31"/>
      <c r="C116" s="233"/>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row>
    <row r="117">
      <c r="A117" s="31"/>
      <c r="B117" s="31"/>
      <c r="C117" s="233"/>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row>
    <row r="118">
      <c r="A118" s="31"/>
      <c r="B118" s="31"/>
      <c r="C118" s="233"/>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row>
    <row r="119">
      <c r="A119" s="31"/>
      <c r="B119" s="31"/>
      <c r="C119" s="233"/>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row>
    <row r="120">
      <c r="A120" s="31"/>
      <c r="B120" s="31"/>
      <c r="C120" s="233"/>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row>
    <row r="121">
      <c r="A121" s="31"/>
      <c r="B121" s="31"/>
      <c r="C121" s="233"/>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row>
    <row r="122">
      <c r="A122" s="31"/>
      <c r="B122" s="31"/>
      <c r="C122" s="233"/>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row>
    <row r="123">
      <c r="A123" s="31"/>
      <c r="B123" s="31"/>
      <c r="C123" s="233"/>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row>
    <row r="124">
      <c r="A124" s="31"/>
      <c r="B124" s="31"/>
      <c r="C124" s="233"/>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row>
    <row r="125">
      <c r="A125" s="31"/>
      <c r="B125" s="31"/>
      <c r="C125" s="233"/>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row>
    <row r="126">
      <c r="A126" s="31"/>
      <c r="B126" s="31"/>
      <c r="C126" s="233"/>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row>
    <row r="127">
      <c r="A127" s="31"/>
      <c r="B127" s="31"/>
      <c r="C127" s="233"/>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row>
    <row r="128">
      <c r="A128" s="31"/>
      <c r="B128" s="31"/>
      <c r="C128" s="233"/>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row>
    <row r="129">
      <c r="A129" s="31"/>
      <c r="B129" s="31"/>
      <c r="C129" s="233"/>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row>
    <row r="130">
      <c r="A130" s="31"/>
      <c r="B130" s="31"/>
      <c r="C130" s="233"/>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row>
    <row r="131">
      <c r="A131" s="31"/>
      <c r="B131" s="31"/>
      <c r="C131" s="233"/>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row>
    <row r="132">
      <c r="A132" s="31"/>
      <c r="B132" s="31"/>
      <c r="C132" s="233"/>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row>
    <row r="133">
      <c r="A133" s="31"/>
      <c r="B133" s="31"/>
      <c r="C133" s="233"/>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row>
    <row r="134">
      <c r="A134" s="31"/>
      <c r="B134" s="31"/>
      <c r="C134" s="233"/>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row>
    <row r="135">
      <c r="A135" s="31"/>
      <c r="B135" s="31"/>
      <c r="C135" s="233"/>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row>
    <row r="136">
      <c r="A136" s="31"/>
      <c r="B136" s="31"/>
      <c r="C136" s="233"/>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row>
    <row r="137">
      <c r="A137" s="31"/>
      <c r="B137" s="31"/>
      <c r="C137" s="233"/>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row>
    <row r="138">
      <c r="A138" s="31"/>
      <c r="B138" s="31"/>
      <c r="C138" s="233"/>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row>
    <row r="139">
      <c r="A139" s="31"/>
      <c r="B139" s="31"/>
      <c r="C139" s="233"/>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row>
    <row r="140">
      <c r="A140" s="31"/>
      <c r="B140" s="31"/>
      <c r="C140" s="233"/>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row>
    <row r="141">
      <c r="A141" s="31"/>
      <c r="B141" s="31"/>
      <c r="C141" s="233"/>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row>
    <row r="142">
      <c r="A142" s="31"/>
      <c r="B142" s="31"/>
      <c r="C142" s="233"/>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row>
    <row r="143">
      <c r="A143" s="31"/>
      <c r="B143" s="31"/>
      <c r="C143" s="233"/>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row>
    <row r="144">
      <c r="A144" s="31"/>
      <c r="B144" s="31"/>
      <c r="C144" s="233"/>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row>
    <row r="145">
      <c r="A145" s="31"/>
      <c r="B145" s="31"/>
      <c r="C145" s="233"/>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row>
    <row r="146">
      <c r="A146" s="31"/>
      <c r="B146" s="31"/>
      <c r="C146" s="233"/>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row>
    <row r="147">
      <c r="A147" s="31"/>
      <c r="B147" s="31"/>
      <c r="C147" s="233"/>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row>
    <row r="148">
      <c r="A148" s="31"/>
      <c r="B148" s="31"/>
      <c r="C148" s="233"/>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row>
    <row r="149">
      <c r="A149" s="31"/>
      <c r="B149" s="31"/>
      <c r="C149" s="233"/>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row>
    <row r="150">
      <c r="A150" s="31"/>
      <c r="B150" s="31"/>
      <c r="C150" s="233"/>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row>
    <row r="151">
      <c r="A151" s="31"/>
      <c r="B151" s="31"/>
      <c r="C151" s="233"/>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row>
    <row r="152">
      <c r="A152" s="31"/>
      <c r="B152" s="31"/>
      <c r="C152" s="233"/>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row>
    <row r="153">
      <c r="A153" s="31"/>
      <c r="B153" s="31"/>
      <c r="C153" s="233"/>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row>
    <row r="154">
      <c r="A154" s="31"/>
      <c r="B154" s="31"/>
      <c r="C154" s="233"/>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row>
    <row r="155">
      <c r="A155" s="31"/>
      <c r="B155" s="31"/>
      <c r="C155" s="233"/>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row>
    <row r="156">
      <c r="A156" s="31"/>
      <c r="B156" s="31"/>
      <c r="C156" s="233"/>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row>
    <row r="157">
      <c r="A157" s="31"/>
      <c r="B157" s="31"/>
      <c r="C157" s="233"/>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row>
    <row r="158">
      <c r="A158" s="31"/>
      <c r="B158" s="31"/>
      <c r="C158" s="233"/>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row>
    <row r="159">
      <c r="A159" s="31"/>
      <c r="B159" s="31"/>
      <c r="C159" s="233"/>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row>
    <row r="160">
      <c r="A160" s="31"/>
      <c r="B160" s="31"/>
      <c r="C160" s="233"/>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row>
    <row r="161">
      <c r="A161" s="31"/>
      <c r="B161" s="31"/>
      <c r="C161" s="233"/>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row>
    <row r="162">
      <c r="A162" s="31"/>
      <c r="B162" s="31"/>
      <c r="C162" s="233"/>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row>
    <row r="163">
      <c r="A163" s="31"/>
      <c r="B163" s="31"/>
      <c r="C163" s="233"/>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row>
    <row r="164">
      <c r="A164" s="31"/>
      <c r="B164" s="31"/>
      <c r="C164" s="233"/>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row>
    <row r="165">
      <c r="A165" s="31"/>
      <c r="B165" s="31"/>
      <c r="C165" s="233"/>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row>
    <row r="166">
      <c r="A166" s="31"/>
      <c r="B166" s="31"/>
      <c r="C166" s="233"/>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row>
    <row r="167">
      <c r="A167" s="31"/>
      <c r="B167" s="31"/>
      <c r="C167" s="233"/>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row>
    <row r="168">
      <c r="A168" s="31"/>
      <c r="B168" s="31"/>
      <c r="C168" s="233"/>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row>
    <row r="169">
      <c r="A169" s="31"/>
      <c r="B169" s="31"/>
      <c r="C169" s="233"/>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row>
    <row r="170">
      <c r="A170" s="31"/>
      <c r="B170" s="31"/>
      <c r="C170" s="233"/>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row>
    <row r="171">
      <c r="A171" s="31"/>
      <c r="B171" s="31"/>
      <c r="C171" s="233"/>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row>
    <row r="172">
      <c r="A172" s="31"/>
      <c r="B172" s="31"/>
      <c r="C172" s="233"/>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row>
    <row r="173">
      <c r="A173" s="31"/>
      <c r="B173" s="31"/>
      <c r="C173" s="233"/>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row>
    <row r="174">
      <c r="A174" s="31"/>
      <c r="B174" s="31"/>
      <c r="C174" s="233"/>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row>
    <row r="175">
      <c r="A175" s="31"/>
      <c r="B175" s="31"/>
      <c r="C175" s="233"/>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row>
    <row r="176">
      <c r="A176" s="31"/>
      <c r="B176" s="31"/>
      <c r="C176" s="233"/>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row>
    <row r="177">
      <c r="A177" s="31"/>
      <c r="B177" s="31"/>
      <c r="C177" s="233"/>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row>
    <row r="178">
      <c r="A178" s="31"/>
      <c r="B178" s="31"/>
      <c r="C178" s="233"/>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row>
    <row r="179">
      <c r="A179" s="31"/>
      <c r="B179" s="31"/>
      <c r="C179" s="233"/>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row>
    <row r="180">
      <c r="A180" s="31"/>
      <c r="B180" s="31"/>
      <c r="C180" s="233"/>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row>
    <row r="181">
      <c r="A181" s="31"/>
      <c r="B181" s="31"/>
      <c r="C181" s="233"/>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row>
    <row r="182">
      <c r="A182" s="31"/>
      <c r="B182" s="31"/>
      <c r="C182" s="233"/>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row>
    <row r="183">
      <c r="A183" s="31"/>
      <c r="B183" s="31"/>
      <c r="C183" s="233"/>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row>
    <row r="184">
      <c r="A184" s="31"/>
      <c r="B184" s="31"/>
      <c r="C184" s="233"/>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row>
    <row r="185">
      <c r="A185" s="31"/>
      <c r="B185" s="31"/>
      <c r="C185" s="233"/>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row>
    <row r="186">
      <c r="A186" s="31"/>
      <c r="B186" s="31"/>
      <c r="C186" s="233"/>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row>
    <row r="187">
      <c r="A187" s="31"/>
      <c r="B187" s="31"/>
      <c r="C187" s="233"/>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row>
    <row r="188">
      <c r="A188" s="31"/>
      <c r="B188" s="31"/>
      <c r="C188" s="233"/>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row>
    <row r="189">
      <c r="A189" s="31"/>
      <c r="B189" s="31"/>
      <c r="C189" s="233"/>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row>
    <row r="190">
      <c r="A190" s="31"/>
      <c r="B190" s="31"/>
      <c r="C190" s="233"/>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row>
    <row r="191">
      <c r="A191" s="31"/>
      <c r="B191" s="31"/>
      <c r="C191" s="233"/>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row>
    <row r="192">
      <c r="A192" s="31"/>
      <c r="B192" s="31"/>
      <c r="C192" s="233"/>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row>
    <row r="193">
      <c r="A193" s="31"/>
      <c r="B193" s="31"/>
      <c r="C193" s="233"/>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row>
    <row r="194">
      <c r="A194" s="31"/>
      <c r="B194" s="31"/>
      <c r="C194" s="233"/>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row>
    <row r="195">
      <c r="A195" s="31"/>
      <c r="B195" s="31"/>
      <c r="C195" s="233"/>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row>
    <row r="196">
      <c r="A196" s="31"/>
      <c r="B196" s="31"/>
      <c r="C196" s="233"/>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row>
    <row r="197">
      <c r="A197" s="31"/>
      <c r="B197" s="31"/>
      <c r="C197" s="233"/>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row>
    <row r="198">
      <c r="A198" s="31"/>
      <c r="B198" s="31"/>
      <c r="C198" s="233"/>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row>
    <row r="199">
      <c r="A199" s="31"/>
      <c r="B199" s="31"/>
      <c r="C199" s="233"/>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row>
    <row r="200">
      <c r="A200" s="31"/>
      <c r="B200" s="31"/>
      <c r="C200" s="233"/>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row>
    <row r="201">
      <c r="A201" s="31"/>
      <c r="B201" s="31"/>
      <c r="C201" s="233"/>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row>
    <row r="202">
      <c r="A202" s="31"/>
      <c r="B202" s="31"/>
      <c r="C202" s="233"/>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row>
    <row r="203">
      <c r="A203" s="31"/>
      <c r="B203" s="31"/>
      <c r="C203" s="233"/>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row>
    <row r="204">
      <c r="A204" s="31"/>
      <c r="B204" s="31"/>
      <c r="C204" s="233"/>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row>
    <row r="205">
      <c r="A205" s="31"/>
      <c r="B205" s="31"/>
      <c r="C205" s="233"/>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row>
    <row r="206">
      <c r="A206" s="31"/>
      <c r="B206" s="31"/>
      <c r="C206" s="233"/>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row>
    <row r="207">
      <c r="A207" s="31"/>
      <c r="B207" s="31"/>
      <c r="C207" s="233"/>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row>
    <row r="208">
      <c r="A208" s="31"/>
      <c r="B208" s="31"/>
      <c r="C208" s="233"/>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row>
    <row r="209">
      <c r="A209" s="31"/>
      <c r="B209" s="31"/>
      <c r="C209" s="233"/>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row>
    <row r="210">
      <c r="A210" s="31"/>
      <c r="B210" s="31"/>
      <c r="C210" s="233"/>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row>
    <row r="211">
      <c r="A211" s="31"/>
      <c r="B211" s="31"/>
      <c r="C211" s="233"/>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row>
    <row r="212">
      <c r="A212" s="31"/>
      <c r="B212" s="31"/>
      <c r="C212" s="233"/>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row>
    <row r="213">
      <c r="A213" s="31"/>
      <c r="B213" s="31"/>
      <c r="C213" s="233"/>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row>
    <row r="214">
      <c r="A214" s="31"/>
      <c r="B214" s="31"/>
      <c r="C214" s="233"/>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row>
    <row r="215">
      <c r="A215" s="31"/>
      <c r="B215" s="31"/>
      <c r="C215" s="233"/>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row>
    <row r="216">
      <c r="A216" s="31"/>
      <c r="B216" s="31"/>
      <c r="C216" s="233"/>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row>
    <row r="217">
      <c r="A217" s="31"/>
      <c r="B217" s="31"/>
      <c r="C217" s="233"/>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row>
    <row r="218">
      <c r="A218" s="31"/>
      <c r="B218" s="31"/>
      <c r="C218" s="233"/>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row>
    <row r="219">
      <c r="A219" s="31"/>
      <c r="B219" s="31"/>
      <c r="C219" s="233"/>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row>
    <row r="220">
      <c r="A220" s="31"/>
      <c r="B220" s="31"/>
      <c r="C220" s="233"/>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row>
    <row r="221">
      <c r="A221" s="31"/>
      <c r="B221" s="31"/>
      <c r="C221" s="233"/>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row>
    <row r="222">
      <c r="A222" s="31"/>
      <c r="B222" s="31"/>
      <c r="C222" s="233"/>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row>
    <row r="223">
      <c r="A223" s="31"/>
      <c r="B223" s="31"/>
      <c r="C223" s="233"/>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row>
    <row r="224">
      <c r="A224" s="31"/>
      <c r="B224" s="31"/>
      <c r="C224" s="233"/>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row>
    <row r="225">
      <c r="A225" s="31"/>
      <c r="B225" s="31"/>
      <c r="C225" s="233"/>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row>
    <row r="226">
      <c r="A226" s="31"/>
      <c r="B226" s="31"/>
      <c r="C226" s="233"/>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row>
    <row r="227">
      <c r="A227" s="31"/>
      <c r="B227" s="31"/>
      <c r="C227" s="233"/>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row>
    <row r="228">
      <c r="A228" s="31"/>
      <c r="B228" s="31"/>
      <c r="C228" s="233"/>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row>
    <row r="229">
      <c r="A229" s="31"/>
      <c r="B229" s="31"/>
      <c r="C229" s="233"/>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row>
    <row r="230">
      <c r="A230" s="31"/>
      <c r="B230" s="31"/>
      <c r="C230" s="233"/>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row>
    <row r="231">
      <c r="A231" s="31"/>
      <c r="B231" s="31"/>
      <c r="C231" s="233"/>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row>
    <row r="232">
      <c r="A232" s="31"/>
      <c r="B232" s="31"/>
      <c r="C232" s="233"/>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row>
    <row r="233">
      <c r="A233" s="31"/>
      <c r="B233" s="31"/>
      <c r="C233" s="233"/>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row>
    <row r="234">
      <c r="A234" s="31"/>
      <c r="B234" s="31"/>
      <c r="C234" s="233"/>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row>
    <row r="235">
      <c r="A235" s="31"/>
      <c r="B235" s="31"/>
      <c r="C235" s="233"/>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row>
    <row r="236">
      <c r="A236" s="31"/>
      <c r="B236" s="31"/>
      <c r="C236" s="233"/>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row>
    <row r="237">
      <c r="A237" s="31"/>
      <c r="B237" s="31"/>
      <c r="C237" s="233"/>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row>
    <row r="238">
      <c r="A238" s="31"/>
      <c r="B238" s="31"/>
      <c r="C238" s="233"/>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row>
    <row r="239">
      <c r="A239" s="31"/>
      <c r="B239" s="31"/>
      <c r="C239" s="233"/>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row>
    <row r="240">
      <c r="A240" s="31"/>
      <c r="B240" s="31"/>
      <c r="C240" s="233"/>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row>
    <row r="241">
      <c r="A241" s="31"/>
      <c r="B241" s="31"/>
      <c r="C241" s="233"/>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row>
    <row r="242">
      <c r="A242" s="31"/>
      <c r="B242" s="31"/>
      <c r="C242" s="233"/>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row>
    <row r="243">
      <c r="A243" s="31"/>
      <c r="B243" s="31"/>
      <c r="C243" s="233"/>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row>
    <row r="244">
      <c r="A244" s="31"/>
      <c r="B244" s="31"/>
      <c r="C244" s="233"/>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row>
    <row r="245">
      <c r="A245" s="31"/>
      <c r="B245" s="31"/>
      <c r="C245" s="233"/>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row>
    <row r="246">
      <c r="A246" s="31"/>
      <c r="B246" s="31"/>
      <c r="C246" s="233"/>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row>
    <row r="247">
      <c r="A247" s="31"/>
      <c r="B247" s="31"/>
      <c r="C247" s="233"/>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row>
    <row r="248">
      <c r="A248" s="31"/>
      <c r="B248" s="31"/>
      <c r="C248" s="233"/>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row>
    <row r="249">
      <c r="A249" s="31"/>
      <c r="B249" s="31"/>
      <c r="C249" s="233"/>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row>
    <row r="250">
      <c r="A250" s="31"/>
      <c r="B250" s="31"/>
      <c r="C250" s="233"/>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row>
    <row r="251">
      <c r="A251" s="31"/>
      <c r="B251" s="31"/>
      <c r="C251" s="233"/>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row>
    <row r="252">
      <c r="A252" s="31"/>
      <c r="B252" s="31"/>
      <c r="C252" s="233"/>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row>
    <row r="253">
      <c r="A253" s="31"/>
      <c r="B253" s="31"/>
      <c r="C253" s="233"/>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row>
    <row r="254">
      <c r="A254" s="31"/>
      <c r="B254" s="31"/>
      <c r="C254" s="233"/>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row>
    <row r="255">
      <c r="A255" s="31"/>
      <c r="B255" s="31"/>
      <c r="C255" s="233"/>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row>
    <row r="256">
      <c r="A256" s="31"/>
      <c r="B256" s="31"/>
      <c r="C256" s="233"/>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row>
    <row r="257">
      <c r="A257" s="31"/>
      <c r="B257" s="31"/>
      <c r="C257" s="233"/>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row>
    <row r="258">
      <c r="A258" s="31"/>
      <c r="B258" s="31"/>
      <c r="C258" s="233"/>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row>
    <row r="259">
      <c r="A259" s="31"/>
      <c r="B259" s="31"/>
      <c r="C259" s="233"/>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row>
    <row r="260">
      <c r="A260" s="31"/>
      <c r="B260" s="31"/>
      <c r="C260" s="233"/>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row>
    <row r="261">
      <c r="A261" s="31"/>
      <c r="B261" s="31"/>
      <c r="C261" s="233"/>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row>
    <row r="262">
      <c r="A262" s="31"/>
      <c r="B262" s="31"/>
      <c r="C262" s="233"/>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row>
    <row r="263">
      <c r="A263" s="31"/>
      <c r="B263" s="31"/>
      <c r="C263" s="233"/>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row>
    <row r="264">
      <c r="A264" s="31"/>
      <c r="B264" s="31"/>
      <c r="C264" s="233"/>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row>
    <row r="265">
      <c r="A265" s="31"/>
      <c r="B265" s="31"/>
      <c r="C265" s="233"/>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row>
    <row r="266">
      <c r="A266" s="31"/>
      <c r="B266" s="31"/>
      <c r="C266" s="233"/>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row>
    <row r="267">
      <c r="A267" s="31"/>
      <c r="B267" s="31"/>
      <c r="C267" s="233"/>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row>
    <row r="268">
      <c r="A268" s="31"/>
      <c r="B268" s="31"/>
      <c r="C268" s="233"/>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row>
    <row r="269">
      <c r="A269" s="31"/>
      <c r="B269" s="31"/>
      <c r="C269" s="233"/>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row>
    <row r="270">
      <c r="A270" s="31"/>
      <c r="B270" s="31"/>
      <c r="C270" s="233"/>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row>
    <row r="271">
      <c r="A271" s="31"/>
      <c r="B271" s="31"/>
      <c r="C271" s="233"/>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row>
    <row r="272">
      <c r="A272" s="31"/>
      <c r="B272" s="31"/>
      <c r="C272" s="233"/>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row>
    <row r="273">
      <c r="A273" s="31"/>
      <c r="B273" s="31"/>
      <c r="C273" s="233"/>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row>
    <row r="274">
      <c r="A274" s="31"/>
      <c r="B274" s="31"/>
      <c r="C274" s="233"/>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row>
    <row r="275">
      <c r="A275" s="31"/>
      <c r="B275" s="31"/>
      <c r="C275" s="233"/>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row>
    <row r="276">
      <c r="A276" s="31"/>
      <c r="B276" s="31"/>
      <c r="C276" s="233"/>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row>
    <row r="277">
      <c r="A277" s="31"/>
      <c r="B277" s="31"/>
      <c r="C277" s="233"/>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row>
    <row r="278">
      <c r="A278" s="31"/>
      <c r="B278" s="31"/>
      <c r="C278" s="233"/>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row>
    <row r="279">
      <c r="A279" s="31"/>
      <c r="B279" s="31"/>
      <c r="C279" s="233"/>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row>
    <row r="280">
      <c r="A280" s="31"/>
      <c r="B280" s="31"/>
      <c r="C280" s="233"/>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row>
    <row r="281">
      <c r="A281" s="31"/>
      <c r="B281" s="31"/>
      <c r="C281" s="233"/>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row>
    <row r="282">
      <c r="A282" s="31"/>
      <c r="B282" s="31"/>
      <c r="C282" s="233"/>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row>
    <row r="283">
      <c r="A283" s="31"/>
      <c r="B283" s="31"/>
      <c r="C283" s="233"/>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row>
    <row r="284">
      <c r="A284" s="31"/>
      <c r="B284" s="31"/>
      <c r="C284" s="233"/>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row>
    <row r="285">
      <c r="A285" s="31"/>
      <c r="B285" s="31"/>
      <c r="C285" s="233"/>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row>
    <row r="286">
      <c r="A286" s="31"/>
      <c r="B286" s="31"/>
      <c r="C286" s="233"/>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row>
    <row r="287">
      <c r="A287" s="31"/>
      <c r="B287" s="31"/>
      <c r="C287" s="233"/>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row>
    <row r="288">
      <c r="A288" s="31"/>
      <c r="B288" s="31"/>
      <c r="C288" s="233"/>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row>
    <row r="289">
      <c r="A289" s="31"/>
      <c r="B289" s="31"/>
      <c r="C289" s="233"/>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row>
    <row r="290">
      <c r="A290" s="31"/>
      <c r="B290" s="31"/>
      <c r="C290" s="233"/>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row>
    <row r="291">
      <c r="A291" s="31"/>
      <c r="B291" s="31"/>
      <c r="C291" s="233"/>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row>
    <row r="292">
      <c r="A292" s="31"/>
      <c r="B292" s="31"/>
      <c r="C292" s="233"/>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row>
    <row r="293">
      <c r="A293" s="31"/>
      <c r="B293" s="31"/>
      <c r="C293" s="233"/>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row>
    <row r="294">
      <c r="A294" s="31"/>
      <c r="B294" s="31"/>
      <c r="C294" s="233"/>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row>
    <row r="295">
      <c r="A295" s="31"/>
      <c r="B295" s="31"/>
      <c r="C295" s="233"/>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row>
    <row r="296">
      <c r="A296" s="31"/>
      <c r="B296" s="31"/>
      <c r="C296" s="233"/>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row>
    <row r="297">
      <c r="A297" s="31"/>
      <c r="B297" s="31"/>
      <c r="C297" s="233"/>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row>
    <row r="298">
      <c r="A298" s="31"/>
      <c r="B298" s="31"/>
      <c r="C298" s="233"/>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row>
    <row r="299">
      <c r="A299" s="31"/>
      <c r="B299" s="31"/>
      <c r="C299" s="233"/>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row>
    <row r="300">
      <c r="A300" s="31"/>
      <c r="B300" s="31"/>
      <c r="C300" s="233"/>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row>
    <row r="301">
      <c r="A301" s="31"/>
      <c r="B301" s="31"/>
      <c r="C301" s="233"/>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row>
    <row r="302">
      <c r="A302" s="31"/>
      <c r="B302" s="31"/>
      <c r="C302" s="233"/>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row>
    <row r="303">
      <c r="A303" s="31"/>
      <c r="B303" s="31"/>
      <c r="C303" s="233"/>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row>
    <row r="304">
      <c r="A304" s="31"/>
      <c r="B304" s="31"/>
      <c r="C304" s="233"/>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row>
    <row r="305">
      <c r="A305" s="31"/>
      <c r="B305" s="31"/>
      <c r="C305" s="233"/>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row>
    <row r="306">
      <c r="A306" s="31"/>
      <c r="B306" s="31"/>
      <c r="C306" s="233"/>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row>
    <row r="307">
      <c r="A307" s="31"/>
      <c r="B307" s="31"/>
      <c r="C307" s="233"/>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row>
    <row r="308">
      <c r="A308" s="31"/>
      <c r="B308" s="31"/>
      <c r="C308" s="233"/>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row>
    <row r="309">
      <c r="A309" s="31"/>
      <c r="B309" s="31"/>
      <c r="C309" s="233"/>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row>
    <row r="310">
      <c r="A310" s="31"/>
      <c r="B310" s="31"/>
      <c r="C310" s="233"/>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row>
    <row r="311">
      <c r="A311" s="31"/>
      <c r="B311" s="31"/>
      <c r="C311" s="233"/>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row>
    <row r="312">
      <c r="A312" s="31"/>
      <c r="B312" s="31"/>
      <c r="C312" s="233"/>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row>
    <row r="313">
      <c r="A313" s="31"/>
      <c r="B313" s="31"/>
      <c r="C313" s="233"/>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row>
    <row r="314">
      <c r="A314" s="31"/>
      <c r="B314" s="31"/>
      <c r="C314" s="233"/>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row>
    <row r="315">
      <c r="A315" s="31"/>
      <c r="B315" s="31"/>
      <c r="C315" s="233"/>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row>
    <row r="316">
      <c r="A316" s="31"/>
      <c r="B316" s="31"/>
      <c r="C316" s="233"/>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row>
    <row r="317">
      <c r="A317" s="31"/>
      <c r="B317" s="31"/>
      <c r="C317" s="233"/>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row>
    <row r="318">
      <c r="A318" s="31"/>
      <c r="B318" s="31"/>
      <c r="C318" s="233"/>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row>
    <row r="319">
      <c r="A319" s="31"/>
      <c r="B319" s="31"/>
      <c r="C319" s="233"/>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row>
    <row r="320">
      <c r="A320" s="31"/>
      <c r="B320" s="31"/>
      <c r="C320" s="233"/>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row>
    <row r="321">
      <c r="A321" s="31"/>
      <c r="B321" s="31"/>
      <c r="C321" s="233"/>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row>
    <row r="322">
      <c r="A322" s="31"/>
      <c r="B322" s="31"/>
      <c r="C322" s="233"/>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row>
    <row r="323">
      <c r="A323" s="31"/>
      <c r="B323" s="31"/>
      <c r="C323" s="233"/>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row>
    <row r="324">
      <c r="A324" s="31"/>
      <c r="B324" s="31"/>
      <c r="C324" s="233"/>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row>
    <row r="325">
      <c r="A325" s="31"/>
      <c r="B325" s="31"/>
      <c r="C325" s="233"/>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row>
    <row r="326">
      <c r="A326" s="31"/>
      <c r="B326" s="31"/>
      <c r="C326" s="233"/>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row>
    <row r="327">
      <c r="A327" s="31"/>
      <c r="B327" s="31"/>
      <c r="C327" s="233"/>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row>
    <row r="328">
      <c r="A328" s="31"/>
      <c r="B328" s="31"/>
      <c r="C328" s="233"/>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row>
    <row r="329">
      <c r="A329" s="31"/>
      <c r="B329" s="31"/>
      <c r="C329" s="233"/>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row>
    <row r="330">
      <c r="A330" s="31"/>
      <c r="B330" s="31"/>
      <c r="C330" s="233"/>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row>
    <row r="331">
      <c r="A331" s="31"/>
      <c r="B331" s="31"/>
      <c r="C331" s="233"/>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row>
    <row r="332">
      <c r="A332" s="31"/>
      <c r="B332" s="31"/>
      <c r="C332" s="233"/>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row>
    <row r="333">
      <c r="A333" s="31"/>
      <c r="B333" s="31"/>
      <c r="C333" s="233"/>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row>
    <row r="334">
      <c r="A334" s="31"/>
      <c r="B334" s="31"/>
      <c r="C334" s="233"/>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row>
    <row r="335">
      <c r="A335" s="31"/>
      <c r="B335" s="31"/>
      <c r="C335" s="233"/>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row>
    <row r="336">
      <c r="A336" s="31"/>
      <c r="B336" s="31"/>
      <c r="C336" s="233"/>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row>
    <row r="337">
      <c r="A337" s="31"/>
      <c r="B337" s="31"/>
      <c r="C337" s="233"/>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row>
    <row r="338">
      <c r="A338" s="31"/>
      <c r="B338" s="31"/>
      <c r="C338" s="233"/>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row>
    <row r="339">
      <c r="A339" s="31"/>
      <c r="B339" s="31"/>
      <c r="C339" s="233"/>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row>
    <row r="340">
      <c r="A340" s="31"/>
      <c r="B340" s="31"/>
      <c r="C340" s="233"/>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row>
    <row r="341">
      <c r="A341" s="31"/>
      <c r="B341" s="31"/>
      <c r="C341" s="233"/>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row>
    <row r="342">
      <c r="A342" s="31"/>
      <c r="B342" s="31"/>
      <c r="C342" s="233"/>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row>
    <row r="343">
      <c r="A343" s="31"/>
      <c r="B343" s="31"/>
      <c r="C343" s="233"/>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row>
    <row r="344">
      <c r="A344" s="31"/>
      <c r="B344" s="31"/>
      <c r="C344" s="233"/>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row>
    <row r="345">
      <c r="A345" s="31"/>
      <c r="B345" s="31"/>
      <c r="C345" s="233"/>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row>
    <row r="346">
      <c r="A346" s="31"/>
      <c r="B346" s="31"/>
      <c r="C346" s="233"/>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row>
    <row r="347">
      <c r="A347" s="31"/>
      <c r="B347" s="31"/>
      <c r="C347" s="233"/>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row>
    <row r="348">
      <c r="A348" s="31"/>
      <c r="B348" s="31"/>
      <c r="C348" s="233"/>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row>
    <row r="349">
      <c r="A349" s="31"/>
      <c r="B349" s="31"/>
      <c r="C349" s="233"/>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row>
    <row r="350">
      <c r="A350" s="31"/>
      <c r="B350" s="31"/>
      <c r="C350" s="233"/>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row>
    <row r="351">
      <c r="A351" s="31"/>
      <c r="B351" s="31"/>
      <c r="C351" s="233"/>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row>
    <row r="352">
      <c r="A352" s="31"/>
      <c r="B352" s="31"/>
      <c r="C352" s="233"/>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row>
    <row r="353">
      <c r="A353" s="31"/>
      <c r="B353" s="31"/>
      <c r="C353" s="233"/>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row>
    <row r="354">
      <c r="A354" s="31"/>
      <c r="B354" s="31"/>
      <c r="C354" s="233"/>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row>
    <row r="355">
      <c r="A355" s="31"/>
      <c r="B355" s="31"/>
      <c r="C355" s="233"/>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row>
    <row r="356">
      <c r="A356" s="31"/>
      <c r="B356" s="31"/>
      <c r="C356" s="233"/>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row>
    <row r="357">
      <c r="A357" s="31"/>
      <c r="B357" s="31"/>
      <c r="C357" s="233"/>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row>
    <row r="358">
      <c r="A358" s="31"/>
      <c r="B358" s="31"/>
      <c r="C358" s="233"/>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row>
    <row r="359">
      <c r="A359" s="31"/>
      <c r="B359" s="31"/>
      <c r="C359" s="233"/>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row>
    <row r="360">
      <c r="A360" s="31"/>
      <c r="B360" s="31"/>
      <c r="C360" s="233"/>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row>
    <row r="361">
      <c r="A361" s="31"/>
      <c r="B361" s="31"/>
      <c r="C361" s="233"/>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row>
    <row r="362">
      <c r="A362" s="31"/>
      <c r="B362" s="31"/>
      <c r="C362" s="233"/>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row>
    <row r="363">
      <c r="A363" s="31"/>
      <c r="B363" s="31"/>
      <c r="C363" s="233"/>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row>
    <row r="364">
      <c r="A364" s="31"/>
      <c r="B364" s="31"/>
      <c r="C364" s="233"/>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row>
    <row r="365">
      <c r="A365" s="31"/>
      <c r="B365" s="31"/>
      <c r="C365" s="233"/>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row>
    <row r="366">
      <c r="A366" s="31"/>
      <c r="B366" s="31"/>
      <c r="C366" s="233"/>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row>
    <row r="367">
      <c r="A367" s="31"/>
      <c r="B367" s="31"/>
      <c r="C367" s="233"/>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row>
    <row r="368">
      <c r="A368" s="31"/>
      <c r="B368" s="31"/>
      <c r="C368" s="233"/>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row>
    <row r="369">
      <c r="A369" s="31"/>
      <c r="B369" s="31"/>
      <c r="C369" s="233"/>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row>
    <row r="370">
      <c r="A370" s="31"/>
      <c r="B370" s="31"/>
      <c r="C370" s="233"/>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row>
    <row r="371">
      <c r="A371" s="31"/>
      <c r="B371" s="31"/>
      <c r="C371" s="233"/>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row>
    <row r="372">
      <c r="A372" s="31"/>
      <c r="B372" s="31"/>
      <c r="C372" s="233"/>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row>
    <row r="373">
      <c r="A373" s="31"/>
      <c r="B373" s="31"/>
      <c r="C373" s="233"/>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row>
    <row r="374">
      <c r="A374" s="31"/>
      <c r="B374" s="31"/>
      <c r="C374" s="233"/>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row>
    <row r="375">
      <c r="A375" s="31"/>
      <c r="B375" s="31"/>
      <c r="C375" s="233"/>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row>
    <row r="376">
      <c r="A376" s="31"/>
      <c r="B376" s="31"/>
      <c r="C376" s="233"/>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row>
    <row r="377">
      <c r="A377" s="31"/>
      <c r="B377" s="31"/>
      <c r="C377" s="233"/>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row>
    <row r="378">
      <c r="A378" s="31"/>
      <c r="B378" s="31"/>
      <c r="C378" s="233"/>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row>
    <row r="379">
      <c r="A379" s="31"/>
      <c r="B379" s="31"/>
      <c r="C379" s="233"/>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row>
    <row r="380">
      <c r="A380" s="31"/>
      <c r="B380" s="31"/>
      <c r="C380" s="233"/>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row>
    <row r="381">
      <c r="A381" s="31"/>
      <c r="B381" s="31"/>
      <c r="C381" s="233"/>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row>
    <row r="382">
      <c r="A382" s="31"/>
      <c r="B382" s="31"/>
      <c r="C382" s="233"/>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row>
    <row r="383">
      <c r="A383" s="31"/>
      <c r="B383" s="31"/>
      <c r="C383" s="233"/>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row>
    <row r="384">
      <c r="A384" s="31"/>
      <c r="B384" s="31"/>
      <c r="C384" s="233"/>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row>
    <row r="385">
      <c r="A385" s="31"/>
      <c r="B385" s="31"/>
      <c r="C385" s="233"/>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row>
    <row r="386">
      <c r="A386" s="31"/>
      <c r="B386" s="31"/>
      <c r="C386" s="233"/>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row>
    <row r="387">
      <c r="A387" s="31"/>
      <c r="B387" s="31"/>
      <c r="C387" s="233"/>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row>
    <row r="388">
      <c r="A388" s="31"/>
      <c r="B388" s="31"/>
      <c r="C388" s="233"/>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row>
    <row r="389">
      <c r="A389" s="31"/>
      <c r="B389" s="31"/>
      <c r="C389" s="233"/>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row>
    <row r="390">
      <c r="A390" s="31"/>
      <c r="B390" s="31"/>
      <c r="C390" s="233"/>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row>
    <row r="391">
      <c r="A391" s="31"/>
      <c r="B391" s="31"/>
      <c r="C391" s="233"/>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row>
    <row r="392">
      <c r="A392" s="31"/>
      <c r="B392" s="31"/>
      <c r="C392" s="233"/>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row>
    <row r="393">
      <c r="A393" s="31"/>
      <c r="B393" s="31"/>
      <c r="C393" s="233"/>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row>
    <row r="394">
      <c r="A394" s="31"/>
      <c r="B394" s="31"/>
      <c r="C394" s="233"/>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row>
    <row r="395">
      <c r="A395" s="31"/>
      <c r="B395" s="31"/>
      <c r="C395" s="233"/>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row>
    <row r="396">
      <c r="A396" s="31"/>
      <c r="B396" s="31"/>
      <c r="C396" s="233"/>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row>
    <row r="397">
      <c r="A397" s="31"/>
      <c r="B397" s="31"/>
      <c r="C397" s="233"/>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row>
    <row r="398">
      <c r="A398" s="31"/>
      <c r="B398" s="31"/>
      <c r="C398" s="233"/>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row>
    <row r="399">
      <c r="A399" s="31"/>
      <c r="B399" s="31"/>
      <c r="C399" s="233"/>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row>
    <row r="400">
      <c r="A400" s="31"/>
      <c r="B400" s="31"/>
      <c r="C400" s="233"/>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row>
    <row r="401">
      <c r="A401" s="31"/>
      <c r="B401" s="31"/>
      <c r="C401" s="233"/>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row>
    <row r="402">
      <c r="A402" s="31"/>
      <c r="B402" s="31"/>
      <c r="C402" s="233"/>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row>
    <row r="403">
      <c r="A403" s="31"/>
      <c r="B403" s="31"/>
      <c r="C403" s="233"/>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row>
    <row r="404">
      <c r="A404" s="31"/>
      <c r="B404" s="31"/>
      <c r="C404" s="233"/>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row>
    <row r="405">
      <c r="A405" s="31"/>
      <c r="B405" s="31"/>
      <c r="C405" s="233"/>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row>
    <row r="406">
      <c r="A406" s="31"/>
      <c r="B406" s="31"/>
      <c r="C406" s="233"/>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row>
    <row r="407">
      <c r="A407" s="31"/>
      <c r="B407" s="31"/>
      <c r="C407" s="233"/>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row>
    <row r="408">
      <c r="A408" s="31"/>
      <c r="B408" s="31"/>
      <c r="C408" s="233"/>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row>
    <row r="409">
      <c r="A409" s="31"/>
      <c r="B409" s="31"/>
      <c r="C409" s="233"/>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row>
    <row r="410">
      <c r="A410" s="31"/>
      <c r="B410" s="31"/>
      <c r="C410" s="233"/>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row>
    <row r="411">
      <c r="A411" s="31"/>
      <c r="B411" s="31"/>
      <c r="C411" s="233"/>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row>
    <row r="412">
      <c r="A412" s="31"/>
      <c r="B412" s="31"/>
      <c r="C412" s="233"/>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row>
    <row r="413">
      <c r="A413" s="31"/>
      <c r="B413" s="31"/>
      <c r="C413" s="233"/>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row>
    <row r="414">
      <c r="A414" s="31"/>
      <c r="B414" s="31"/>
      <c r="C414" s="233"/>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row>
    <row r="415">
      <c r="A415" s="31"/>
      <c r="B415" s="31"/>
      <c r="C415" s="233"/>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row>
    <row r="416">
      <c r="A416" s="31"/>
      <c r="B416" s="31"/>
      <c r="C416" s="233"/>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row>
    <row r="417">
      <c r="A417" s="31"/>
      <c r="B417" s="31"/>
      <c r="C417" s="233"/>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row>
    <row r="418">
      <c r="A418" s="31"/>
      <c r="B418" s="31"/>
      <c r="C418" s="233"/>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row>
    <row r="419">
      <c r="A419" s="31"/>
      <c r="B419" s="31"/>
      <c r="C419" s="233"/>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row>
    <row r="420">
      <c r="A420" s="31"/>
      <c r="B420" s="31"/>
      <c r="C420" s="233"/>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row>
    <row r="421">
      <c r="A421" s="31"/>
      <c r="B421" s="31"/>
      <c r="C421" s="233"/>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row>
    <row r="422">
      <c r="A422" s="31"/>
      <c r="B422" s="31"/>
      <c r="C422" s="233"/>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row>
    <row r="423">
      <c r="A423" s="31"/>
      <c r="B423" s="31"/>
      <c r="C423" s="233"/>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row>
    <row r="424">
      <c r="A424" s="31"/>
      <c r="B424" s="31"/>
      <c r="C424" s="233"/>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row>
    <row r="425">
      <c r="A425" s="31"/>
      <c r="B425" s="31"/>
      <c r="C425" s="233"/>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row>
    <row r="426">
      <c r="A426" s="31"/>
      <c r="B426" s="31"/>
      <c r="C426" s="233"/>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row>
    <row r="427">
      <c r="A427" s="31"/>
      <c r="B427" s="31"/>
      <c r="C427" s="233"/>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row>
    <row r="428">
      <c r="A428" s="31"/>
      <c r="B428" s="31"/>
      <c r="C428" s="233"/>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row>
    <row r="429">
      <c r="A429" s="31"/>
      <c r="B429" s="31"/>
      <c r="C429" s="233"/>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row>
    <row r="430">
      <c r="A430" s="31"/>
      <c r="B430" s="31"/>
      <c r="C430" s="233"/>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row>
    <row r="431">
      <c r="A431" s="31"/>
      <c r="B431" s="31"/>
      <c r="C431" s="233"/>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row>
    <row r="432">
      <c r="A432" s="31"/>
      <c r="B432" s="31"/>
      <c r="C432" s="233"/>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row>
    <row r="433">
      <c r="A433" s="31"/>
      <c r="B433" s="31"/>
      <c r="C433" s="233"/>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row>
    <row r="434">
      <c r="A434" s="31"/>
      <c r="B434" s="31"/>
      <c r="C434" s="233"/>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row>
    <row r="435">
      <c r="A435" s="31"/>
      <c r="B435" s="31"/>
      <c r="C435" s="233"/>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row>
    <row r="436">
      <c r="A436" s="31"/>
      <c r="B436" s="31"/>
      <c r="C436" s="233"/>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row>
    <row r="437">
      <c r="A437" s="31"/>
      <c r="B437" s="31"/>
      <c r="C437" s="233"/>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row>
    <row r="438">
      <c r="A438" s="31"/>
      <c r="B438" s="31"/>
      <c r="C438" s="233"/>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row>
    <row r="439">
      <c r="A439" s="31"/>
      <c r="B439" s="31"/>
      <c r="C439" s="233"/>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row>
    <row r="440">
      <c r="A440" s="31"/>
      <c r="B440" s="31"/>
      <c r="C440" s="233"/>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row>
    <row r="441">
      <c r="A441" s="31"/>
      <c r="B441" s="31"/>
      <c r="C441" s="233"/>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row>
    <row r="442">
      <c r="A442" s="31"/>
      <c r="B442" s="31"/>
      <c r="C442" s="233"/>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row>
    <row r="443">
      <c r="A443" s="31"/>
      <c r="B443" s="31"/>
      <c r="C443" s="233"/>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row>
    <row r="444">
      <c r="A444" s="31"/>
      <c r="B444" s="31"/>
      <c r="C444" s="233"/>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row>
    <row r="445">
      <c r="A445" s="31"/>
      <c r="B445" s="31"/>
      <c r="C445" s="233"/>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row>
    <row r="446">
      <c r="A446" s="31"/>
      <c r="B446" s="31"/>
      <c r="C446" s="233"/>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row>
    <row r="447">
      <c r="A447" s="31"/>
      <c r="B447" s="31"/>
      <c r="C447" s="233"/>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row>
    <row r="448">
      <c r="A448" s="31"/>
      <c r="B448" s="31"/>
      <c r="C448" s="233"/>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row>
    <row r="449">
      <c r="A449" s="31"/>
      <c r="B449" s="31"/>
      <c r="C449" s="233"/>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row>
    <row r="450">
      <c r="A450" s="31"/>
      <c r="B450" s="31"/>
      <c r="C450" s="233"/>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row>
    <row r="451">
      <c r="A451" s="31"/>
      <c r="B451" s="31"/>
      <c r="C451" s="233"/>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row>
    <row r="452">
      <c r="A452" s="31"/>
      <c r="B452" s="31"/>
      <c r="C452" s="233"/>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row>
    <row r="453">
      <c r="A453" s="31"/>
      <c r="B453" s="31"/>
      <c r="C453" s="233"/>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row>
    <row r="454">
      <c r="A454" s="31"/>
      <c r="B454" s="31"/>
      <c r="C454" s="233"/>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row>
    <row r="455">
      <c r="A455" s="31"/>
      <c r="B455" s="31"/>
      <c r="C455" s="233"/>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row>
    <row r="456">
      <c r="A456" s="31"/>
      <c r="B456" s="31"/>
      <c r="C456" s="233"/>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row>
    <row r="457">
      <c r="A457" s="31"/>
      <c r="B457" s="31"/>
      <c r="C457" s="233"/>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row>
    <row r="458">
      <c r="A458" s="31"/>
      <c r="B458" s="31"/>
      <c r="C458" s="233"/>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row>
    <row r="459">
      <c r="A459" s="31"/>
      <c r="B459" s="31"/>
      <c r="C459" s="233"/>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row>
    <row r="460">
      <c r="A460" s="31"/>
      <c r="B460" s="31"/>
      <c r="C460" s="233"/>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row>
    <row r="461">
      <c r="A461" s="31"/>
      <c r="B461" s="31"/>
      <c r="C461" s="233"/>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row>
    <row r="462">
      <c r="A462" s="31"/>
      <c r="B462" s="31"/>
      <c r="C462" s="233"/>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row>
    <row r="463">
      <c r="A463" s="31"/>
      <c r="B463" s="31"/>
      <c r="C463" s="233"/>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row>
    <row r="464">
      <c r="A464" s="31"/>
      <c r="B464" s="31"/>
      <c r="C464" s="233"/>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row>
    <row r="465">
      <c r="A465" s="31"/>
      <c r="B465" s="31"/>
      <c r="C465" s="233"/>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row>
    <row r="466">
      <c r="A466" s="31"/>
      <c r="B466" s="31"/>
      <c r="C466" s="233"/>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row>
    <row r="467">
      <c r="A467" s="31"/>
      <c r="B467" s="31"/>
      <c r="C467" s="233"/>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row>
    <row r="468">
      <c r="A468" s="31"/>
      <c r="B468" s="31"/>
      <c r="C468" s="233"/>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row>
    <row r="469">
      <c r="A469" s="31"/>
      <c r="B469" s="31"/>
      <c r="C469" s="233"/>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row>
    <row r="470">
      <c r="A470" s="31"/>
      <c r="B470" s="31"/>
      <c r="C470" s="233"/>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row>
    <row r="471">
      <c r="A471" s="31"/>
      <c r="B471" s="31"/>
      <c r="C471" s="233"/>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row>
    <row r="472">
      <c r="A472" s="31"/>
      <c r="B472" s="31"/>
      <c r="C472" s="233"/>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row>
    <row r="473">
      <c r="A473" s="31"/>
      <c r="B473" s="31"/>
      <c r="C473" s="233"/>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row>
    <row r="474">
      <c r="A474" s="31"/>
      <c r="B474" s="31"/>
      <c r="C474" s="233"/>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row>
    <row r="475">
      <c r="A475" s="31"/>
      <c r="B475" s="31"/>
      <c r="C475" s="233"/>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row>
    <row r="476">
      <c r="A476" s="31"/>
      <c r="B476" s="31"/>
      <c r="C476" s="233"/>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row>
    <row r="477">
      <c r="A477" s="31"/>
      <c r="B477" s="31"/>
      <c r="C477" s="233"/>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row>
    <row r="478">
      <c r="A478" s="31"/>
      <c r="B478" s="31"/>
      <c r="C478" s="233"/>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row>
    <row r="479">
      <c r="A479" s="31"/>
      <c r="B479" s="31"/>
      <c r="C479" s="233"/>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row>
    <row r="480">
      <c r="A480" s="31"/>
      <c r="B480" s="31"/>
      <c r="C480" s="233"/>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row>
    <row r="481">
      <c r="A481" s="31"/>
      <c r="B481" s="31"/>
      <c r="C481" s="233"/>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row>
    <row r="482">
      <c r="A482" s="31"/>
      <c r="B482" s="31"/>
      <c r="C482" s="233"/>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row>
    <row r="483">
      <c r="A483" s="31"/>
      <c r="B483" s="31"/>
      <c r="C483" s="233"/>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row>
    <row r="484">
      <c r="A484" s="31"/>
      <c r="B484" s="31"/>
      <c r="C484" s="233"/>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row>
    <row r="485">
      <c r="A485" s="31"/>
      <c r="B485" s="31"/>
      <c r="C485" s="233"/>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row>
    <row r="486">
      <c r="A486" s="31"/>
      <c r="B486" s="31"/>
      <c r="C486" s="233"/>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row>
    <row r="487">
      <c r="A487" s="31"/>
      <c r="B487" s="31"/>
      <c r="C487" s="233"/>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row>
    <row r="488">
      <c r="A488" s="31"/>
      <c r="B488" s="31"/>
      <c r="C488" s="233"/>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row>
    <row r="489">
      <c r="A489" s="31"/>
      <c r="B489" s="31"/>
      <c r="C489" s="233"/>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row>
    <row r="490">
      <c r="A490" s="31"/>
      <c r="B490" s="31"/>
      <c r="C490" s="233"/>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row>
    <row r="491">
      <c r="A491" s="31"/>
      <c r="B491" s="31"/>
      <c r="C491" s="233"/>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row>
    <row r="492">
      <c r="A492" s="31"/>
      <c r="B492" s="31"/>
      <c r="C492" s="233"/>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row>
    <row r="493">
      <c r="A493" s="31"/>
      <c r="B493" s="31"/>
      <c r="C493" s="233"/>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row>
    <row r="494">
      <c r="A494" s="31"/>
      <c r="B494" s="31"/>
      <c r="C494" s="233"/>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row>
    <row r="495">
      <c r="A495" s="31"/>
      <c r="B495" s="31"/>
      <c r="C495" s="233"/>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row>
    <row r="496">
      <c r="A496" s="31"/>
      <c r="B496" s="31"/>
      <c r="C496" s="233"/>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row>
    <row r="497">
      <c r="A497" s="31"/>
      <c r="B497" s="31"/>
      <c r="C497" s="233"/>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row>
    <row r="498">
      <c r="A498" s="31"/>
      <c r="B498" s="31"/>
      <c r="C498" s="233"/>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row>
    <row r="499">
      <c r="A499" s="31"/>
      <c r="B499" s="31"/>
      <c r="C499" s="233"/>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row>
    <row r="500">
      <c r="A500" s="31"/>
      <c r="B500" s="31"/>
      <c r="C500" s="233"/>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row>
    <row r="501">
      <c r="A501" s="31"/>
      <c r="B501" s="31"/>
      <c r="C501" s="233"/>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row>
    <row r="502">
      <c r="A502" s="31"/>
      <c r="B502" s="31"/>
      <c r="C502" s="233"/>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row>
    <row r="503">
      <c r="A503" s="31"/>
      <c r="B503" s="31"/>
      <c r="C503" s="233"/>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row>
    <row r="504">
      <c r="A504" s="31"/>
      <c r="B504" s="31"/>
      <c r="C504" s="233"/>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row>
    <row r="505">
      <c r="A505" s="31"/>
      <c r="B505" s="31"/>
      <c r="C505" s="233"/>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row>
    <row r="506">
      <c r="A506" s="31"/>
      <c r="B506" s="31"/>
      <c r="C506" s="233"/>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row>
    <row r="507">
      <c r="A507" s="31"/>
      <c r="B507" s="31"/>
      <c r="C507" s="233"/>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row>
    <row r="508">
      <c r="A508" s="31"/>
      <c r="B508" s="31"/>
      <c r="C508" s="233"/>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row>
    <row r="509">
      <c r="A509" s="31"/>
      <c r="B509" s="31"/>
      <c r="C509" s="233"/>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row>
    <row r="510">
      <c r="A510" s="31"/>
      <c r="B510" s="31"/>
      <c r="C510" s="233"/>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row>
    <row r="511">
      <c r="A511" s="31"/>
      <c r="B511" s="31"/>
      <c r="C511" s="233"/>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row>
    <row r="512">
      <c r="A512" s="31"/>
      <c r="B512" s="31"/>
      <c r="C512" s="233"/>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row>
    <row r="513">
      <c r="A513" s="31"/>
      <c r="B513" s="31"/>
      <c r="C513" s="233"/>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row>
    <row r="514">
      <c r="A514" s="31"/>
      <c r="B514" s="31"/>
      <c r="C514" s="233"/>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row>
    <row r="515">
      <c r="A515" s="31"/>
      <c r="B515" s="31"/>
      <c r="C515" s="233"/>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row>
    <row r="516">
      <c r="A516" s="31"/>
      <c r="B516" s="31"/>
      <c r="C516" s="233"/>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row>
    <row r="517">
      <c r="A517" s="31"/>
      <c r="B517" s="31"/>
      <c r="C517" s="233"/>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row>
    <row r="518">
      <c r="A518" s="31"/>
      <c r="B518" s="31"/>
      <c r="C518" s="233"/>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row>
    <row r="519">
      <c r="A519" s="31"/>
      <c r="B519" s="31"/>
      <c r="C519" s="233"/>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row>
    <row r="520">
      <c r="A520" s="31"/>
      <c r="B520" s="31"/>
      <c r="C520" s="233"/>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row>
    <row r="521">
      <c r="A521" s="31"/>
      <c r="B521" s="31"/>
      <c r="C521" s="233"/>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row>
    <row r="522">
      <c r="A522" s="31"/>
      <c r="B522" s="31"/>
      <c r="C522" s="233"/>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row>
    <row r="523">
      <c r="A523" s="31"/>
      <c r="B523" s="31"/>
      <c r="C523" s="233"/>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row>
    <row r="524">
      <c r="A524" s="31"/>
      <c r="B524" s="31"/>
      <c r="C524" s="233"/>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row>
    <row r="525">
      <c r="A525" s="31"/>
      <c r="B525" s="31"/>
      <c r="C525" s="233"/>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row>
    <row r="526">
      <c r="A526" s="31"/>
      <c r="B526" s="31"/>
      <c r="C526" s="233"/>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row>
    <row r="527">
      <c r="A527" s="31"/>
      <c r="B527" s="31"/>
      <c r="C527" s="233"/>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row>
    <row r="528">
      <c r="A528" s="31"/>
      <c r="B528" s="31"/>
      <c r="C528" s="233"/>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row>
    <row r="529">
      <c r="A529" s="31"/>
      <c r="B529" s="31"/>
      <c r="C529" s="233"/>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row>
    <row r="530">
      <c r="A530" s="31"/>
      <c r="B530" s="31"/>
      <c r="C530" s="233"/>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row>
    <row r="531">
      <c r="A531" s="31"/>
      <c r="B531" s="31"/>
      <c r="C531" s="233"/>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row>
    <row r="532">
      <c r="A532" s="31"/>
      <c r="B532" s="31"/>
      <c r="C532" s="233"/>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row>
    <row r="533">
      <c r="A533" s="31"/>
      <c r="B533" s="31"/>
      <c r="C533" s="233"/>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row>
    <row r="534">
      <c r="A534" s="31"/>
      <c r="B534" s="31"/>
      <c r="C534" s="233"/>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row>
    <row r="535">
      <c r="A535" s="31"/>
      <c r="B535" s="31"/>
      <c r="C535" s="233"/>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row>
    <row r="536">
      <c r="A536" s="31"/>
      <c r="B536" s="31"/>
      <c r="C536" s="233"/>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row>
    <row r="537">
      <c r="A537" s="31"/>
      <c r="B537" s="31"/>
      <c r="C537" s="233"/>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row>
    <row r="538">
      <c r="A538" s="31"/>
      <c r="B538" s="31"/>
      <c r="C538" s="233"/>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row>
    <row r="539">
      <c r="A539" s="31"/>
      <c r="B539" s="31"/>
      <c r="C539" s="233"/>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row>
    <row r="540">
      <c r="A540" s="31"/>
      <c r="B540" s="31"/>
      <c r="C540" s="233"/>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row>
    <row r="541">
      <c r="A541" s="31"/>
      <c r="B541" s="31"/>
      <c r="C541" s="233"/>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row>
    <row r="542">
      <c r="A542" s="31"/>
      <c r="B542" s="31"/>
      <c r="C542" s="233"/>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row>
    <row r="543">
      <c r="A543" s="31"/>
      <c r="B543" s="31"/>
      <c r="C543" s="233"/>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row>
    <row r="544">
      <c r="A544" s="31"/>
      <c r="B544" s="31"/>
      <c r="C544" s="233"/>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row>
    <row r="545">
      <c r="A545" s="31"/>
      <c r="B545" s="31"/>
      <c r="C545" s="233"/>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row>
    <row r="546">
      <c r="A546" s="31"/>
      <c r="B546" s="31"/>
      <c r="C546" s="233"/>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row>
    <row r="547">
      <c r="A547" s="31"/>
      <c r="B547" s="31"/>
      <c r="C547" s="233"/>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row>
    <row r="548">
      <c r="A548" s="31"/>
      <c r="B548" s="31"/>
      <c r="C548" s="233"/>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row>
    <row r="549">
      <c r="A549" s="31"/>
      <c r="B549" s="31"/>
      <c r="C549" s="233"/>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row>
    <row r="550">
      <c r="A550" s="31"/>
      <c r="B550" s="31"/>
      <c r="C550" s="233"/>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row>
    <row r="551">
      <c r="A551" s="31"/>
      <c r="B551" s="31"/>
      <c r="C551" s="233"/>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row>
    <row r="552">
      <c r="A552" s="31"/>
      <c r="B552" s="31"/>
      <c r="C552" s="233"/>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row>
    <row r="553">
      <c r="A553" s="31"/>
      <c r="B553" s="31"/>
      <c r="C553" s="233"/>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row>
    <row r="554">
      <c r="A554" s="31"/>
      <c r="B554" s="31"/>
      <c r="C554" s="233"/>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row>
    <row r="555">
      <c r="A555" s="31"/>
      <c r="B555" s="31"/>
      <c r="C555" s="233"/>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row>
    <row r="556">
      <c r="A556" s="31"/>
      <c r="B556" s="31"/>
      <c r="C556" s="233"/>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row>
    <row r="557">
      <c r="A557" s="31"/>
      <c r="B557" s="31"/>
      <c r="C557" s="233"/>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row>
    <row r="558">
      <c r="A558" s="31"/>
      <c r="B558" s="31"/>
      <c r="C558" s="233"/>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row>
    <row r="559">
      <c r="A559" s="31"/>
      <c r="B559" s="31"/>
      <c r="C559" s="233"/>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row>
    <row r="560">
      <c r="A560" s="31"/>
      <c r="B560" s="31"/>
      <c r="C560" s="233"/>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row>
    <row r="561">
      <c r="A561" s="31"/>
      <c r="B561" s="31"/>
      <c r="C561" s="233"/>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row>
    <row r="562">
      <c r="A562" s="31"/>
      <c r="B562" s="31"/>
      <c r="C562" s="233"/>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row>
    <row r="563">
      <c r="A563" s="31"/>
      <c r="B563" s="31"/>
      <c r="C563" s="233"/>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row>
    <row r="564">
      <c r="A564" s="31"/>
      <c r="B564" s="31"/>
      <c r="C564" s="233"/>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row>
    <row r="565">
      <c r="A565" s="31"/>
      <c r="B565" s="31"/>
      <c r="C565" s="233"/>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row>
    <row r="566">
      <c r="A566" s="31"/>
      <c r="B566" s="31"/>
      <c r="C566" s="233"/>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row>
    <row r="567">
      <c r="A567" s="31"/>
      <c r="B567" s="31"/>
      <c r="C567" s="233"/>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row>
    <row r="568">
      <c r="A568" s="31"/>
      <c r="B568" s="31"/>
      <c r="C568" s="233"/>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row>
    <row r="569">
      <c r="A569" s="31"/>
      <c r="B569" s="31"/>
      <c r="C569" s="233"/>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row>
    <row r="570">
      <c r="A570" s="31"/>
      <c r="B570" s="31"/>
      <c r="C570" s="233"/>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row>
    <row r="571">
      <c r="A571" s="31"/>
      <c r="B571" s="31"/>
      <c r="C571" s="233"/>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row>
    <row r="572">
      <c r="A572" s="31"/>
      <c r="B572" s="31"/>
      <c r="C572" s="233"/>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row>
    <row r="573">
      <c r="A573" s="31"/>
      <c r="B573" s="31"/>
      <c r="C573" s="233"/>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row>
    <row r="574">
      <c r="A574" s="31"/>
      <c r="B574" s="31"/>
      <c r="C574" s="233"/>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row>
    <row r="575">
      <c r="A575" s="31"/>
      <c r="B575" s="31"/>
      <c r="C575" s="233"/>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row>
    <row r="576">
      <c r="A576" s="31"/>
      <c r="B576" s="31"/>
      <c r="C576" s="233"/>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row>
    <row r="577">
      <c r="A577" s="31"/>
      <c r="B577" s="31"/>
      <c r="C577" s="233"/>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row>
    <row r="578">
      <c r="A578" s="31"/>
      <c r="B578" s="31"/>
      <c r="C578" s="233"/>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row>
    <row r="579">
      <c r="A579" s="31"/>
      <c r="B579" s="31"/>
      <c r="C579" s="233"/>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row>
    <row r="580">
      <c r="A580" s="31"/>
      <c r="B580" s="31"/>
      <c r="C580" s="233"/>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row>
    <row r="581">
      <c r="A581" s="31"/>
      <c r="B581" s="31"/>
      <c r="C581" s="233"/>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row>
    <row r="582">
      <c r="A582" s="31"/>
      <c r="B582" s="31"/>
      <c r="C582" s="233"/>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row>
    <row r="583">
      <c r="A583" s="31"/>
      <c r="B583" s="31"/>
      <c r="C583" s="233"/>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row>
    <row r="584">
      <c r="A584" s="31"/>
      <c r="B584" s="31"/>
      <c r="C584" s="233"/>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row>
    <row r="585">
      <c r="A585" s="31"/>
      <c r="B585" s="31"/>
      <c r="C585" s="233"/>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row>
    <row r="586">
      <c r="A586" s="31"/>
      <c r="B586" s="31"/>
      <c r="C586" s="233"/>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row>
    <row r="587">
      <c r="A587" s="31"/>
      <c r="B587" s="31"/>
      <c r="C587" s="233"/>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row>
    <row r="588">
      <c r="A588" s="31"/>
      <c r="B588" s="31"/>
      <c r="C588" s="233"/>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row>
    <row r="589">
      <c r="A589" s="31"/>
      <c r="B589" s="31"/>
      <c r="C589" s="233"/>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row>
    <row r="590">
      <c r="A590" s="31"/>
      <c r="B590" s="31"/>
      <c r="C590" s="233"/>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row>
    <row r="591">
      <c r="A591" s="31"/>
      <c r="B591" s="31"/>
      <c r="C591" s="233"/>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row>
    <row r="592">
      <c r="A592" s="31"/>
      <c r="B592" s="31"/>
      <c r="C592" s="233"/>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row>
    <row r="593">
      <c r="A593" s="31"/>
      <c r="B593" s="31"/>
      <c r="C593" s="233"/>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row>
    <row r="594">
      <c r="A594" s="31"/>
      <c r="B594" s="31"/>
      <c r="C594" s="233"/>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row>
    <row r="595">
      <c r="A595" s="31"/>
      <c r="B595" s="31"/>
      <c r="C595" s="233"/>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row>
    <row r="596">
      <c r="A596" s="31"/>
      <c r="B596" s="31"/>
      <c r="C596" s="233"/>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row>
    <row r="597">
      <c r="A597" s="31"/>
      <c r="B597" s="31"/>
      <c r="C597" s="233"/>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row>
    <row r="598">
      <c r="A598" s="31"/>
      <c r="B598" s="31"/>
      <c r="C598" s="233"/>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row>
    <row r="599">
      <c r="A599" s="31"/>
      <c r="B599" s="31"/>
      <c r="C599" s="233"/>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row>
    <row r="600">
      <c r="A600" s="31"/>
      <c r="B600" s="31"/>
      <c r="C600" s="233"/>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row>
    <row r="601">
      <c r="A601" s="31"/>
      <c r="B601" s="31"/>
      <c r="C601" s="233"/>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row>
    <row r="602">
      <c r="A602" s="31"/>
      <c r="B602" s="31"/>
      <c r="C602" s="233"/>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row>
    <row r="603">
      <c r="A603" s="31"/>
      <c r="B603" s="31"/>
      <c r="C603" s="233"/>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row>
    <row r="604">
      <c r="A604" s="31"/>
      <c r="B604" s="31"/>
      <c r="C604" s="233"/>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row>
    <row r="605">
      <c r="A605" s="31"/>
      <c r="B605" s="31"/>
      <c r="C605" s="233"/>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row>
    <row r="606">
      <c r="A606" s="31"/>
      <c r="B606" s="31"/>
      <c r="C606" s="233"/>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row>
    <row r="607">
      <c r="A607" s="31"/>
      <c r="B607" s="31"/>
      <c r="C607" s="233"/>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row>
    <row r="608">
      <c r="A608" s="31"/>
      <c r="B608" s="31"/>
      <c r="C608" s="233"/>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row>
    <row r="609">
      <c r="A609" s="31"/>
      <c r="B609" s="31"/>
      <c r="C609" s="233"/>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row>
    <row r="610">
      <c r="A610" s="31"/>
      <c r="B610" s="31"/>
      <c r="C610" s="233"/>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row>
    <row r="611">
      <c r="A611" s="31"/>
      <c r="B611" s="31"/>
      <c r="C611" s="233"/>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row>
    <row r="612">
      <c r="A612" s="31"/>
      <c r="B612" s="31"/>
      <c r="C612" s="233"/>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row>
    <row r="613">
      <c r="A613" s="31"/>
      <c r="B613" s="31"/>
      <c r="C613" s="233"/>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row>
    <row r="614">
      <c r="A614" s="31"/>
      <c r="B614" s="31"/>
      <c r="C614" s="233"/>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row>
    <row r="615">
      <c r="A615" s="31"/>
      <c r="B615" s="31"/>
      <c r="C615" s="233"/>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row>
    <row r="616">
      <c r="A616" s="31"/>
      <c r="B616" s="31"/>
      <c r="C616" s="233"/>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row>
    <row r="617">
      <c r="A617" s="31"/>
      <c r="B617" s="31"/>
      <c r="C617" s="233"/>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row>
    <row r="618">
      <c r="A618" s="31"/>
      <c r="B618" s="31"/>
      <c r="C618" s="233"/>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row>
    <row r="619">
      <c r="A619" s="31"/>
      <c r="B619" s="31"/>
      <c r="C619" s="233"/>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row>
    <row r="620">
      <c r="A620" s="31"/>
      <c r="B620" s="31"/>
      <c r="C620" s="233"/>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row>
    <row r="621">
      <c r="A621" s="31"/>
      <c r="B621" s="31"/>
      <c r="C621" s="233"/>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row>
    <row r="622">
      <c r="A622" s="31"/>
      <c r="B622" s="31"/>
      <c r="C622" s="233"/>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row>
    <row r="623">
      <c r="A623" s="31"/>
      <c r="B623" s="31"/>
      <c r="C623" s="233"/>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row>
    <row r="624">
      <c r="A624" s="31"/>
      <c r="B624" s="31"/>
      <c r="C624" s="233"/>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row>
    <row r="625">
      <c r="A625" s="31"/>
      <c r="B625" s="31"/>
      <c r="C625" s="233"/>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row>
    <row r="626">
      <c r="A626" s="31"/>
      <c r="B626" s="31"/>
      <c r="C626" s="233"/>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row>
    <row r="627">
      <c r="A627" s="31"/>
      <c r="B627" s="31"/>
      <c r="C627" s="233"/>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row>
    <row r="628">
      <c r="A628" s="31"/>
      <c r="B628" s="31"/>
      <c r="C628" s="233"/>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row>
    <row r="629">
      <c r="A629" s="31"/>
      <c r="B629" s="31"/>
      <c r="C629" s="233"/>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row>
    <row r="630">
      <c r="A630" s="31"/>
      <c r="B630" s="31"/>
      <c r="C630" s="233"/>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row>
    <row r="631">
      <c r="A631" s="31"/>
      <c r="B631" s="31"/>
      <c r="C631" s="233"/>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row>
    <row r="632">
      <c r="A632" s="31"/>
      <c r="B632" s="31"/>
      <c r="C632" s="233"/>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row>
    <row r="633">
      <c r="A633" s="31"/>
      <c r="B633" s="31"/>
      <c r="C633" s="233"/>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row>
    <row r="634">
      <c r="A634" s="31"/>
      <c r="B634" s="31"/>
      <c r="C634" s="233"/>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row>
    <row r="635">
      <c r="A635" s="31"/>
      <c r="B635" s="31"/>
      <c r="C635" s="233"/>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row>
    <row r="636">
      <c r="A636" s="31"/>
      <c r="B636" s="31"/>
      <c r="C636" s="233"/>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row>
    <row r="637">
      <c r="A637" s="31"/>
      <c r="B637" s="31"/>
      <c r="C637" s="233"/>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row>
    <row r="638">
      <c r="A638" s="31"/>
      <c r="B638" s="31"/>
      <c r="C638" s="233"/>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row>
    <row r="639">
      <c r="A639" s="31"/>
      <c r="B639" s="31"/>
      <c r="C639" s="233"/>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row>
    <row r="640">
      <c r="A640" s="31"/>
      <c r="B640" s="31"/>
      <c r="C640" s="233"/>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row>
    <row r="641">
      <c r="A641" s="31"/>
      <c r="B641" s="31"/>
      <c r="C641" s="233"/>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row>
    <row r="642">
      <c r="A642" s="31"/>
      <c r="B642" s="31"/>
      <c r="C642" s="233"/>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row>
    <row r="643">
      <c r="A643" s="31"/>
      <c r="B643" s="31"/>
      <c r="C643" s="233"/>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row>
    <row r="644">
      <c r="A644" s="31"/>
      <c r="B644" s="31"/>
      <c r="C644" s="233"/>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row>
    <row r="645">
      <c r="A645" s="31"/>
      <c r="B645" s="31"/>
      <c r="C645" s="233"/>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row>
    <row r="646">
      <c r="A646" s="31"/>
      <c r="B646" s="31"/>
      <c r="C646" s="233"/>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row>
    <row r="647">
      <c r="A647" s="31"/>
      <c r="B647" s="31"/>
      <c r="C647" s="233"/>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row>
    <row r="648">
      <c r="A648" s="31"/>
      <c r="B648" s="31"/>
      <c r="C648" s="233"/>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row>
    <row r="649">
      <c r="A649" s="31"/>
      <c r="B649" s="31"/>
      <c r="C649" s="233"/>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row>
    <row r="650">
      <c r="A650" s="31"/>
      <c r="B650" s="31"/>
      <c r="C650" s="233"/>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row>
    <row r="651">
      <c r="A651" s="31"/>
      <c r="B651" s="31"/>
      <c r="C651" s="233"/>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row>
    <row r="652">
      <c r="A652" s="31"/>
      <c r="B652" s="31"/>
      <c r="C652" s="233"/>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row>
    <row r="653">
      <c r="A653" s="31"/>
      <c r="B653" s="31"/>
      <c r="C653" s="233"/>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row>
    <row r="654">
      <c r="A654" s="31"/>
      <c r="B654" s="31"/>
      <c r="C654" s="233"/>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row>
    <row r="655">
      <c r="A655" s="31"/>
      <c r="B655" s="31"/>
      <c r="C655" s="233"/>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row>
    <row r="656">
      <c r="A656" s="31"/>
      <c r="B656" s="31"/>
      <c r="C656" s="233"/>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row>
    <row r="657">
      <c r="A657" s="31"/>
      <c r="B657" s="31"/>
      <c r="C657" s="233"/>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row>
    <row r="658">
      <c r="A658" s="31"/>
      <c r="B658" s="31"/>
      <c r="C658" s="233"/>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row>
    <row r="659">
      <c r="A659" s="31"/>
      <c r="B659" s="31"/>
      <c r="C659" s="233"/>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row>
    <row r="660">
      <c r="A660" s="31"/>
      <c r="B660" s="31"/>
      <c r="C660" s="233"/>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row>
    <row r="661">
      <c r="A661" s="31"/>
      <c r="B661" s="31"/>
      <c r="C661" s="233"/>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row>
    <row r="662">
      <c r="A662" s="31"/>
      <c r="B662" s="31"/>
      <c r="C662" s="233"/>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row>
    <row r="663">
      <c r="A663" s="31"/>
      <c r="B663" s="31"/>
      <c r="C663" s="233"/>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row>
    <row r="664">
      <c r="A664" s="31"/>
      <c r="B664" s="31"/>
      <c r="C664" s="233"/>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row>
    <row r="665">
      <c r="A665" s="31"/>
      <c r="B665" s="31"/>
      <c r="C665" s="233"/>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row>
    <row r="666">
      <c r="A666" s="31"/>
      <c r="B666" s="31"/>
      <c r="C666" s="233"/>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row>
    <row r="667">
      <c r="A667" s="31"/>
      <c r="B667" s="31"/>
      <c r="C667" s="233"/>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row>
    <row r="668">
      <c r="A668" s="31"/>
      <c r="B668" s="31"/>
      <c r="C668" s="233"/>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row>
    <row r="669">
      <c r="A669" s="31"/>
      <c r="B669" s="31"/>
      <c r="C669" s="233"/>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row>
    <row r="670">
      <c r="A670" s="31"/>
      <c r="B670" s="31"/>
      <c r="C670" s="233"/>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row>
    <row r="671">
      <c r="A671" s="31"/>
      <c r="B671" s="31"/>
      <c r="C671" s="233"/>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row>
    <row r="672">
      <c r="A672" s="31"/>
      <c r="B672" s="31"/>
      <c r="C672" s="233"/>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row>
    <row r="673">
      <c r="A673" s="31"/>
      <c r="B673" s="31"/>
      <c r="C673" s="233"/>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row>
    <row r="674">
      <c r="A674" s="31"/>
      <c r="B674" s="31"/>
      <c r="C674" s="233"/>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row>
    <row r="675">
      <c r="A675" s="31"/>
      <c r="B675" s="31"/>
      <c r="C675" s="233"/>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row>
    <row r="676">
      <c r="A676" s="31"/>
      <c r="B676" s="31"/>
      <c r="C676" s="233"/>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row>
    <row r="677">
      <c r="A677" s="31"/>
      <c r="B677" s="31"/>
      <c r="C677" s="233"/>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row>
    <row r="678">
      <c r="A678" s="31"/>
      <c r="B678" s="31"/>
      <c r="C678" s="233"/>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row>
    <row r="679">
      <c r="A679" s="31"/>
      <c r="B679" s="31"/>
      <c r="C679" s="233"/>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row>
    <row r="680">
      <c r="A680" s="31"/>
      <c r="B680" s="31"/>
      <c r="C680" s="233"/>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row>
    <row r="681">
      <c r="A681" s="31"/>
      <c r="B681" s="31"/>
      <c r="C681" s="233"/>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row>
    <row r="682">
      <c r="A682" s="31"/>
      <c r="B682" s="31"/>
      <c r="C682" s="233"/>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row>
    <row r="683">
      <c r="A683" s="31"/>
      <c r="B683" s="31"/>
      <c r="C683" s="233"/>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row>
    <row r="684">
      <c r="A684" s="31"/>
      <c r="B684" s="31"/>
      <c r="C684" s="233"/>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row>
    <row r="685">
      <c r="A685" s="31"/>
      <c r="B685" s="31"/>
      <c r="C685" s="233"/>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row>
    <row r="686">
      <c r="A686" s="31"/>
      <c r="B686" s="31"/>
      <c r="C686" s="233"/>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row>
    <row r="687">
      <c r="A687" s="31"/>
      <c r="B687" s="31"/>
      <c r="C687" s="233"/>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row>
    <row r="688">
      <c r="A688" s="31"/>
      <c r="B688" s="31"/>
      <c r="C688" s="233"/>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row>
    <row r="689">
      <c r="A689" s="31"/>
      <c r="B689" s="31"/>
      <c r="C689" s="233"/>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row>
    <row r="690">
      <c r="A690" s="31"/>
      <c r="B690" s="31"/>
      <c r="C690" s="233"/>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row>
    <row r="691">
      <c r="A691" s="31"/>
      <c r="B691" s="31"/>
      <c r="C691" s="233"/>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row>
    <row r="692">
      <c r="A692" s="31"/>
      <c r="B692" s="31"/>
      <c r="C692" s="233"/>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row>
    <row r="693">
      <c r="A693" s="31"/>
      <c r="B693" s="31"/>
      <c r="C693" s="233"/>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row>
    <row r="694">
      <c r="A694" s="31"/>
      <c r="B694" s="31"/>
      <c r="C694" s="233"/>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row>
    <row r="695">
      <c r="A695" s="31"/>
      <c r="B695" s="31"/>
      <c r="C695" s="233"/>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row>
    <row r="696">
      <c r="A696" s="31"/>
      <c r="B696" s="31"/>
      <c r="C696" s="233"/>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row>
    <row r="697">
      <c r="A697" s="31"/>
      <c r="B697" s="31"/>
      <c r="C697" s="233"/>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row>
    <row r="698">
      <c r="A698" s="31"/>
      <c r="B698" s="31"/>
      <c r="C698" s="233"/>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row>
    <row r="699">
      <c r="A699" s="31"/>
      <c r="B699" s="31"/>
      <c r="C699" s="233"/>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row>
    <row r="700">
      <c r="A700" s="31"/>
      <c r="B700" s="31"/>
      <c r="C700" s="233"/>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row>
    <row r="701">
      <c r="A701" s="31"/>
      <c r="B701" s="31"/>
      <c r="C701" s="233"/>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row>
    <row r="702">
      <c r="A702" s="31"/>
      <c r="B702" s="31"/>
      <c r="C702" s="233"/>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row>
    <row r="703">
      <c r="A703" s="31"/>
      <c r="B703" s="31"/>
      <c r="C703" s="233"/>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row>
    <row r="704">
      <c r="A704" s="31"/>
      <c r="B704" s="31"/>
      <c r="C704" s="233"/>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row>
    <row r="705">
      <c r="A705" s="31"/>
      <c r="B705" s="31"/>
      <c r="C705" s="233"/>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row>
    <row r="706">
      <c r="A706" s="31"/>
      <c r="B706" s="31"/>
      <c r="C706" s="233"/>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row>
    <row r="707">
      <c r="A707" s="31"/>
      <c r="B707" s="31"/>
      <c r="C707" s="233"/>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row>
    <row r="708">
      <c r="A708" s="31"/>
      <c r="B708" s="31"/>
      <c r="C708" s="233"/>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row>
    <row r="709">
      <c r="A709" s="31"/>
      <c r="B709" s="31"/>
      <c r="C709" s="233"/>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row>
    <row r="710">
      <c r="A710" s="31"/>
      <c r="B710" s="31"/>
      <c r="C710" s="233"/>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row>
    <row r="711">
      <c r="A711" s="31"/>
      <c r="B711" s="31"/>
      <c r="C711" s="233"/>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row>
    <row r="712">
      <c r="A712" s="31"/>
      <c r="B712" s="31"/>
      <c r="C712" s="233"/>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row>
    <row r="713">
      <c r="A713" s="31"/>
      <c r="B713" s="31"/>
      <c r="C713" s="233"/>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row>
    <row r="714">
      <c r="A714" s="31"/>
      <c r="B714" s="31"/>
      <c r="C714" s="233"/>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row>
    <row r="715">
      <c r="A715" s="31"/>
      <c r="B715" s="31"/>
      <c r="C715" s="233"/>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row>
    <row r="716">
      <c r="A716" s="31"/>
      <c r="B716" s="31"/>
      <c r="C716" s="233"/>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row>
    <row r="717">
      <c r="A717" s="31"/>
      <c r="B717" s="31"/>
      <c r="C717" s="233"/>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row>
    <row r="718">
      <c r="A718" s="31"/>
      <c r="B718" s="31"/>
      <c r="C718" s="233"/>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row>
    <row r="719">
      <c r="A719" s="31"/>
      <c r="B719" s="31"/>
      <c r="C719" s="233"/>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row>
    <row r="720">
      <c r="A720" s="31"/>
      <c r="B720" s="31"/>
      <c r="C720" s="233"/>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row>
    <row r="721">
      <c r="A721" s="31"/>
      <c r="B721" s="31"/>
      <c r="C721" s="233"/>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row>
    <row r="722">
      <c r="A722" s="31"/>
      <c r="B722" s="31"/>
      <c r="C722" s="233"/>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row>
    <row r="723">
      <c r="A723" s="31"/>
      <c r="B723" s="31"/>
      <c r="C723" s="233"/>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row>
    <row r="724">
      <c r="A724" s="31"/>
      <c r="B724" s="31"/>
      <c r="C724" s="233"/>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row>
    <row r="725">
      <c r="A725" s="31"/>
      <c r="B725" s="31"/>
      <c r="C725" s="233"/>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row>
    <row r="726">
      <c r="A726" s="31"/>
      <c r="B726" s="31"/>
      <c r="C726" s="233"/>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row>
    <row r="727">
      <c r="A727" s="31"/>
      <c r="B727" s="31"/>
      <c r="C727" s="233"/>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row>
    <row r="728">
      <c r="A728" s="31"/>
      <c r="B728" s="31"/>
      <c r="C728" s="233"/>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row>
    <row r="729">
      <c r="A729" s="31"/>
      <c r="B729" s="31"/>
      <c r="C729" s="233"/>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row>
    <row r="730">
      <c r="A730" s="31"/>
      <c r="B730" s="31"/>
      <c r="C730" s="233"/>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row>
    <row r="731">
      <c r="A731" s="31"/>
      <c r="B731" s="31"/>
      <c r="C731" s="233"/>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row>
    <row r="732">
      <c r="A732" s="31"/>
      <c r="B732" s="31"/>
      <c r="C732" s="233"/>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row>
    <row r="733">
      <c r="A733" s="31"/>
      <c r="B733" s="31"/>
      <c r="C733" s="233"/>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row>
    <row r="734">
      <c r="A734" s="31"/>
      <c r="B734" s="31"/>
      <c r="C734" s="233"/>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row>
    <row r="735">
      <c r="A735" s="31"/>
      <c r="B735" s="31"/>
      <c r="C735" s="233"/>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row>
    <row r="736">
      <c r="A736" s="31"/>
      <c r="B736" s="31"/>
      <c r="C736" s="233"/>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row>
    <row r="737">
      <c r="A737" s="31"/>
      <c r="B737" s="31"/>
      <c r="C737" s="233"/>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row>
    <row r="738">
      <c r="A738" s="31"/>
      <c r="B738" s="31"/>
      <c r="C738" s="233"/>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row>
    <row r="739">
      <c r="A739" s="31"/>
      <c r="B739" s="31"/>
      <c r="C739" s="233"/>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row>
    <row r="740">
      <c r="A740" s="31"/>
      <c r="B740" s="31"/>
      <c r="C740" s="233"/>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row>
    <row r="741">
      <c r="A741" s="31"/>
      <c r="B741" s="31"/>
      <c r="C741" s="233"/>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row>
    <row r="742">
      <c r="A742" s="31"/>
      <c r="B742" s="31"/>
      <c r="C742" s="233"/>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row>
    <row r="743">
      <c r="A743" s="31"/>
      <c r="B743" s="31"/>
      <c r="C743" s="233"/>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row>
    <row r="744">
      <c r="A744" s="31"/>
      <c r="B744" s="31"/>
      <c r="C744" s="233"/>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row>
    <row r="745">
      <c r="A745" s="31"/>
      <c r="B745" s="31"/>
      <c r="C745" s="233"/>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row>
    <row r="746">
      <c r="A746" s="31"/>
      <c r="B746" s="31"/>
      <c r="C746" s="233"/>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row>
    <row r="747">
      <c r="A747" s="31"/>
      <c r="B747" s="31"/>
      <c r="C747" s="233"/>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row>
    <row r="748">
      <c r="A748" s="31"/>
      <c r="B748" s="31"/>
      <c r="C748" s="233"/>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row>
    <row r="749">
      <c r="A749" s="31"/>
      <c r="B749" s="31"/>
      <c r="C749" s="233"/>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row>
    <row r="750">
      <c r="A750" s="31"/>
      <c r="B750" s="31"/>
      <c r="C750" s="233"/>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row>
    <row r="751">
      <c r="A751" s="31"/>
      <c r="B751" s="31"/>
      <c r="C751" s="233"/>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row>
    <row r="752">
      <c r="A752" s="31"/>
      <c r="B752" s="31"/>
      <c r="C752" s="233"/>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row>
    <row r="753">
      <c r="A753" s="31"/>
      <c r="B753" s="31"/>
      <c r="C753" s="233"/>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row>
    <row r="754">
      <c r="A754" s="31"/>
      <c r="B754" s="31"/>
      <c r="C754" s="233"/>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row>
    <row r="755">
      <c r="A755" s="31"/>
      <c r="B755" s="31"/>
      <c r="C755" s="233"/>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row>
    <row r="756">
      <c r="A756" s="31"/>
      <c r="B756" s="31"/>
      <c r="C756" s="233"/>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row>
    <row r="757">
      <c r="A757" s="31"/>
      <c r="B757" s="31"/>
      <c r="C757" s="233"/>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row>
    <row r="758">
      <c r="A758" s="31"/>
      <c r="B758" s="31"/>
      <c r="C758" s="233"/>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row>
    <row r="759">
      <c r="A759" s="31"/>
      <c r="B759" s="31"/>
      <c r="C759" s="233"/>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row>
    <row r="760">
      <c r="A760" s="31"/>
      <c r="B760" s="31"/>
      <c r="C760" s="233"/>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row>
    <row r="761">
      <c r="A761" s="31"/>
      <c r="B761" s="31"/>
      <c r="C761" s="233"/>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row>
    <row r="762">
      <c r="A762" s="31"/>
      <c r="B762" s="31"/>
      <c r="C762" s="233"/>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row>
    <row r="763">
      <c r="A763" s="31"/>
      <c r="B763" s="31"/>
      <c r="C763" s="233"/>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row>
    <row r="764">
      <c r="A764" s="31"/>
      <c r="B764" s="31"/>
      <c r="C764" s="233"/>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row>
    <row r="765">
      <c r="A765" s="31"/>
      <c r="B765" s="31"/>
      <c r="C765" s="233"/>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row>
    <row r="766">
      <c r="A766" s="31"/>
      <c r="B766" s="31"/>
      <c r="C766" s="233"/>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row>
    <row r="767">
      <c r="A767" s="31"/>
      <c r="B767" s="31"/>
      <c r="C767" s="233"/>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row>
    <row r="768">
      <c r="A768" s="31"/>
      <c r="B768" s="31"/>
      <c r="C768" s="233"/>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row>
    <row r="769">
      <c r="A769" s="31"/>
      <c r="B769" s="31"/>
      <c r="C769" s="233"/>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row>
    <row r="770">
      <c r="A770" s="31"/>
      <c r="B770" s="31"/>
      <c r="C770" s="233"/>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row>
    <row r="771">
      <c r="A771" s="31"/>
      <c r="B771" s="31"/>
      <c r="C771" s="233"/>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row>
    <row r="772">
      <c r="A772" s="31"/>
      <c r="B772" s="31"/>
      <c r="C772" s="233"/>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row>
    <row r="773">
      <c r="A773" s="31"/>
      <c r="B773" s="31"/>
      <c r="C773" s="233"/>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row>
    <row r="774">
      <c r="A774" s="31"/>
      <c r="B774" s="31"/>
      <c r="C774" s="233"/>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row>
    <row r="775">
      <c r="A775" s="31"/>
      <c r="B775" s="31"/>
      <c r="C775" s="233"/>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row>
    <row r="776">
      <c r="A776" s="31"/>
      <c r="B776" s="31"/>
      <c r="C776" s="233"/>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row>
    <row r="777">
      <c r="A777" s="31"/>
      <c r="B777" s="31"/>
      <c r="C777" s="233"/>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row>
    <row r="778">
      <c r="A778" s="31"/>
      <c r="B778" s="31"/>
      <c r="C778" s="233"/>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row>
    <row r="779">
      <c r="A779" s="31"/>
      <c r="B779" s="31"/>
      <c r="C779" s="233"/>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row>
    <row r="780">
      <c r="A780" s="31"/>
      <c r="B780" s="31"/>
      <c r="C780" s="233"/>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row>
    <row r="781">
      <c r="A781" s="31"/>
      <c r="B781" s="31"/>
      <c r="C781" s="233"/>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row>
    <row r="782">
      <c r="A782" s="31"/>
      <c r="B782" s="31"/>
      <c r="C782" s="233"/>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row>
    <row r="783">
      <c r="A783" s="31"/>
      <c r="B783" s="31"/>
      <c r="C783" s="233"/>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row>
    <row r="784">
      <c r="A784" s="31"/>
      <c r="B784" s="31"/>
      <c r="C784" s="233"/>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row>
    <row r="785">
      <c r="A785" s="31"/>
      <c r="B785" s="31"/>
      <c r="C785" s="233"/>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row>
    <row r="786">
      <c r="A786" s="31"/>
      <c r="B786" s="31"/>
      <c r="C786" s="233"/>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row>
    <row r="787">
      <c r="A787" s="31"/>
      <c r="B787" s="31"/>
      <c r="C787" s="233"/>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row>
    <row r="788">
      <c r="A788" s="31"/>
      <c r="B788" s="31"/>
      <c r="C788" s="233"/>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row>
    <row r="789">
      <c r="A789" s="31"/>
      <c r="B789" s="31"/>
      <c r="C789" s="233"/>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row>
    <row r="790">
      <c r="A790" s="31"/>
      <c r="B790" s="31"/>
      <c r="C790" s="233"/>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row>
    <row r="791">
      <c r="A791" s="31"/>
      <c r="B791" s="31"/>
      <c r="C791" s="233"/>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row>
    <row r="792">
      <c r="A792" s="31"/>
      <c r="B792" s="31"/>
      <c r="C792" s="233"/>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row>
    <row r="793">
      <c r="A793" s="31"/>
      <c r="B793" s="31"/>
      <c r="C793" s="233"/>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row>
    <row r="794">
      <c r="A794" s="31"/>
      <c r="B794" s="31"/>
      <c r="C794" s="233"/>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row>
    <row r="795">
      <c r="A795" s="31"/>
      <c r="B795" s="31"/>
      <c r="C795" s="233"/>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row>
    <row r="796">
      <c r="A796" s="31"/>
      <c r="B796" s="31"/>
      <c r="C796" s="233"/>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row>
    <row r="797">
      <c r="A797" s="31"/>
      <c r="B797" s="31"/>
      <c r="C797" s="233"/>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row>
    <row r="798">
      <c r="A798" s="31"/>
      <c r="B798" s="31"/>
      <c r="C798" s="233"/>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row>
    <row r="799">
      <c r="A799" s="31"/>
      <c r="B799" s="31"/>
      <c r="C799" s="233"/>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row>
    <row r="800">
      <c r="A800" s="31"/>
      <c r="B800" s="31"/>
      <c r="C800" s="233"/>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row>
    <row r="801">
      <c r="A801" s="31"/>
      <c r="B801" s="31"/>
      <c r="C801" s="233"/>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row>
    <row r="802">
      <c r="A802" s="31"/>
      <c r="B802" s="31"/>
      <c r="C802" s="233"/>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row>
    <row r="803">
      <c r="A803" s="31"/>
      <c r="B803" s="31"/>
      <c r="C803" s="233"/>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row>
    <row r="804">
      <c r="A804" s="31"/>
      <c r="B804" s="31"/>
      <c r="C804" s="233"/>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row>
    <row r="805">
      <c r="A805" s="31"/>
      <c r="B805" s="31"/>
      <c r="C805" s="233"/>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row>
    <row r="806">
      <c r="A806" s="31"/>
      <c r="B806" s="31"/>
      <c r="C806" s="233"/>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row>
    <row r="807">
      <c r="A807" s="31"/>
      <c r="B807" s="31"/>
      <c r="C807" s="233"/>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row>
    <row r="808">
      <c r="A808" s="31"/>
      <c r="B808" s="31"/>
      <c r="C808" s="233"/>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row>
    <row r="809">
      <c r="A809" s="31"/>
      <c r="B809" s="31"/>
      <c r="C809" s="233"/>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row>
    <row r="810">
      <c r="A810" s="31"/>
      <c r="B810" s="31"/>
      <c r="C810" s="233"/>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row>
    <row r="811">
      <c r="A811" s="31"/>
      <c r="B811" s="31"/>
      <c r="C811" s="233"/>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row>
    <row r="812">
      <c r="A812" s="31"/>
      <c r="B812" s="31"/>
      <c r="C812" s="233"/>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row>
    <row r="813">
      <c r="A813" s="31"/>
      <c r="B813" s="31"/>
      <c r="C813" s="233"/>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row>
    <row r="814">
      <c r="A814" s="31"/>
      <c r="B814" s="31"/>
      <c r="C814" s="233"/>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row>
    <row r="815">
      <c r="A815" s="31"/>
      <c r="B815" s="31"/>
      <c r="C815" s="233"/>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row>
    <row r="816">
      <c r="A816" s="31"/>
      <c r="B816" s="31"/>
      <c r="C816" s="233"/>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row>
    <row r="817">
      <c r="A817" s="31"/>
      <c r="B817" s="31"/>
      <c r="C817" s="233"/>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row>
    <row r="818">
      <c r="A818" s="31"/>
      <c r="B818" s="31"/>
      <c r="C818" s="233"/>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row>
    <row r="819">
      <c r="A819" s="31"/>
      <c r="B819" s="31"/>
      <c r="C819" s="233"/>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row>
    <row r="820">
      <c r="A820" s="31"/>
      <c r="B820" s="31"/>
      <c r="C820" s="233"/>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row>
    <row r="821">
      <c r="A821" s="31"/>
      <c r="B821" s="31"/>
      <c r="C821" s="233"/>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row>
    <row r="822">
      <c r="A822" s="31"/>
      <c r="B822" s="31"/>
      <c r="C822" s="233"/>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row>
    <row r="823">
      <c r="A823" s="31"/>
      <c r="B823" s="31"/>
      <c r="C823" s="233"/>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row>
    <row r="824">
      <c r="A824" s="31"/>
      <c r="B824" s="31"/>
      <c r="C824" s="233"/>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row>
    <row r="825">
      <c r="A825" s="31"/>
      <c r="B825" s="31"/>
      <c r="C825" s="233"/>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row>
    <row r="826">
      <c r="A826" s="31"/>
      <c r="B826" s="31"/>
      <c r="C826" s="233"/>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row>
    <row r="827">
      <c r="A827" s="31"/>
      <c r="B827" s="31"/>
      <c r="C827" s="233"/>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row>
    <row r="828">
      <c r="A828" s="31"/>
      <c r="B828" s="31"/>
      <c r="C828" s="233"/>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row>
    <row r="829">
      <c r="A829" s="31"/>
      <c r="B829" s="31"/>
      <c r="C829" s="233"/>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row>
    <row r="830">
      <c r="A830" s="31"/>
      <c r="B830" s="31"/>
      <c r="C830" s="233"/>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row>
    <row r="831">
      <c r="A831" s="31"/>
      <c r="B831" s="31"/>
      <c r="C831" s="233"/>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row>
    <row r="832">
      <c r="A832" s="31"/>
      <c r="B832" s="31"/>
      <c r="C832" s="233"/>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row>
    <row r="833">
      <c r="A833" s="31"/>
      <c r="B833" s="31"/>
      <c r="C833" s="233"/>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row>
    <row r="834">
      <c r="A834" s="31"/>
      <c r="B834" s="31"/>
      <c r="C834" s="233"/>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row>
    <row r="835">
      <c r="A835" s="31"/>
      <c r="B835" s="31"/>
      <c r="C835" s="233"/>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row>
    <row r="836">
      <c r="A836" s="31"/>
      <c r="B836" s="31"/>
      <c r="C836" s="233"/>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row>
    <row r="837">
      <c r="A837" s="31"/>
      <c r="B837" s="31"/>
      <c r="C837" s="233"/>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row>
    <row r="838">
      <c r="A838" s="31"/>
      <c r="B838" s="31"/>
      <c r="C838" s="233"/>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row>
    <row r="839">
      <c r="A839" s="31"/>
      <c r="B839" s="31"/>
      <c r="C839" s="233"/>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row>
    <row r="840">
      <c r="A840" s="31"/>
      <c r="B840" s="31"/>
      <c r="C840" s="233"/>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row>
    <row r="841">
      <c r="A841" s="31"/>
      <c r="B841" s="31"/>
      <c r="C841" s="233"/>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row>
    <row r="842">
      <c r="A842" s="31"/>
      <c r="B842" s="31"/>
      <c r="C842" s="233"/>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row>
    <row r="843">
      <c r="A843" s="31"/>
      <c r="B843" s="31"/>
      <c r="C843" s="233"/>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row>
    <row r="844">
      <c r="A844" s="31"/>
      <c r="B844" s="31"/>
      <c r="C844" s="233"/>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row>
    <row r="845">
      <c r="A845" s="31"/>
      <c r="B845" s="31"/>
      <c r="C845" s="233"/>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row>
    <row r="846">
      <c r="A846" s="31"/>
      <c r="B846" s="31"/>
      <c r="C846" s="233"/>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row>
    <row r="847">
      <c r="A847" s="31"/>
      <c r="B847" s="31"/>
      <c r="C847" s="233"/>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row>
    <row r="848">
      <c r="A848" s="31"/>
      <c r="B848" s="31"/>
      <c r="C848" s="233"/>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row>
    <row r="849">
      <c r="A849" s="31"/>
      <c r="B849" s="31"/>
      <c r="C849" s="233"/>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row>
    <row r="850">
      <c r="A850" s="31"/>
      <c r="B850" s="31"/>
      <c r="C850" s="233"/>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row>
    <row r="851">
      <c r="A851" s="31"/>
      <c r="B851" s="31"/>
      <c r="C851" s="233"/>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row>
    <row r="852">
      <c r="A852" s="31"/>
      <c r="B852" s="31"/>
      <c r="C852" s="233"/>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row>
    <row r="853">
      <c r="A853" s="31"/>
      <c r="B853" s="31"/>
      <c r="C853" s="233"/>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row>
    <row r="854">
      <c r="A854" s="31"/>
      <c r="B854" s="31"/>
      <c r="C854" s="233"/>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row>
    <row r="855">
      <c r="A855" s="31"/>
      <c r="B855" s="31"/>
      <c r="C855" s="233"/>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row>
    <row r="856">
      <c r="A856" s="31"/>
      <c r="B856" s="31"/>
      <c r="C856" s="233"/>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row>
    <row r="857">
      <c r="A857" s="31"/>
      <c r="B857" s="31"/>
      <c r="C857" s="233"/>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row>
    <row r="858">
      <c r="A858" s="31"/>
      <c r="B858" s="31"/>
      <c r="C858" s="233"/>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row>
    <row r="859">
      <c r="A859" s="31"/>
      <c r="B859" s="31"/>
      <c r="C859" s="233"/>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row>
    <row r="860">
      <c r="A860" s="31"/>
      <c r="B860" s="31"/>
      <c r="C860" s="233"/>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row>
    <row r="861">
      <c r="A861" s="31"/>
      <c r="B861" s="31"/>
      <c r="C861" s="233"/>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row>
    <row r="862">
      <c r="A862" s="31"/>
      <c r="B862" s="31"/>
      <c r="C862" s="233"/>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row>
    <row r="863">
      <c r="A863" s="31"/>
      <c r="B863" s="31"/>
      <c r="C863" s="233"/>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row>
    <row r="864">
      <c r="A864" s="31"/>
      <c r="B864" s="31"/>
      <c r="C864" s="233"/>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row>
    <row r="865">
      <c r="A865" s="31"/>
      <c r="B865" s="31"/>
      <c r="C865" s="233"/>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row>
    <row r="866">
      <c r="A866" s="31"/>
      <c r="B866" s="31"/>
      <c r="C866" s="233"/>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row>
    <row r="867">
      <c r="A867" s="31"/>
      <c r="B867" s="31"/>
      <c r="C867" s="233"/>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row>
    <row r="868">
      <c r="A868" s="31"/>
      <c r="B868" s="31"/>
      <c r="C868" s="233"/>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row>
    <row r="869">
      <c r="A869" s="31"/>
      <c r="B869" s="31"/>
      <c r="C869" s="233"/>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row>
    <row r="870">
      <c r="A870" s="31"/>
      <c r="B870" s="31"/>
      <c r="C870" s="233"/>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row>
    <row r="871">
      <c r="A871" s="31"/>
      <c r="B871" s="31"/>
      <c r="C871" s="233"/>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row>
    <row r="872">
      <c r="A872" s="31"/>
      <c r="B872" s="31"/>
      <c r="C872" s="233"/>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row>
    <row r="873">
      <c r="A873" s="31"/>
      <c r="B873" s="31"/>
      <c r="C873" s="233"/>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row>
    <row r="874">
      <c r="A874" s="31"/>
      <c r="B874" s="31"/>
      <c r="C874" s="233"/>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row>
    <row r="875">
      <c r="A875" s="31"/>
      <c r="B875" s="31"/>
      <c r="C875" s="233"/>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row>
    <row r="876">
      <c r="A876" s="31"/>
      <c r="B876" s="31"/>
      <c r="C876" s="233"/>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row>
    <row r="877">
      <c r="A877" s="31"/>
      <c r="B877" s="31"/>
      <c r="C877" s="233"/>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row>
    <row r="878">
      <c r="A878" s="31"/>
      <c r="B878" s="31"/>
      <c r="C878" s="233"/>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row>
    <row r="879">
      <c r="A879" s="31"/>
      <c r="B879" s="31"/>
      <c r="C879" s="233"/>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row>
    <row r="880">
      <c r="A880" s="31"/>
      <c r="B880" s="31"/>
      <c r="C880" s="233"/>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row>
    <row r="881">
      <c r="A881" s="31"/>
      <c r="B881" s="31"/>
      <c r="C881" s="233"/>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row>
    <row r="882">
      <c r="A882" s="31"/>
      <c r="B882" s="31"/>
      <c r="C882" s="233"/>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row>
    <row r="883">
      <c r="A883" s="31"/>
      <c r="B883" s="31"/>
      <c r="C883" s="233"/>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row>
    <row r="884">
      <c r="A884" s="31"/>
      <c r="B884" s="31"/>
      <c r="C884" s="233"/>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row>
    <row r="885">
      <c r="A885" s="31"/>
      <c r="B885" s="31"/>
      <c r="C885" s="233"/>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row>
    <row r="886">
      <c r="A886" s="31"/>
      <c r="B886" s="31"/>
      <c r="C886" s="233"/>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row>
    <row r="887">
      <c r="A887" s="31"/>
      <c r="B887" s="31"/>
      <c r="C887" s="233"/>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row>
    <row r="888">
      <c r="A888" s="31"/>
      <c r="B888" s="31"/>
      <c r="C888" s="233"/>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row>
    <row r="889">
      <c r="A889" s="31"/>
      <c r="B889" s="31"/>
      <c r="C889" s="233"/>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row>
    <row r="890">
      <c r="A890" s="31"/>
      <c r="B890" s="31"/>
      <c r="C890" s="233"/>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row>
    <row r="891">
      <c r="A891" s="31"/>
      <c r="B891" s="31"/>
      <c r="C891" s="233"/>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row>
    <row r="892">
      <c r="A892" s="31"/>
      <c r="B892" s="31"/>
      <c r="C892" s="233"/>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row>
    <row r="893">
      <c r="A893" s="31"/>
      <c r="B893" s="31"/>
      <c r="C893" s="233"/>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row>
    <row r="894">
      <c r="A894" s="31"/>
      <c r="B894" s="31"/>
      <c r="C894" s="233"/>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row>
    <row r="895">
      <c r="A895" s="31"/>
      <c r="B895" s="31"/>
      <c r="C895" s="233"/>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row>
    <row r="896">
      <c r="A896" s="31"/>
      <c r="B896" s="31"/>
      <c r="C896" s="233"/>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row>
    <row r="897">
      <c r="A897" s="31"/>
      <c r="B897" s="31"/>
      <c r="C897" s="233"/>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row>
    <row r="898">
      <c r="A898" s="31"/>
      <c r="B898" s="31"/>
      <c r="C898" s="233"/>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row>
    <row r="899">
      <c r="A899" s="31"/>
      <c r="B899" s="31"/>
      <c r="C899" s="233"/>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row>
    <row r="900">
      <c r="A900" s="31"/>
      <c r="B900" s="31"/>
      <c r="C900" s="233"/>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row>
    <row r="901">
      <c r="A901" s="31"/>
      <c r="B901" s="31"/>
      <c r="C901" s="233"/>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row>
    <row r="902">
      <c r="A902" s="31"/>
      <c r="B902" s="31"/>
      <c r="C902" s="233"/>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row>
    <row r="903">
      <c r="A903" s="31"/>
      <c r="B903" s="31"/>
      <c r="C903" s="233"/>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row>
    <row r="904">
      <c r="A904" s="31"/>
      <c r="B904" s="31"/>
      <c r="C904" s="233"/>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row>
    <row r="905">
      <c r="A905" s="31"/>
      <c r="B905" s="31"/>
      <c r="C905" s="233"/>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row>
    <row r="906">
      <c r="A906" s="31"/>
      <c r="B906" s="31"/>
      <c r="C906" s="233"/>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row>
    <row r="907">
      <c r="A907" s="31"/>
      <c r="B907" s="31"/>
      <c r="C907" s="233"/>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row>
    <row r="908">
      <c r="A908" s="31"/>
      <c r="B908" s="31"/>
      <c r="C908" s="233"/>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row>
    <row r="909">
      <c r="A909" s="31"/>
      <c r="B909" s="31"/>
      <c r="C909" s="233"/>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row>
    <row r="910">
      <c r="A910" s="31"/>
      <c r="B910" s="31"/>
      <c r="C910" s="233"/>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row>
    <row r="911">
      <c r="A911" s="31"/>
      <c r="B911" s="31"/>
      <c r="C911" s="233"/>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row>
    <row r="912">
      <c r="A912" s="31"/>
      <c r="B912" s="31"/>
      <c r="C912" s="233"/>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row>
    <row r="913">
      <c r="A913" s="31"/>
      <c r="B913" s="31"/>
      <c r="C913" s="233"/>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row>
    <row r="914">
      <c r="A914" s="31"/>
      <c r="B914" s="31"/>
      <c r="C914" s="233"/>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row>
    <row r="915">
      <c r="A915" s="31"/>
      <c r="B915" s="31"/>
      <c r="C915" s="233"/>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row>
    <row r="916">
      <c r="A916" s="31"/>
      <c r="B916" s="31"/>
      <c r="C916" s="233"/>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row>
    <row r="917">
      <c r="A917" s="31"/>
      <c r="B917" s="31"/>
      <c r="C917" s="233"/>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row>
    <row r="918">
      <c r="A918" s="31"/>
      <c r="B918" s="31"/>
      <c r="C918" s="233"/>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row>
    <row r="919">
      <c r="A919" s="31"/>
      <c r="B919" s="31"/>
      <c r="C919" s="233"/>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row>
    <row r="920">
      <c r="A920" s="31"/>
      <c r="B920" s="31"/>
      <c r="C920" s="233"/>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row>
    <row r="921">
      <c r="A921" s="31"/>
      <c r="B921" s="31"/>
      <c r="C921" s="233"/>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row>
    <row r="922">
      <c r="A922" s="31"/>
      <c r="B922" s="31"/>
      <c r="C922" s="233"/>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row>
    <row r="923">
      <c r="A923" s="31"/>
      <c r="B923" s="31"/>
      <c r="C923" s="233"/>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row>
    <row r="924">
      <c r="A924" s="31"/>
      <c r="B924" s="31"/>
      <c r="C924" s="233"/>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row>
    <row r="925">
      <c r="A925" s="31"/>
      <c r="B925" s="31"/>
      <c r="C925" s="233"/>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row>
    <row r="926">
      <c r="A926" s="31"/>
      <c r="B926" s="31"/>
      <c r="C926" s="233"/>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row>
    <row r="927">
      <c r="A927" s="31"/>
      <c r="B927" s="31"/>
      <c r="C927" s="233"/>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row>
    <row r="928">
      <c r="A928" s="31"/>
      <c r="B928" s="31"/>
      <c r="C928" s="233"/>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row>
    <row r="929">
      <c r="A929" s="31"/>
      <c r="B929" s="31"/>
      <c r="C929" s="233"/>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row>
    <row r="930">
      <c r="A930" s="31"/>
      <c r="B930" s="31"/>
      <c r="C930" s="233"/>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row>
    <row r="931">
      <c r="A931" s="31"/>
      <c r="B931" s="31"/>
      <c r="C931" s="233"/>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row>
    <row r="932">
      <c r="A932" s="31"/>
      <c r="B932" s="31"/>
      <c r="C932" s="233"/>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row>
    <row r="933">
      <c r="A933" s="31"/>
      <c r="B933" s="31"/>
      <c r="C933" s="233"/>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row>
    <row r="934">
      <c r="A934" s="31"/>
      <c r="B934" s="31"/>
      <c r="C934" s="233"/>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row>
    <row r="935">
      <c r="A935" s="31"/>
      <c r="B935" s="31"/>
      <c r="C935" s="233"/>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row>
    <row r="936">
      <c r="A936" s="31"/>
      <c r="B936" s="31"/>
      <c r="C936" s="233"/>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row>
    <row r="937">
      <c r="A937" s="31"/>
      <c r="B937" s="31"/>
      <c r="C937" s="233"/>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row>
    <row r="938">
      <c r="A938" s="31"/>
      <c r="B938" s="31"/>
      <c r="C938" s="233"/>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row>
    <row r="939">
      <c r="A939" s="31"/>
      <c r="B939" s="31"/>
      <c r="C939" s="233"/>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row>
    <row r="940">
      <c r="A940" s="31"/>
      <c r="B940" s="31"/>
      <c r="C940" s="233"/>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row>
    <row r="941">
      <c r="A941" s="31"/>
      <c r="B941" s="31"/>
      <c r="C941" s="233"/>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row>
    <row r="942">
      <c r="A942" s="31"/>
      <c r="B942" s="31"/>
      <c r="C942" s="233"/>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row>
    <row r="943">
      <c r="A943" s="31"/>
      <c r="B943" s="31"/>
      <c r="C943" s="233"/>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row>
    <row r="944">
      <c r="A944" s="31"/>
      <c r="B944" s="31"/>
      <c r="C944" s="233"/>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row>
    <row r="945">
      <c r="A945" s="31"/>
      <c r="B945" s="31"/>
      <c r="C945" s="233"/>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row>
    <row r="946">
      <c r="A946" s="31"/>
      <c r="B946" s="31"/>
      <c r="C946" s="233"/>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row>
    <row r="947">
      <c r="A947" s="31"/>
      <c r="B947" s="31"/>
      <c r="C947" s="233"/>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row>
    <row r="948">
      <c r="A948" s="31"/>
      <c r="B948" s="31"/>
      <c r="C948" s="233"/>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row>
    <row r="949">
      <c r="A949" s="31"/>
      <c r="B949" s="31"/>
      <c r="C949" s="233"/>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row>
    <row r="950">
      <c r="A950" s="31"/>
      <c r="B950" s="31"/>
      <c r="C950" s="233"/>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row>
    <row r="951">
      <c r="A951" s="31"/>
      <c r="B951" s="31"/>
      <c r="C951" s="233"/>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row>
    <row r="952">
      <c r="A952" s="31"/>
      <c r="B952" s="31"/>
      <c r="C952" s="233"/>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row>
    <row r="953">
      <c r="A953" s="31"/>
      <c r="B953" s="31"/>
      <c r="C953" s="233"/>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row>
    <row r="954">
      <c r="A954" s="31"/>
      <c r="B954" s="31"/>
      <c r="C954" s="233"/>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row>
    <row r="955">
      <c r="A955" s="31"/>
      <c r="B955" s="31"/>
      <c r="C955" s="233"/>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row>
    <row r="956">
      <c r="A956" s="31"/>
      <c r="B956" s="31"/>
      <c r="C956" s="233"/>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row>
    <row r="957">
      <c r="A957" s="31"/>
      <c r="B957" s="31"/>
      <c r="C957" s="233"/>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row>
    <row r="958">
      <c r="A958" s="31"/>
      <c r="B958" s="31"/>
      <c r="C958" s="233"/>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row>
    <row r="959">
      <c r="A959" s="31"/>
      <c r="B959" s="31"/>
      <c r="C959" s="233"/>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row>
    <row r="960">
      <c r="A960" s="31"/>
      <c r="B960" s="31"/>
      <c r="C960" s="233"/>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row>
    <row r="961">
      <c r="A961" s="31"/>
      <c r="B961" s="31"/>
      <c r="C961" s="233"/>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row>
    <row r="962">
      <c r="A962" s="31"/>
      <c r="B962" s="31"/>
      <c r="C962" s="233"/>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row>
    <row r="963">
      <c r="A963" s="31"/>
      <c r="B963" s="31"/>
      <c r="C963" s="233"/>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row>
    <row r="964">
      <c r="A964" s="31"/>
      <c r="B964" s="31"/>
      <c r="C964" s="233"/>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row>
    <row r="965">
      <c r="A965" s="31"/>
      <c r="B965" s="31"/>
      <c r="C965" s="233"/>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row>
    <row r="966">
      <c r="A966" s="31"/>
      <c r="B966" s="31"/>
      <c r="C966" s="233"/>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row>
    <row r="967">
      <c r="A967" s="31"/>
      <c r="B967" s="31"/>
      <c r="C967" s="233"/>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row>
    <row r="968">
      <c r="A968" s="31"/>
      <c r="B968" s="31"/>
      <c r="C968" s="233"/>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row>
    <row r="969">
      <c r="A969" s="31"/>
      <c r="B969" s="31"/>
      <c r="C969" s="233"/>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row>
    <row r="970">
      <c r="A970" s="31"/>
      <c r="B970" s="31"/>
      <c r="C970" s="233"/>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row>
    <row r="971">
      <c r="A971" s="31"/>
      <c r="B971" s="31"/>
      <c r="C971" s="233"/>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row>
    <row r="972">
      <c r="A972" s="31"/>
      <c r="B972" s="31"/>
      <c r="C972" s="233"/>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row>
    <row r="973">
      <c r="A973" s="31"/>
      <c r="B973" s="31"/>
      <c r="C973" s="233"/>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row>
    <row r="974">
      <c r="A974" s="31"/>
      <c r="B974" s="31"/>
      <c r="C974" s="233"/>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row>
    <row r="975">
      <c r="A975" s="31"/>
      <c r="B975" s="31"/>
      <c r="C975" s="233"/>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row>
    <row r="976">
      <c r="A976" s="31"/>
      <c r="B976" s="31"/>
      <c r="C976" s="233"/>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row>
    <row r="977">
      <c r="A977" s="31"/>
      <c r="B977" s="31"/>
      <c r="C977" s="233"/>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row>
    <row r="978">
      <c r="A978" s="31"/>
      <c r="B978" s="31"/>
      <c r="C978" s="233"/>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row>
    <row r="979">
      <c r="A979" s="31"/>
      <c r="B979" s="31"/>
      <c r="C979" s="233"/>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row>
    <row r="980">
      <c r="A980" s="31"/>
      <c r="B980" s="31"/>
      <c r="C980" s="233"/>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row>
    <row r="981">
      <c r="A981" s="31"/>
      <c r="B981" s="31"/>
      <c r="C981" s="233"/>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row>
    <row r="982">
      <c r="A982" s="31"/>
      <c r="B982" s="31"/>
      <c r="C982" s="233"/>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row>
    <row r="983">
      <c r="A983" s="31"/>
      <c r="B983" s="31"/>
      <c r="C983" s="233"/>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row>
    <row r="984">
      <c r="A984" s="31"/>
      <c r="B984" s="31"/>
      <c r="C984" s="233"/>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row>
    <row r="985">
      <c r="A985" s="31"/>
      <c r="B985" s="31"/>
      <c r="C985" s="233"/>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row>
    <row r="986">
      <c r="A986" s="31"/>
      <c r="B986" s="31"/>
      <c r="C986" s="233"/>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row>
    <row r="987">
      <c r="A987" s="31"/>
      <c r="B987" s="31"/>
      <c r="C987" s="233"/>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row>
    <row r="988">
      <c r="A988" s="31"/>
      <c r="B988" s="31"/>
      <c r="C988" s="233"/>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row>
    <row r="989">
      <c r="A989" s="31"/>
      <c r="B989" s="31"/>
      <c r="C989" s="233"/>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row>
    <row r="990">
      <c r="A990" s="31"/>
      <c r="B990" s="31"/>
      <c r="C990" s="233"/>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row>
    <row r="991">
      <c r="A991" s="31"/>
      <c r="B991" s="31"/>
      <c r="C991" s="233"/>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row>
    <row r="992">
      <c r="A992" s="31"/>
      <c r="B992" s="31"/>
      <c r="C992" s="233"/>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row>
    <row r="993">
      <c r="A993" s="31"/>
      <c r="B993" s="31"/>
      <c r="C993" s="233"/>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row>
    <row r="994">
      <c r="A994" s="31"/>
      <c r="B994" s="31"/>
      <c r="C994" s="233"/>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row>
  </sheetData>
  <autoFilter ref="$A$1:$H$47"/>
  <dataValidations>
    <dataValidation type="list" allowBlank="1" showErrorMessage="1" sqref="B2:B47">
      <formula1>"REC,PTE,LCP,CPL,CFC,SCT,3SG"</formula1>
    </dataValidation>
    <dataValidation type="list" allowBlank="1" showErrorMessage="1" sqref="F2:F47">
      <formula1>"COMD OFFICE,MEDIA,MP BR,OPS ROOM,TCRS 1,TCRS 2,TCRS 3,TRG BR,SIGNALS,SME"</formula1>
    </dataValidation>
  </dataValidations>
  <printOptions gridLines="1" horizontalCentered="1"/>
  <pageMargins bottom="0.75" footer="0.0" header="0.0" left="0.7" right="0.7" top="0.75"/>
  <pageSetup fitToHeight="0" paperSize="9" cellComments="atEnd" orientation="landscape" pageOrder="overThenDown"/>
  <drawing r:id="rId1"/>
</worksheet>
</file>